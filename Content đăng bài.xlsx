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Đồ lót" sheetId="1" r:id="rId1"/>
    <sheet name="Tổng hợp" sheetId="2" r:id="rId2"/>
    <sheet name="công nghệ" sheetId="3" r:id="rId3"/>
    <sheet name="Gia dụng" sheetId="4" r:id="rId4"/>
    <sheet name="Mỹ phẩ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quot;/&quot;mm&quot;/&quot;yy"/>
  </numFmts>
  <fonts count="26">
    <font>
      <sz val="10"/>
      <color rgb="FF000000"/>
      <name val="Arial"/>
      <charset val="134"/>
      <scheme val="minor"/>
    </font>
    <font>
      <b/>
      <sz val="10"/>
      <color theme="1"/>
      <name val="Arial"/>
      <charset val="134"/>
      <scheme val="minor"/>
    </font>
    <font>
      <sz val="10"/>
      <color theme="1"/>
      <name val="Arial"/>
      <charset val="134"/>
      <scheme val="minor"/>
    </font>
    <font>
      <u/>
      <sz val="10"/>
      <color rgb="FF0000FF"/>
      <name val="Arial"/>
      <charset val="134"/>
      <scheme val="minor"/>
    </font>
    <font>
      <sz val="10"/>
      <color theme="1"/>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8">
    <xf numFmtId="0" fontId="0" fillId="0" borderId="0" xfId="0" applyFont="1" applyAlignment="1"/>
    <xf numFmtId="0" fontId="1" fillId="0" borderId="0" xfId="0" applyFont="1" applyAlignment="1">
      <alignment horizontal="center" vertical="center" wrapText="1"/>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wrapText="1"/>
    </xf>
    <xf numFmtId="0" fontId="2" fillId="0" borderId="0" xfId="0" applyFont="1" applyAlignment="1">
      <alignment wrapText="1"/>
    </xf>
    <xf numFmtId="178" fontId="2" fillId="0" borderId="0" xfId="0" applyNumberFormat="1" applyFont="1" applyAlignment="1">
      <alignment horizontal="center" vertical="center" wrapText="1"/>
    </xf>
    <xf numFmtId="0" fontId="1" fillId="0" borderId="0" xfId="0" applyFont="1" applyAlignment="1">
      <alignment horizontal="center" wrapText="1"/>
    </xf>
    <xf numFmtId="0" fontId="3" fillId="0" borderId="0" xfId="0" applyFont="1" applyAlignment="1">
      <alignment wrapText="1"/>
    </xf>
    <xf numFmtId="0" fontId="2" fillId="0" borderId="0" xfId="0" applyFont="1" applyAlignment="1">
      <alignment vertical="center" wrapText="1"/>
    </xf>
    <xf numFmtId="0" fontId="4" fillId="0" borderId="0" xfId="0" applyFont="1" applyAlignment="1">
      <alignment horizontal="center" wrapText="1"/>
    </xf>
    <xf numFmtId="0" fontId="5" fillId="0" borderId="0" xfId="0" applyFont="1" applyAlignment="1">
      <alignment wrapText="1"/>
    </xf>
    <xf numFmtId="178" fontId="2" fillId="0" borderId="0" xfId="0" applyNumberFormat="1" applyFont="1" applyAlignment="1">
      <alignment horizontal="center" vertical="center"/>
    </xf>
    <xf numFmtId="0" fontId="3" fillId="0" borderId="0" xfId="0" applyFont="1" applyAlignment="1">
      <alignment vertical="center" wrapText="1"/>
    </xf>
    <xf numFmtId="0" fontId="2"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vt.tiktok.com/ZSH7Lb6HUaABM-KAmiZ/" TargetMode="External"/><Relationship Id="rId98" Type="http://schemas.openxmlformats.org/officeDocument/2006/relationships/hyperlink" Target="https://vt.tiktok.com/ZSH7Lqagw49EV-l0KDf/" TargetMode="External"/><Relationship Id="rId97" Type="http://schemas.openxmlformats.org/officeDocument/2006/relationships/hyperlink" Target="https://vt.tiktok.com/ZSH7LqNAjd135-fITrE/" TargetMode="External"/><Relationship Id="rId96" Type="http://schemas.openxmlformats.org/officeDocument/2006/relationships/hyperlink" Target="https://vt.tiktok.com/ZSH7LXmkCJy6p-Nj8sC/" TargetMode="External"/><Relationship Id="rId95" Type="http://schemas.openxmlformats.org/officeDocument/2006/relationships/hyperlink" Target="https://vt.tiktok.com/ZSH7LCcYRu7Tq-6zTDf/" TargetMode="External"/><Relationship Id="rId94" Type="http://schemas.openxmlformats.org/officeDocument/2006/relationships/hyperlink" Target="https://vt.tiktok.com/ZSH7j8uoQRHFR-3rqtB/" TargetMode="External"/><Relationship Id="rId93" Type="http://schemas.openxmlformats.org/officeDocument/2006/relationships/hyperlink" Target="https://vt.tiktok.com/ZSH7jdx2nhHbP-MLuWu/" TargetMode="External"/><Relationship Id="rId92" Type="http://schemas.openxmlformats.org/officeDocument/2006/relationships/hyperlink" Target="https://vt.tiktok.com/ZSH7jRoq5Ere3-O9cgk/" TargetMode="External"/><Relationship Id="rId91" Type="http://schemas.openxmlformats.org/officeDocument/2006/relationships/hyperlink" Target="https://vt.tiktok.com/ZSH7j8U9Nr3Pn-Sygl3/" TargetMode="External"/><Relationship Id="rId90" Type="http://schemas.openxmlformats.org/officeDocument/2006/relationships/hyperlink" Target="https://vt.tiktok.com/ZSH7jdgt5BDF8-lgv8n/" TargetMode="External"/><Relationship Id="rId9" Type="http://schemas.openxmlformats.org/officeDocument/2006/relationships/hyperlink" Target="https://vt.tiktok.com/ZSHTycq8HomNu-cKhYT/" TargetMode="External"/><Relationship Id="rId89" Type="http://schemas.openxmlformats.org/officeDocument/2006/relationships/hyperlink" Target="https://vt.tiktok.com/ZSH7j8NsAWcAe-rhOHz/" TargetMode="External"/><Relationship Id="rId88" Type="http://schemas.openxmlformats.org/officeDocument/2006/relationships/hyperlink" Target="https://vt.tiktok.com/ZSH7j8BTD6cjh-qjffv/" TargetMode="External"/><Relationship Id="rId87" Type="http://schemas.openxmlformats.org/officeDocument/2006/relationships/hyperlink" Target="https://vt.tiktok.com/ZSH7jRc5Xm2Fe-o9MO0/" TargetMode="External"/><Relationship Id="rId86" Type="http://schemas.openxmlformats.org/officeDocument/2006/relationships/hyperlink" Target="https://vt.tiktok.com/ZSH7jdk1bM5LH-NYZzZ/" TargetMode="External"/><Relationship Id="rId85" Type="http://schemas.openxmlformats.org/officeDocument/2006/relationships/hyperlink" Target="https://vt.tiktok.com/ZSH7jRGVewH8M-oUVgO/" TargetMode="External"/><Relationship Id="rId84" Type="http://schemas.openxmlformats.org/officeDocument/2006/relationships/hyperlink" Target="http://vt.tiktok.com/ZSH3LGf2CHAAA-0yEOk/" TargetMode="External"/><Relationship Id="rId83" Type="http://schemas.openxmlformats.org/officeDocument/2006/relationships/hyperlink" Target="https://vt.tiktok.com/ZSH38VpSh8uoE-PRULf/" TargetMode="External"/><Relationship Id="rId82" Type="http://schemas.openxmlformats.org/officeDocument/2006/relationships/hyperlink" Target="https://vt.tiktok.com/ZSH384sQXEEUV-HtM4c/" TargetMode="External"/><Relationship Id="rId81" Type="http://schemas.openxmlformats.org/officeDocument/2006/relationships/hyperlink" Target="http://vt.tiktok.com/ZSH38XsB1w4hK-5ipmQ/" TargetMode="External"/><Relationship Id="rId80" Type="http://schemas.openxmlformats.org/officeDocument/2006/relationships/hyperlink" Target="http://vt.tiktok.com/ZSH38XyyKjf2x-xKt85/" TargetMode="External"/><Relationship Id="rId8" Type="http://schemas.openxmlformats.org/officeDocument/2006/relationships/hyperlink" Target="http://vt.tiktok.com/ZSH3pKeNvNVTd-qNeWF/" TargetMode="External"/><Relationship Id="rId79" Type="http://schemas.openxmlformats.org/officeDocument/2006/relationships/hyperlink" Target="http://vt.tiktok.com/ZSH38Xe1c5F55-eACEO/" TargetMode="External"/><Relationship Id="rId78" Type="http://schemas.openxmlformats.org/officeDocument/2006/relationships/hyperlink" Target="http://vt.tiktok.com/ZSH38Qc19FYGL-wBWXN/" TargetMode="External"/><Relationship Id="rId77" Type="http://schemas.openxmlformats.org/officeDocument/2006/relationships/hyperlink" Target="http://vt.tiktok.com/ZSH38UPg76gop-IRXJV/" TargetMode="External"/><Relationship Id="rId76" Type="http://schemas.openxmlformats.org/officeDocument/2006/relationships/hyperlink" Target="http://vt.tiktok.com/ZSHK445LE2tjY-oc9OL/" TargetMode="External"/><Relationship Id="rId75" Type="http://schemas.openxmlformats.org/officeDocument/2006/relationships/hyperlink" Target="http://vt.tiktok.com/ZSHK4X9tXpVcC-QY0VJ/" TargetMode="External"/><Relationship Id="rId74" Type="http://schemas.openxmlformats.org/officeDocument/2006/relationships/hyperlink" Target="http://vt.tiktok.com/ZSHK4Co1DAQYg-maN0X/" TargetMode="External"/><Relationship Id="rId73" Type="http://schemas.openxmlformats.org/officeDocument/2006/relationships/hyperlink" Target="http://vt.tiktok.com/ZSHK4C9JYBLVo-Y7Vko/" TargetMode="External"/><Relationship Id="rId72" Type="http://schemas.openxmlformats.org/officeDocument/2006/relationships/hyperlink" Target="http://vt.tiktok.com/ZSHK4CeXWeCfF-hzTna/" TargetMode="External"/><Relationship Id="rId71" Type="http://schemas.openxmlformats.org/officeDocument/2006/relationships/hyperlink" Target="http://vt.tiktok.com/ZSHT557cGXpJk-OyHv0/" TargetMode="External"/><Relationship Id="rId70" Type="http://schemas.openxmlformats.org/officeDocument/2006/relationships/hyperlink" Target="https://vt.tiktok.com/ZSHT559Bt8CpE-mHirK/" TargetMode="External"/><Relationship Id="rId7" Type="http://schemas.openxmlformats.org/officeDocument/2006/relationships/hyperlink" Target="http://vt.tiktok.com/ZSH3LpN3n2xrB-MVTvN/" TargetMode="External"/><Relationship Id="rId69" Type="http://schemas.openxmlformats.org/officeDocument/2006/relationships/hyperlink" Target="http://vt.tiktok.com/ZSHT55dwuCnGK-Lztep/" TargetMode="External"/><Relationship Id="rId68" Type="http://schemas.openxmlformats.org/officeDocument/2006/relationships/hyperlink" Target="https://vt.tiktok.com/ZSHT5Putxe43R-07bzz/" TargetMode="External"/><Relationship Id="rId67" Type="http://schemas.openxmlformats.org/officeDocument/2006/relationships/hyperlink" Target="https://vt.tiktok.com/ZSHT5fEaA577T-VoWMZ/" TargetMode="External"/><Relationship Id="rId66" Type="http://schemas.openxmlformats.org/officeDocument/2006/relationships/hyperlink" Target="https://vt.tiktok.com/ZSH3LveEuoLuQ-19Plt/" TargetMode="External"/><Relationship Id="rId65" Type="http://schemas.openxmlformats.org/officeDocument/2006/relationships/hyperlink" Target="http://vt.tiktok.com/ZSH3L7KyxLHbo-rMIwh/" TargetMode="External"/><Relationship Id="rId64" Type="http://schemas.openxmlformats.org/officeDocument/2006/relationships/hyperlink" Target="https://vt.tiktok.com/ZSH3JVbjMksTn-Q5UAT/" TargetMode="External"/><Relationship Id="rId63" Type="http://schemas.openxmlformats.org/officeDocument/2006/relationships/hyperlink" Target="https://vt.tiktok.com/ZSH3J4MxGvNC4-6AdJL/" TargetMode="External"/><Relationship Id="rId62" Type="http://schemas.openxmlformats.org/officeDocument/2006/relationships/hyperlink" Target="http://vt.tiktok.com/ZSHTpDTprvWuv-8a8jU/" TargetMode="External"/><Relationship Id="rId61" Type="http://schemas.openxmlformats.org/officeDocument/2006/relationships/hyperlink" Target="https://vt.tiktok.com/ZSHTpDAhJbMY1-C5JNe/" TargetMode="External"/><Relationship Id="rId60" Type="http://schemas.openxmlformats.org/officeDocument/2006/relationships/hyperlink" Target="https://vt.tiktok.com/ZSHT59xwRLXj5-Mzx8y/" TargetMode="External"/><Relationship Id="rId6" Type="http://schemas.openxmlformats.org/officeDocument/2006/relationships/hyperlink" Target="https://vt.tiktok.com/ZSHctVNm2Bccg-vpg8Y/" TargetMode="External"/><Relationship Id="rId59" Type="http://schemas.openxmlformats.org/officeDocument/2006/relationships/hyperlink" Target="http://vt.tiktok.com/ZSH3oSuK7p6Xk-LyhKc/" TargetMode="External"/><Relationship Id="rId58" Type="http://schemas.openxmlformats.org/officeDocument/2006/relationships/hyperlink" Target="https://vt.tiktok.com/ZSH3oS6P2H3mB-bEAAs/" TargetMode="External"/><Relationship Id="rId57" Type="http://schemas.openxmlformats.org/officeDocument/2006/relationships/hyperlink" Target="http://vt.tiktok.com/ZSH3oBGSmfu9E-SAymf/" TargetMode="External"/><Relationship Id="rId56" Type="http://schemas.openxmlformats.org/officeDocument/2006/relationships/hyperlink" Target="http://vt.tiktok.com/ZSH3WHkqPnaKd-pJYEn/" TargetMode="External"/><Relationship Id="rId55" Type="http://schemas.openxmlformats.org/officeDocument/2006/relationships/hyperlink" Target="https://vt.tiktok.com/ZSH3sx5vefeGJ-KiUms/" TargetMode="External"/><Relationship Id="rId54" Type="http://schemas.openxmlformats.org/officeDocument/2006/relationships/hyperlink" Target="http://vt.tiktok.com/ZSH3sH1BwAYcV-P6Kez/" TargetMode="External"/><Relationship Id="rId53" Type="http://schemas.openxmlformats.org/officeDocument/2006/relationships/hyperlink" Target="https://vt.tiktok.com/ZSH3s8tQKQR9t-4tWp9/" TargetMode="External"/><Relationship Id="rId52" Type="http://schemas.openxmlformats.org/officeDocument/2006/relationships/hyperlink" Target="https://vt.tiktok.com/ZSH3s8fyXU4oW-n39eT/" TargetMode="External"/><Relationship Id="rId51" Type="http://schemas.openxmlformats.org/officeDocument/2006/relationships/hyperlink" Target="http://vt.tiktok.com/ZSH3q812gdcNB-qDVfO/" TargetMode="External"/><Relationship Id="rId50" Type="http://schemas.openxmlformats.org/officeDocument/2006/relationships/hyperlink" Target="https://vt.tiktok.com/ZSH3Lsudyv2qG-5kJdK/" TargetMode="External"/><Relationship Id="rId5" Type="http://schemas.openxmlformats.org/officeDocument/2006/relationships/hyperlink" Target="http://vt.tiktok.com/ZSHTpAtNHF14b-nVTh8/" TargetMode="External"/><Relationship Id="rId49" Type="http://schemas.openxmlformats.org/officeDocument/2006/relationships/hyperlink" Target="https://vt.tiktok.com/ZSH3LVsv5AyMW-3VGdp/" TargetMode="External"/><Relationship Id="rId48" Type="http://schemas.openxmlformats.org/officeDocument/2006/relationships/hyperlink" Target="http://vt.tiktok.com/ZSH3L4uyL5LVD-90lwC/" TargetMode="External"/><Relationship Id="rId47" Type="http://schemas.openxmlformats.org/officeDocument/2006/relationships/hyperlink" Target="http://vt.tiktok.com/ZSHctQaugwX8B-OAW5Z/" TargetMode="External"/><Relationship Id="rId46" Type="http://schemas.openxmlformats.org/officeDocument/2006/relationships/hyperlink" Target="http://vt.tiktok.com/ZSHctx2GwUnWb-Uolqg/" TargetMode="External"/><Relationship Id="rId45" Type="http://schemas.openxmlformats.org/officeDocument/2006/relationships/hyperlink" Target="https://vt.tiktok.com/ZSHctHy62JFX6-IXsa5/" TargetMode="External"/><Relationship Id="rId44" Type="http://schemas.openxmlformats.org/officeDocument/2006/relationships/hyperlink" Target="http://vt.tiktok.com/ZSHctu578Ee5P-wfrrr/" TargetMode="External"/><Relationship Id="rId43" Type="http://schemas.openxmlformats.org/officeDocument/2006/relationships/hyperlink" Target="http://vt.tiktok.com/ZSHctmPxABjxR-orhW3/" TargetMode="External"/><Relationship Id="rId42" Type="http://schemas.openxmlformats.org/officeDocument/2006/relationships/hyperlink" Target="https://vt.tiktok.com/ZSHcBBx9b6REB-vWTJV/" TargetMode="External"/><Relationship Id="rId41" Type="http://schemas.openxmlformats.org/officeDocument/2006/relationships/hyperlink" Target="https://vt.tiktok.com/ZSHvWbF5WmAes-jiRn3/" TargetMode="External"/><Relationship Id="rId40" Type="http://schemas.openxmlformats.org/officeDocument/2006/relationships/hyperlink" Target="https://vt.tiktok.com/ZSHvWqNvGsdDG-rWeti/" TargetMode="External"/><Relationship Id="rId4" Type="http://schemas.openxmlformats.org/officeDocument/2006/relationships/hyperlink" Target="http://vt.tiktok.com/ZSHT5CpP4R5N1-SfueQ/" TargetMode="External"/><Relationship Id="rId39" Type="http://schemas.openxmlformats.org/officeDocument/2006/relationships/hyperlink" Target="https://vt.tiktok.com/ZSHvrFujvdrhV-gVKBT/" TargetMode="External"/><Relationship Id="rId38" Type="http://schemas.openxmlformats.org/officeDocument/2006/relationships/hyperlink" Target="https://vt.tiktok.com/ZSHv8j7cmEpWs-qFH2A/" TargetMode="External"/><Relationship Id="rId37" Type="http://schemas.openxmlformats.org/officeDocument/2006/relationships/hyperlink" Target="https://vt.tiktok.com/ZSHv8jP5SFkje-yhHru/" TargetMode="External"/><Relationship Id="rId36" Type="http://schemas.openxmlformats.org/officeDocument/2006/relationships/hyperlink" Target="https://vt.tiktok.com/ZSHv82WAAWdxt-IxR8C/" TargetMode="External"/><Relationship Id="rId35" Type="http://schemas.openxmlformats.org/officeDocument/2006/relationships/hyperlink" Target="https://vt.tiktok.com/ZSHv82Agy7txh-Nh0PC/" TargetMode="External"/><Relationship Id="rId34" Type="http://schemas.openxmlformats.org/officeDocument/2006/relationships/hyperlink" Target="http://vt.tiktok.com/ZSH3s8JNQaean-aBXwn/" TargetMode="External"/><Relationship Id="rId33" Type="http://schemas.openxmlformats.org/officeDocument/2006/relationships/hyperlink" Target="https://vt.tiktok.com/ZSH7b464J9pXR-6H0Ep/" TargetMode="External"/><Relationship Id="rId32" Type="http://schemas.openxmlformats.org/officeDocument/2006/relationships/hyperlink" Target="https://vt.tiktok.com/ZSH7bXgcybuEj-YGqSI/" TargetMode="External"/><Relationship Id="rId31" Type="http://schemas.openxmlformats.org/officeDocument/2006/relationships/hyperlink" Target="https://vt.tiktok.com/ZSH7bXFqX4BJm-AoaRR/" TargetMode="External"/><Relationship Id="rId30" Type="http://schemas.openxmlformats.org/officeDocument/2006/relationships/hyperlink" Target="https://vt.tiktok.com/ZSH7bQptMsfF4-MAXho/" TargetMode="External"/><Relationship Id="rId3" Type="http://schemas.openxmlformats.org/officeDocument/2006/relationships/hyperlink" Target="https://vt.tiktok.com/ZSHT5CfuSkLNC-NTPBZ/" TargetMode="External"/><Relationship Id="rId29" Type="http://schemas.openxmlformats.org/officeDocument/2006/relationships/hyperlink" Target="https://vt.tiktok.com/ZSH7b9nDptkmN-4WGO9/" TargetMode="External"/><Relationship Id="rId28" Type="http://schemas.openxmlformats.org/officeDocument/2006/relationships/hyperlink" Target="https://vt.tiktok.com/ZSH7b9UKEtX6K-fCILL/" TargetMode="External"/><Relationship Id="rId27" Type="http://schemas.openxmlformats.org/officeDocument/2006/relationships/hyperlink" Target="https://vt.tiktok.com/ZSH7bHATobpsp-rzLiT/" TargetMode="External"/><Relationship Id="rId26" Type="http://schemas.openxmlformats.org/officeDocument/2006/relationships/hyperlink" Target="https://vt.tiktok.com/ZSH7j8KmHpc7x-oHyzL/" TargetMode="External"/><Relationship Id="rId25" Type="http://schemas.openxmlformats.org/officeDocument/2006/relationships/hyperlink" Target="https://vt.tiktok.com/ZSH7NfPmWBA3G-X3k3L/" TargetMode="External"/><Relationship Id="rId24" Type="http://schemas.openxmlformats.org/officeDocument/2006/relationships/hyperlink" Target="https://vt.tiktok.com/ZSH7NAvpKr4YG-p9V7O/" TargetMode="External"/><Relationship Id="rId239" Type="http://schemas.openxmlformats.org/officeDocument/2006/relationships/hyperlink" Target="http://vt.tiktok.com/ZSHKEY4MeaLh7-bpCrC/" TargetMode="External"/><Relationship Id="rId238" Type="http://schemas.openxmlformats.org/officeDocument/2006/relationships/hyperlink" Target="https://vt.tiktok.com/ZSHKEFXPUmH7v-EdmcF/" TargetMode="External"/><Relationship Id="rId237" Type="http://schemas.openxmlformats.org/officeDocument/2006/relationships/hyperlink" Target="https://vt.tiktok.com/ZSHK4qXcuvXwf-0FMmc/" TargetMode="External"/><Relationship Id="rId236" Type="http://schemas.openxmlformats.org/officeDocument/2006/relationships/hyperlink" Target="http://vt.tiktok.com/ZSHK44L9c1HM4-WWo4B/" TargetMode="External"/><Relationship Id="rId235" Type="http://schemas.openxmlformats.org/officeDocument/2006/relationships/hyperlink" Target="http://vt.tiktok.com/ZSHKykHNGhBQA-WWJeT/" TargetMode="External"/><Relationship Id="rId234" Type="http://schemas.openxmlformats.org/officeDocument/2006/relationships/hyperlink" Target="http://vt.tiktok.com/ZSHKBGLR3hgNc-0CuIv/" TargetMode="External"/><Relationship Id="rId233" Type="http://schemas.openxmlformats.org/officeDocument/2006/relationships/hyperlink" Target="http://vt.tiktok.com/ZSHKBsxLTCPoN-cWl6a/" TargetMode="External"/><Relationship Id="rId232" Type="http://schemas.openxmlformats.org/officeDocument/2006/relationships/hyperlink" Target="http://vt.tiktok.com/ZSHKF3LPkDhk4-kRW9C/" TargetMode="External"/><Relationship Id="rId231" Type="http://schemas.openxmlformats.org/officeDocument/2006/relationships/hyperlink" Target="http://vt.tiktok.com/ZSHwuY6g3rDUk-kcPyl/" TargetMode="External"/><Relationship Id="rId230" Type="http://schemas.openxmlformats.org/officeDocument/2006/relationships/hyperlink" Target="http://vt.tiktok.com/ZSHwuFXyHBFvs-cKTqo/" TargetMode="External"/><Relationship Id="rId23" Type="http://schemas.openxmlformats.org/officeDocument/2006/relationships/hyperlink" Target="https://vt.tiktok.com/ZSH7NA1b5G51g-gTMzm/" TargetMode="External"/><Relationship Id="rId229" Type="http://schemas.openxmlformats.org/officeDocument/2006/relationships/hyperlink" Target="https://vt.tiktok.com/ZSHwP4gR6yfVH-dMEMv/" TargetMode="External"/><Relationship Id="rId228" Type="http://schemas.openxmlformats.org/officeDocument/2006/relationships/hyperlink" Target="http://vt.tiktok.com/ZSHwP45yCW7jN-NXW3Z/" TargetMode="External"/><Relationship Id="rId227" Type="http://schemas.openxmlformats.org/officeDocument/2006/relationships/hyperlink" Target="https://vt.tiktok.com/ZSHwJgdS9Jxd7-3tS9q/" TargetMode="External"/><Relationship Id="rId226" Type="http://schemas.openxmlformats.org/officeDocument/2006/relationships/hyperlink" Target="https://vt.tiktok.com/ZSHwJqUqKqhwv-37P4q/" TargetMode="External"/><Relationship Id="rId225" Type="http://schemas.openxmlformats.org/officeDocument/2006/relationships/hyperlink" Target="http://vt.tiktok.com/ZSHTvwnv2TJhT-j55pq/" TargetMode="External"/><Relationship Id="rId224" Type="http://schemas.openxmlformats.org/officeDocument/2006/relationships/hyperlink" Target="https://vt.tiktok.com/ZSHTvTBr2B3nx-ssuF2/" TargetMode="External"/><Relationship Id="rId223" Type="http://schemas.openxmlformats.org/officeDocument/2006/relationships/hyperlink" Target="http://vt.tiktok.com/ZSHTpawkrrYg9-RrB9v/" TargetMode="External"/><Relationship Id="rId222" Type="http://schemas.openxmlformats.org/officeDocument/2006/relationships/hyperlink" Target="http://vt.tiktok.com/ZSHTpSd2wUyG1-2RkJQ/" TargetMode="External"/><Relationship Id="rId221" Type="http://schemas.openxmlformats.org/officeDocument/2006/relationships/hyperlink" Target="https://vt.tiktok.com/ZSHTpBuQ8L21q-drvdG/" TargetMode="External"/><Relationship Id="rId220" Type="http://schemas.openxmlformats.org/officeDocument/2006/relationships/hyperlink" Target="http://vt.tiktok.com/ZSHTpkHdhqNF9-o1nzK/" TargetMode="External"/><Relationship Id="rId22" Type="http://schemas.openxmlformats.org/officeDocument/2006/relationships/hyperlink" Target="https://vt.tiktok.com/ZSH7bQJnBmbGK-vKKiZ/" TargetMode="External"/><Relationship Id="rId219" Type="http://schemas.openxmlformats.org/officeDocument/2006/relationships/hyperlink" Target="https://vt.tiktok.com/ZSHT59hMUuTW2-s3B6H/" TargetMode="External"/><Relationship Id="rId218" Type="http://schemas.openxmlformats.org/officeDocument/2006/relationships/hyperlink" Target="https://vt.tiktok.com/ZSHT59RDsfCyH-bPecl/" TargetMode="External"/><Relationship Id="rId217" Type="http://schemas.openxmlformats.org/officeDocument/2006/relationships/hyperlink" Target="https://vt.tiktok.com/ZSHT5HcqcHSGd-ByR3N/" TargetMode="External"/><Relationship Id="rId216" Type="http://schemas.openxmlformats.org/officeDocument/2006/relationships/hyperlink" Target="http://vt.tiktok.com/ZSHT5HYcG2xuH-dehlp/" TargetMode="External"/><Relationship Id="rId215" Type="http://schemas.openxmlformats.org/officeDocument/2006/relationships/hyperlink" Target="http://vt.tiktok.com/ZSHT5ubhRpKtc-2mgIi/" TargetMode="External"/><Relationship Id="rId214" Type="http://schemas.openxmlformats.org/officeDocument/2006/relationships/hyperlink" Target="https://vt.tiktok.com/ZSHT5mo7oYdMn-emck8/" TargetMode="External"/><Relationship Id="rId213" Type="http://schemas.openxmlformats.org/officeDocument/2006/relationships/hyperlink" Target="http://vt.tiktok.com/ZSHT5mqKCgfef-PLKV2/" TargetMode="External"/><Relationship Id="rId212" Type="http://schemas.openxmlformats.org/officeDocument/2006/relationships/hyperlink" Target="http://vt.tiktok.com/ZSHTdHrTYuHuH-jBcqn/" TargetMode="External"/><Relationship Id="rId211" Type="http://schemas.openxmlformats.org/officeDocument/2006/relationships/hyperlink" Target="https://vt.tiktok.com/ZSH33QRtSdgye-VNT68/" TargetMode="External"/><Relationship Id="rId210" Type="http://schemas.openxmlformats.org/officeDocument/2006/relationships/hyperlink" Target="https://vt.tiktok.com/ZSH33QeKoUJMP-GAoPV/" TargetMode="External"/><Relationship Id="rId21" Type="http://schemas.openxmlformats.org/officeDocument/2006/relationships/hyperlink" Target="https://vt.tiktok.com/ZSH7NNt9dBLGa-5nUrx/" TargetMode="External"/><Relationship Id="rId209" Type="http://schemas.openxmlformats.org/officeDocument/2006/relationships/hyperlink" Target="https://vt.tiktok.com/ZSH33Q1XtUm2S-lujyT/" TargetMode="External"/><Relationship Id="rId208" Type="http://schemas.openxmlformats.org/officeDocument/2006/relationships/hyperlink" Target="https://vt.tiktok.com/ZSH3sXDQ6okT8-azm7b/" TargetMode="External"/><Relationship Id="rId207" Type="http://schemas.openxmlformats.org/officeDocument/2006/relationships/hyperlink" Target="https://vt.tiktok.com/ZSH3sCgmnFyKS-J15XZ/" TargetMode="External"/><Relationship Id="rId206" Type="http://schemas.openxmlformats.org/officeDocument/2006/relationships/hyperlink" Target="http://vt.tiktok.com/ZSH3sQEKevGCo-8YMzy/" TargetMode="External"/><Relationship Id="rId205" Type="http://schemas.openxmlformats.org/officeDocument/2006/relationships/hyperlink" Target="https://vt.tiktok.com/ZSH3sd9a7CKGd-4w3pn/" TargetMode="External"/><Relationship Id="rId204" Type="http://schemas.openxmlformats.org/officeDocument/2006/relationships/hyperlink" Target="http://vt.tiktok.com/ZSH3sdN765dsR-qIzFN/" TargetMode="External"/><Relationship Id="rId203" Type="http://schemas.openxmlformats.org/officeDocument/2006/relationships/hyperlink" Target="https://vt.tiktok.com/ZSH3secfQBx9V-UEZNa/" TargetMode="External"/><Relationship Id="rId202" Type="http://schemas.openxmlformats.org/officeDocument/2006/relationships/hyperlink" Target="http://vt.tiktok.com/ZSH3seCHG48Tf-bzH2T/" TargetMode="External"/><Relationship Id="rId201" Type="http://schemas.openxmlformats.org/officeDocument/2006/relationships/hyperlink" Target="http://vt.tiktok.com/ZSH3pKaUpA7Mq-VUsjN/" TargetMode="External"/><Relationship Id="rId200" Type="http://schemas.openxmlformats.org/officeDocument/2006/relationships/hyperlink" Target="https://vt.tiktok.com/ZSH3qsugQ5h1B-GPjnw/" TargetMode="External"/><Relationship Id="rId20" Type="http://schemas.openxmlformats.org/officeDocument/2006/relationships/hyperlink" Target="https://vt.tiktok.com/ZSH7Lgbn2LHLq-HsvDb/" TargetMode="External"/><Relationship Id="rId2" Type="http://schemas.openxmlformats.org/officeDocument/2006/relationships/hyperlink" Target="https://vt.tiktok.com/ZSHT5xkbLkLs2-G2Wqn/" TargetMode="External"/><Relationship Id="rId199" Type="http://schemas.openxmlformats.org/officeDocument/2006/relationships/hyperlink" Target="http://vt.tiktok.com/ZSH3qsJagVCY7-xFujd/" TargetMode="External"/><Relationship Id="rId198" Type="http://schemas.openxmlformats.org/officeDocument/2006/relationships/hyperlink" Target="https://vt.tiktok.com/ZSH3LbUDptHEo-23Ur6/" TargetMode="External"/><Relationship Id="rId197" Type="http://schemas.openxmlformats.org/officeDocument/2006/relationships/hyperlink" Target="https://vt.tiktok.com/ZSH3Lb1u3mxxo-HuFhA/" TargetMode="External"/><Relationship Id="rId196" Type="http://schemas.openxmlformats.org/officeDocument/2006/relationships/hyperlink" Target="http://vt.tiktok.com/ZSH38baoVCL55-odX8K/" TargetMode="External"/><Relationship Id="rId195" Type="http://schemas.openxmlformats.org/officeDocument/2006/relationships/hyperlink" Target="https://vt.tiktok.com/ZSH38bJyjmDQ7-sA4Xd/" TargetMode="External"/><Relationship Id="rId194" Type="http://schemas.openxmlformats.org/officeDocument/2006/relationships/hyperlink" Target="https://vt.tiktok.com/ZSH38q4G1TYV6-H3HMP/" TargetMode="External"/><Relationship Id="rId193" Type="http://schemas.openxmlformats.org/officeDocument/2006/relationships/hyperlink" Target="https://vt.tiktok.com/ZSH38qrj5rdM6-5qeoo/" TargetMode="External"/><Relationship Id="rId192" Type="http://schemas.openxmlformats.org/officeDocument/2006/relationships/hyperlink" Target="http://vt.tiktok.com/ZSH38QfohtSKk-De2Q3/" TargetMode="External"/><Relationship Id="rId191" Type="http://schemas.openxmlformats.org/officeDocument/2006/relationships/hyperlink" Target="http://vt.tiktok.com/ZSH38xdgMYTPK-vdPmb/" TargetMode="External"/><Relationship Id="rId190" Type="http://schemas.openxmlformats.org/officeDocument/2006/relationships/hyperlink" Target="http://vt.tiktok.com/ZSH389aGCMAmH-pqUzx/" TargetMode="External"/><Relationship Id="rId19" Type="http://schemas.openxmlformats.org/officeDocument/2006/relationships/hyperlink" Target="https://vt.tiktok.com/ZSH7Ndvb2tyJF-32oqi/" TargetMode="External"/><Relationship Id="rId189" Type="http://schemas.openxmlformats.org/officeDocument/2006/relationships/hyperlink" Target="http://vt.tiktok.com/ZSH38HUavXT7c-BtXpv/" TargetMode="External"/><Relationship Id="rId188" Type="http://schemas.openxmlformats.org/officeDocument/2006/relationships/hyperlink" Target="http://vt.tiktok.com/ZSH38usPYMQ5v-TD6cN/" TargetMode="External"/><Relationship Id="rId187" Type="http://schemas.openxmlformats.org/officeDocument/2006/relationships/hyperlink" Target="http://vt.tiktok.com/ZSH38uL9PdFAM-pk7cQ/" TargetMode="External"/><Relationship Id="rId186" Type="http://schemas.openxmlformats.org/officeDocument/2006/relationships/hyperlink" Target="http://vt.tiktok.com/ZSH38aryMdeqy-Dz272/" TargetMode="External"/><Relationship Id="rId185" Type="http://schemas.openxmlformats.org/officeDocument/2006/relationships/hyperlink" Target="http://vt.tiktok.com/ZSH38PV9CCLfr-oaxJ2/" TargetMode="External"/><Relationship Id="rId184" Type="http://schemas.openxmlformats.org/officeDocument/2006/relationships/hyperlink" Target="http://vt.tiktok.com/ZSH38yaPANAvh-gcOrh/" TargetMode="External"/><Relationship Id="rId183" Type="http://schemas.openxmlformats.org/officeDocument/2006/relationships/hyperlink" Target="http://vt.tiktok.com/ZSH38DE82w88c-n1nNy/" TargetMode="External"/><Relationship Id="rId182" Type="http://schemas.openxmlformats.org/officeDocument/2006/relationships/hyperlink" Target="http://vt.tiktok.com/ZSH38DQ2owmDv-bbgwz/" TargetMode="External"/><Relationship Id="rId181" Type="http://schemas.openxmlformats.org/officeDocument/2006/relationships/hyperlink" Target="http://vt.tiktok.com/ZSH38D2ewLVE4-67lu3/" TargetMode="External"/><Relationship Id="rId180" Type="http://schemas.openxmlformats.org/officeDocument/2006/relationships/hyperlink" Target="http://vt.tiktok.com/ZSH3e2Ttwb3JR-I7xkS/" TargetMode="External"/><Relationship Id="rId18" Type="http://schemas.openxmlformats.org/officeDocument/2006/relationships/hyperlink" Target="https://vt.tiktok.com/ZSH7j84V5qkYB-uvpSC/" TargetMode="External"/><Relationship Id="rId179" Type="http://schemas.openxmlformats.org/officeDocument/2006/relationships/hyperlink" Target="https://vt.tiktok.com/ZSH3JMPtmuQGL-LkgVM/" TargetMode="External"/><Relationship Id="rId178" Type="http://schemas.openxmlformats.org/officeDocument/2006/relationships/hyperlink" Target="https://vt.tiktok.com/ZSHctVPjbj71o-N1E19/" TargetMode="External"/><Relationship Id="rId177" Type="http://schemas.openxmlformats.org/officeDocument/2006/relationships/hyperlink" Target="https://vt.tiktok.com/ZSHctxocLD3ne-CXWr7/" TargetMode="External"/><Relationship Id="rId176" Type="http://schemas.openxmlformats.org/officeDocument/2006/relationships/hyperlink" Target="https://vt.tiktok.com/ZSHctxt9pvaHP-D0LwY/" TargetMode="External"/><Relationship Id="rId175" Type="http://schemas.openxmlformats.org/officeDocument/2006/relationships/hyperlink" Target="https://vt.tiktok.com/ZSHctxaYypGu9-4Xpoz/" TargetMode="External"/><Relationship Id="rId174" Type="http://schemas.openxmlformats.org/officeDocument/2006/relationships/hyperlink" Target="http://vt.tiktok.com/ZSHKYxve2953K-XXikb/" TargetMode="External"/><Relationship Id="rId173" Type="http://schemas.openxmlformats.org/officeDocument/2006/relationships/hyperlink" Target="http://vt.tiktok.com/ZSHKF3X5xvrrw-deqVN/" TargetMode="External"/><Relationship Id="rId172" Type="http://schemas.openxmlformats.org/officeDocument/2006/relationships/hyperlink" Target="https://vt.tiktok.com/ZSHK88LWEcP37-hNk3y/" TargetMode="External"/><Relationship Id="rId171" Type="http://schemas.openxmlformats.org/officeDocument/2006/relationships/hyperlink" Target="http://vt.tiktok.com/ZSHwwU2eUSmf8-pYUS0/" TargetMode="External"/><Relationship Id="rId170" Type="http://schemas.openxmlformats.org/officeDocument/2006/relationships/hyperlink" Target="http://vt.tiktok.com/ZSHwuYeD4Lmof-VlpiH/" TargetMode="External"/><Relationship Id="rId17" Type="http://schemas.openxmlformats.org/officeDocument/2006/relationships/hyperlink" Target="https://vt.tiktok.com/ZSHWtvcSCDp5X-ykV3E/" TargetMode="External"/><Relationship Id="rId169" Type="http://schemas.openxmlformats.org/officeDocument/2006/relationships/hyperlink" Target="https://vt.tiktok.com/ZSHwfwDCCABXy-2kLm9/" TargetMode="External"/><Relationship Id="rId168" Type="http://schemas.openxmlformats.org/officeDocument/2006/relationships/hyperlink" Target="https://vt.tiktok.com/ZSHTpuHqNbcDV-fNNtb/" TargetMode="External"/><Relationship Id="rId167" Type="http://schemas.openxmlformats.org/officeDocument/2006/relationships/hyperlink" Target="https://vt.tiktok.com/ZSHTpuRJKJVT8-6WMX3/" TargetMode="External"/><Relationship Id="rId166" Type="http://schemas.openxmlformats.org/officeDocument/2006/relationships/hyperlink" Target="https://vt.tiktok.com/ZSHTpm7X261bP-om4E5/" TargetMode="External"/><Relationship Id="rId165" Type="http://schemas.openxmlformats.org/officeDocument/2006/relationships/hyperlink" Target="http://vt.tiktok.com/ZSHTpa4jQbrVw-mirei/" TargetMode="External"/><Relationship Id="rId164" Type="http://schemas.openxmlformats.org/officeDocument/2006/relationships/hyperlink" Target="http://vt.tiktok.com/ZSHTparSLjP3W-0iSli/" TargetMode="External"/><Relationship Id="rId163" Type="http://schemas.openxmlformats.org/officeDocument/2006/relationships/hyperlink" Target="http://vt.tiktok.com/ZSHTp5KkHhjsG-b1kdC/" TargetMode="External"/><Relationship Id="rId162" Type="http://schemas.openxmlformats.org/officeDocument/2006/relationships/hyperlink" Target="http://vt.tiktok.com/ZSHTp5xSG2aKg-huJsI/" TargetMode="External"/><Relationship Id="rId161" Type="http://schemas.openxmlformats.org/officeDocument/2006/relationships/hyperlink" Target="https://vt.tiktok.com/ZSHTp5h4SGLU5-hWHWk/" TargetMode="External"/><Relationship Id="rId160" Type="http://schemas.openxmlformats.org/officeDocument/2006/relationships/hyperlink" Target="http://vt.tiktok.com/ZSHTp5dJ8SFg6-dhn9k/" TargetMode="External"/><Relationship Id="rId16" Type="http://schemas.openxmlformats.org/officeDocument/2006/relationships/hyperlink" Target="http://vt.tiktok.com/ZSHwPGSCTjSSc-GaE44/" TargetMode="External"/><Relationship Id="rId159" Type="http://schemas.openxmlformats.org/officeDocument/2006/relationships/hyperlink" Target="https://vt.tiktok.com/ZSHK3NfFnT1HJ-NKVYN/" TargetMode="External"/><Relationship Id="rId158" Type="http://schemas.openxmlformats.org/officeDocument/2006/relationships/hyperlink" Target="http://vt.tiktok.com/ZSHT5uPf11a8G-snPG4/" TargetMode="External"/><Relationship Id="rId157" Type="http://schemas.openxmlformats.org/officeDocument/2006/relationships/hyperlink" Target="https://vt.tiktok.com/ZSHTyckAeCCu6-ir2Iz/" TargetMode="External"/><Relationship Id="rId156" Type="http://schemas.openxmlformats.org/officeDocument/2006/relationships/hyperlink" Target="http://vt.tiktok.com/ZSHTycRB6jBt5-yn2B9/" TargetMode="External"/><Relationship Id="rId155" Type="http://schemas.openxmlformats.org/officeDocument/2006/relationships/hyperlink" Target="http://vt.tiktok.com/ZSHTyv7vas3KM-8M3tN/" TargetMode="External"/><Relationship Id="rId154" Type="http://schemas.openxmlformats.org/officeDocument/2006/relationships/hyperlink" Target="https://vt.tiktok.com/ZSHTyvCKEDpSe-Sekge/" TargetMode="External"/><Relationship Id="rId153" Type="http://schemas.openxmlformats.org/officeDocument/2006/relationships/hyperlink" Target="https://vt.tiktok.com/ZSHTyvDqY9EUK-x5Bfs/" TargetMode="External"/><Relationship Id="rId152" Type="http://schemas.openxmlformats.org/officeDocument/2006/relationships/hyperlink" Target="https://vt.tiktok.com/ZSHTy7p35HgUD-1tESd/" TargetMode="External"/><Relationship Id="rId151" Type="http://schemas.openxmlformats.org/officeDocument/2006/relationships/hyperlink" Target="https://vt.tiktok.com/ZSHTy7f9TC4BU-rilXz/" TargetMode="External"/><Relationship Id="rId150" Type="http://schemas.openxmlformats.org/officeDocument/2006/relationships/hyperlink" Target="http://vt.tiktok.com/ZSHTF8uWQhsvP-3Eb3r/" TargetMode="External"/><Relationship Id="rId15" Type="http://schemas.openxmlformats.org/officeDocument/2006/relationships/hyperlink" Target="https://vt.tiktok.com/ZSHTvKL3hndtb-uvPEK/" TargetMode="External"/><Relationship Id="rId149" Type="http://schemas.openxmlformats.org/officeDocument/2006/relationships/hyperlink" Target="https://vt.tiktok.com/ZSH3W91h45XQV-JecZp/" TargetMode="External"/><Relationship Id="rId148" Type="http://schemas.openxmlformats.org/officeDocument/2006/relationships/hyperlink" Target="http://vt.tiktok.com/ZSH3sJ4xjSSf6-UniiU/" TargetMode="External"/><Relationship Id="rId147" Type="http://schemas.openxmlformats.org/officeDocument/2006/relationships/hyperlink" Target="http://vt.tiktok.com/ZSH3pokEgqW9b-n8GbM/" TargetMode="External"/><Relationship Id="rId146" Type="http://schemas.openxmlformats.org/officeDocument/2006/relationships/hyperlink" Target="https://vt.tiktok.com/ZSH3poJgdULPn-JT6Hk/" TargetMode="External"/><Relationship Id="rId145" Type="http://schemas.openxmlformats.org/officeDocument/2006/relationships/hyperlink" Target="https://vt.tiktok.com/ZSH3pEmTX7KeT-WjBMM/" TargetMode="External"/><Relationship Id="rId144" Type="http://schemas.openxmlformats.org/officeDocument/2006/relationships/hyperlink" Target="https://vt.tiktok.com/ZSH3pKGDMpHba-phL5s/" TargetMode="External"/><Relationship Id="rId143" Type="http://schemas.openxmlformats.org/officeDocument/2006/relationships/hyperlink" Target="http://vt.tiktok.com/ZSH3qpmB7urXd-xJ7oT/" TargetMode="External"/><Relationship Id="rId142" Type="http://schemas.openxmlformats.org/officeDocument/2006/relationships/hyperlink" Target="http://vt.tiktok.com/ZSH3qggba2MgN-w4O4I/" TargetMode="External"/><Relationship Id="rId141" Type="http://schemas.openxmlformats.org/officeDocument/2006/relationships/hyperlink" Target="http://vt.tiktok.com/ZSH3qg6eL4Mea-sJG93/" TargetMode="External"/><Relationship Id="rId140" Type="http://schemas.openxmlformats.org/officeDocument/2006/relationships/hyperlink" Target="https://vt.tiktok.com/ZSH7NBpQbDSxX-f19tn/" TargetMode="External"/><Relationship Id="rId14" Type="http://schemas.openxmlformats.org/officeDocument/2006/relationships/hyperlink" Target="https://vt.tiktok.com/ZSHTgnFdqUWup-YP87x/" TargetMode="External"/><Relationship Id="rId139" Type="http://schemas.openxmlformats.org/officeDocument/2006/relationships/hyperlink" Target="http://vt.tiktok.com/ZSH3LcgSdghc7-0Pxgh/" TargetMode="External"/><Relationship Id="rId138" Type="http://schemas.openxmlformats.org/officeDocument/2006/relationships/hyperlink" Target="http://vt.tiktok.com/ZSH3LcdpupTF8-T7uGn/" TargetMode="External"/><Relationship Id="rId137" Type="http://schemas.openxmlformats.org/officeDocument/2006/relationships/hyperlink" Target="https://vt.tiktok.com/ZSHctqFGKrVod-ao81l/" TargetMode="External"/><Relationship Id="rId136" Type="http://schemas.openxmlformats.org/officeDocument/2006/relationships/hyperlink" Target="https://vt.tiktok.com/ZSHctVsJK4C4W-yqaGE/" TargetMode="External"/><Relationship Id="rId135" Type="http://schemas.openxmlformats.org/officeDocument/2006/relationships/hyperlink" Target="http://vt.tiktok.com/ZSHct4HfwCghm-fmzX8/" TargetMode="External"/><Relationship Id="rId134" Type="http://schemas.openxmlformats.org/officeDocument/2006/relationships/hyperlink" Target="http://vt.tiktok.com/ZSHctQsDwurmC-uWqoR/" TargetMode="External"/><Relationship Id="rId133" Type="http://schemas.openxmlformats.org/officeDocument/2006/relationships/hyperlink" Target="https://vt.tiktok.com/ZSHctQjw23DvS-mOJjn/" TargetMode="External"/><Relationship Id="rId132" Type="http://schemas.openxmlformats.org/officeDocument/2006/relationships/hyperlink" Target="http://vt.tiktok.com/ZSHct9t3QcPY3-q21go/" TargetMode="External"/><Relationship Id="rId131" Type="http://schemas.openxmlformats.org/officeDocument/2006/relationships/hyperlink" Target="https://vt.tiktok.com/ZSHct9Pdasvyg-MDbDW/" TargetMode="External"/><Relationship Id="rId130" Type="http://schemas.openxmlformats.org/officeDocument/2006/relationships/hyperlink" Target="http://vt.tiktok.com/ZSHct9en1VjSj-gjtmo/" TargetMode="External"/><Relationship Id="rId13" Type="http://schemas.openxmlformats.org/officeDocument/2006/relationships/hyperlink" Target="https://vt.tiktok.com/ZSHT5QQVjeqPT-JDPNG/" TargetMode="External"/><Relationship Id="rId129" Type="http://schemas.openxmlformats.org/officeDocument/2006/relationships/hyperlink" Target="https://vt.tiktok.com/ZSHctHq5w5m5q-ahkRM/" TargetMode="External"/><Relationship Id="rId128" Type="http://schemas.openxmlformats.org/officeDocument/2006/relationships/hyperlink" Target="http://vt.tiktok.com/ZSHctuG8ugvr3-aDiFB/" TargetMode="External"/><Relationship Id="rId127" Type="http://schemas.openxmlformats.org/officeDocument/2006/relationships/hyperlink" Target="https://vt.tiktok.com/ZSHcBkKrUMxYT-kwzd5/" TargetMode="External"/><Relationship Id="rId126" Type="http://schemas.openxmlformats.org/officeDocument/2006/relationships/hyperlink" Target="https://vt.tiktok.com/ZSHcBkut8oD4s-Gknv1/" TargetMode="External"/><Relationship Id="rId125" Type="http://schemas.openxmlformats.org/officeDocument/2006/relationships/hyperlink" Target="https://vt.tiktok.com/ZSHvWV73WPLv1-CBOGO/" TargetMode="External"/><Relationship Id="rId124" Type="http://schemas.openxmlformats.org/officeDocument/2006/relationships/hyperlink" Target="https://vt.tiktok.com/ZSHvW4xnNbWcN-eiI2u/" TargetMode="External"/><Relationship Id="rId123" Type="http://schemas.openxmlformats.org/officeDocument/2006/relationships/hyperlink" Target="https://vt.tiktok.com/ZSHvVpjb757MA-sRvLs/" TargetMode="External"/><Relationship Id="rId122" Type="http://schemas.openxmlformats.org/officeDocument/2006/relationships/hyperlink" Target="https://vt.tiktok.com/ZSHv4AUgHTJST-3YVdb/" TargetMode="External"/><Relationship Id="rId121" Type="http://schemas.openxmlformats.org/officeDocument/2006/relationships/hyperlink" Target="https://vt.tiktok.com/ZSHvQNumocHF8-VevS1/" TargetMode="External"/><Relationship Id="rId120" Type="http://schemas.openxmlformats.org/officeDocument/2006/relationships/hyperlink" Target="https://vt.tiktok.com/ZSHvQdWqnXj8B-Fy4mS/" TargetMode="External"/><Relationship Id="rId12" Type="http://schemas.openxmlformats.org/officeDocument/2006/relationships/hyperlink" Target="http://vt.tiktok.com/ZSHT5QS4FLkPv-dJBAW/" TargetMode="External"/><Relationship Id="rId119" Type="http://schemas.openxmlformats.org/officeDocument/2006/relationships/hyperlink" Target="https://vt.tiktok.com/ZSHvyQkjJnE7t-t6S3k/" TargetMode="External"/><Relationship Id="rId118" Type="http://schemas.openxmlformats.org/officeDocument/2006/relationships/hyperlink" Target="https://vt.tiktok.com/ZSHvy9wqM8s7B-YTx6i/" TargetMode="External"/><Relationship Id="rId117" Type="http://schemas.openxmlformats.org/officeDocument/2006/relationships/hyperlink" Target="https://vt.tiktok.com/ZSHvyPrqoBYC7-vlZ6F/" TargetMode="External"/><Relationship Id="rId116" Type="http://schemas.openxmlformats.org/officeDocument/2006/relationships/hyperlink" Target="https://vt.tiktok.com/ZSHvyyxneDPuM-Pm0GL/" TargetMode="External"/><Relationship Id="rId115" Type="http://schemas.openxmlformats.org/officeDocument/2006/relationships/hyperlink" Target="https://vt.tiktok.com/ZSHvrN6oBDF9S-Pe5lI/" TargetMode="External"/><Relationship Id="rId114" Type="http://schemas.openxmlformats.org/officeDocument/2006/relationships/hyperlink" Target="https://vt.tiktok.com/ZSHvMbfAvWbER-wwuNp/" TargetMode="External"/><Relationship Id="rId113" Type="http://schemas.openxmlformats.org/officeDocument/2006/relationships/hyperlink" Target="https://vt.tiktok.com/ZSH7buAaBFMeX-TXDKA/" TargetMode="External"/><Relationship Id="rId112" Type="http://schemas.openxmlformats.org/officeDocument/2006/relationships/hyperlink" Target="https://vt.tiktok.com/ZSH7bmb78Kc3r-0rHGS/" TargetMode="External"/><Relationship Id="rId111" Type="http://schemas.openxmlformats.org/officeDocument/2006/relationships/hyperlink" Target="https://vt.tiktok.com/ZSH7b5nTemYfY-9W1tq/" TargetMode="External"/><Relationship Id="rId110" Type="http://schemas.openxmlformats.org/officeDocument/2006/relationships/hyperlink" Target="https://vt.tiktok.com/ZSH7vfCmGa4NA-v6A4b/" TargetMode="External"/><Relationship Id="rId11" Type="http://schemas.openxmlformats.org/officeDocument/2006/relationships/hyperlink" Target="https://vt.tiktok.com/ZSHT5xVvvowTD-sVscQ/" TargetMode="External"/><Relationship Id="rId109" Type="http://schemas.openxmlformats.org/officeDocument/2006/relationships/hyperlink" Target="https://vt.tiktok.com/ZSH7bfMsqQubN-rBYVy/" TargetMode="External"/><Relationship Id="rId108" Type="http://schemas.openxmlformats.org/officeDocument/2006/relationships/hyperlink" Target="https://vt.tiktok.com/ZSH7by5HutXHf-4nPUB/" TargetMode="External"/><Relationship Id="rId107" Type="http://schemas.openxmlformats.org/officeDocument/2006/relationships/hyperlink" Target="https://vt.tiktok.com/ZSH7bUasHcRMg-P9KzA/" TargetMode="External"/><Relationship Id="rId106" Type="http://schemas.openxmlformats.org/officeDocument/2006/relationships/hyperlink" Target="https://vt.tiktok.com/ZSH7bDogPxyUb-Kj4Vy/" TargetMode="External"/><Relationship Id="rId105" Type="http://schemas.openxmlformats.org/officeDocument/2006/relationships/hyperlink" Target="https://vt.tiktok.com/ZSH7bARYwNcpg-4PQEd/" TargetMode="External"/><Relationship Id="rId104" Type="http://schemas.openxmlformats.org/officeDocument/2006/relationships/hyperlink" Target="https://vt.tiktok.com/ZSH7bSpFgKP69-obV3u/" TargetMode="External"/><Relationship Id="rId103" Type="http://schemas.openxmlformats.org/officeDocument/2006/relationships/hyperlink" Target="https://vt.tiktok.com/ZSH7bkBYtAHvU-971Ji/" TargetMode="External"/><Relationship Id="rId102" Type="http://schemas.openxmlformats.org/officeDocument/2006/relationships/hyperlink" Target="https://vt.tiktok.com/ZSH7bhT7V7XxB-b3QEV/" TargetMode="External"/><Relationship Id="rId101" Type="http://schemas.openxmlformats.org/officeDocument/2006/relationships/hyperlink" Target="https://vt.tiktok.com/ZSH7brpawpm7j-IrON2/" TargetMode="External"/><Relationship Id="rId100" Type="http://schemas.openxmlformats.org/officeDocument/2006/relationships/hyperlink" Target="https://vt.tiktok.com/ZSH7LbqJSB2g5-Vyskk/" TargetMode="External"/><Relationship Id="rId10" Type="http://schemas.openxmlformats.org/officeDocument/2006/relationships/hyperlink" Target="https://vt.tiktok.com/ZSHTy31txRjuY-mcq9c/" TargetMode="External"/><Relationship Id="rId1" Type="http://schemas.openxmlformats.org/officeDocument/2006/relationships/hyperlink" Target="https://vt.tiktok.com/ZSH3JVkKEGdfu-PAEKZ/"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vt.tiktok.com/ZSH3D8D4ysoSm-pN74Z/" TargetMode="External"/><Relationship Id="rId98" Type="http://schemas.openxmlformats.org/officeDocument/2006/relationships/hyperlink" Target="http://vt.tiktok.com/ZSH3GL9a8osdv-Il2kq/" TargetMode="External"/><Relationship Id="rId97" Type="http://schemas.openxmlformats.org/officeDocument/2006/relationships/hyperlink" Target="http://vt.tiktok.com/ZSH3DJDfYNofh-DjTy6/" TargetMode="External"/><Relationship Id="rId96" Type="http://schemas.openxmlformats.org/officeDocument/2006/relationships/hyperlink" Target="http://vt.tiktok.com/ZSH3D1S8DACat-1VtIQ/" TargetMode="External"/><Relationship Id="rId95" Type="http://schemas.openxmlformats.org/officeDocument/2006/relationships/hyperlink" Target="https://vt.tiktok.com/ZSH3AopsaaoSK-H75qh/" TargetMode="External"/><Relationship Id="rId94" Type="http://schemas.openxmlformats.org/officeDocument/2006/relationships/hyperlink" Target="http://vt.tiktok.com/ZSH3AQbDc7tCj-RCjP7/" TargetMode="External"/><Relationship Id="rId93" Type="http://schemas.openxmlformats.org/officeDocument/2006/relationships/hyperlink" Target="https://vt.tiktok.com/ZSHwfwE3jAXHU-NzLcG/" TargetMode="External"/><Relationship Id="rId92" Type="http://schemas.openxmlformats.org/officeDocument/2006/relationships/hyperlink" Target="https://vt.tiktok.com/ZSH3sFRmof8At-lqpa3/" TargetMode="External"/><Relationship Id="rId91" Type="http://schemas.openxmlformats.org/officeDocument/2006/relationships/hyperlink" Target="https://vt.tiktok.com/ZSH3fNyJbAFvj-GOYGH/" TargetMode="External"/><Relationship Id="rId90" Type="http://schemas.openxmlformats.org/officeDocument/2006/relationships/hyperlink" Target="http://vt.tiktok.com/ZSH3fLErkcT26-fFXoC/" TargetMode="External"/><Relationship Id="rId9" Type="http://schemas.openxmlformats.org/officeDocument/2006/relationships/hyperlink" Target="http://vt.tiktok.com/ZSHwuRY3xvy9L-8M7P7/" TargetMode="External"/><Relationship Id="rId89" Type="http://schemas.openxmlformats.org/officeDocument/2006/relationships/hyperlink" Target="http://vt.tiktok.com/ZSH3fLQMXwfWj-AhrLT/" TargetMode="External"/><Relationship Id="rId88" Type="http://schemas.openxmlformats.org/officeDocument/2006/relationships/hyperlink" Target="http://vt.tiktok.com/ZSH3fRn9QUwyt-ahEvI/" TargetMode="External"/><Relationship Id="rId87" Type="http://schemas.openxmlformats.org/officeDocument/2006/relationships/hyperlink" Target="http://vt.tiktok.com/ZSH3fRjfjoR5M-Y9R26/" TargetMode="External"/><Relationship Id="rId86" Type="http://schemas.openxmlformats.org/officeDocument/2006/relationships/hyperlink" Target="http://vt.tiktok.com/ZSH3fdfMJrjwg-B5FKc/" TargetMode="External"/><Relationship Id="rId85" Type="http://schemas.openxmlformats.org/officeDocument/2006/relationships/hyperlink" Target="http://vt.tiktok.com/ZSH3fdFTLhpRh-dNnei/" TargetMode="External"/><Relationship Id="rId84" Type="http://schemas.openxmlformats.org/officeDocument/2006/relationships/hyperlink" Target="http://vt.tiktok.com/ZSH3DYxg4o3Bc-p3O7H/" TargetMode="External"/><Relationship Id="rId83" Type="http://schemas.openxmlformats.org/officeDocument/2006/relationships/hyperlink" Target="https://vt.tiktok.com/ZSHcggTkUPnhj-cFd70/" TargetMode="External"/><Relationship Id="rId82" Type="http://schemas.openxmlformats.org/officeDocument/2006/relationships/hyperlink" Target="https://vt.tiktok.com/ZSHcggCNW4MjW-qVqm2/" TargetMode="External"/><Relationship Id="rId81" Type="http://schemas.openxmlformats.org/officeDocument/2006/relationships/hyperlink" Target="http://vt.tiktok.com/ZSHcg5ECDgvyj-UNgLY/" TargetMode="External"/><Relationship Id="rId80" Type="http://schemas.openxmlformats.org/officeDocument/2006/relationships/hyperlink" Target="https://vt.tiktok.com/ZSHcgxDF6Kvgj-upwhT/" TargetMode="External"/><Relationship Id="rId8" Type="http://schemas.openxmlformats.org/officeDocument/2006/relationships/hyperlink" Target="https://vt.tiktok.com/ZSHwJgCqjNkdt-3sTEv/" TargetMode="External"/><Relationship Id="rId79" Type="http://schemas.openxmlformats.org/officeDocument/2006/relationships/hyperlink" Target="https://vt.tiktok.com/ZSHcg9qkTL5ob-Qv0gv/" TargetMode="External"/><Relationship Id="rId78" Type="http://schemas.openxmlformats.org/officeDocument/2006/relationships/hyperlink" Target="http://vt.tiktok.com/ZSHcgHM9616G6-mTXgo/" TargetMode="External"/><Relationship Id="rId77" Type="http://schemas.openxmlformats.org/officeDocument/2006/relationships/hyperlink" Target="https://vt.tiktok.com/ZSHcbNJVcgj8P-gutUn/" TargetMode="External"/><Relationship Id="rId76" Type="http://schemas.openxmlformats.org/officeDocument/2006/relationships/hyperlink" Target="http://vt.tiktok.com/ZSHcgmgp53rqv-IVRh9/" TargetMode="External"/><Relationship Id="rId75" Type="http://schemas.openxmlformats.org/officeDocument/2006/relationships/hyperlink" Target="https://vt.tiktok.com/ZSHcgmAy63dNt-5TRGb/" TargetMode="External"/><Relationship Id="rId74" Type="http://schemas.openxmlformats.org/officeDocument/2006/relationships/hyperlink" Target="http://vt.tiktok.com/ZSHcg5fKyP1k6-o4Rrn/" TargetMode="External"/><Relationship Id="rId73" Type="http://schemas.openxmlformats.org/officeDocument/2006/relationships/hyperlink" Target="http://vt.tiktok.com/ZSHcgPJP6fYns-qpTtH/" TargetMode="External"/><Relationship Id="rId72" Type="http://schemas.openxmlformats.org/officeDocument/2006/relationships/hyperlink" Target="https://vt.tiktok.com/ZSHcgfWSev2fT-F7QpS/" TargetMode="External"/><Relationship Id="rId71" Type="http://schemas.openxmlformats.org/officeDocument/2006/relationships/hyperlink" Target="https://vt.tiktok.com/ZSHcgykUDjBeA-gBY8B/" TargetMode="External"/><Relationship Id="rId70" Type="http://schemas.openxmlformats.org/officeDocument/2006/relationships/hyperlink" Target="https://vt.tiktok.com/ZSHc9Hqh68tfC-3Gm9E/" TargetMode="External"/><Relationship Id="rId7" Type="http://schemas.openxmlformats.org/officeDocument/2006/relationships/hyperlink" Target="https://vt.tiktok.com/ZSHTyADPwvxCQ-owpTt/" TargetMode="External"/><Relationship Id="rId69" Type="http://schemas.openxmlformats.org/officeDocument/2006/relationships/hyperlink" Target="https://vt.tiktok.com/ZSHvQHFYyY2ah-KuQXY/" TargetMode="External"/><Relationship Id="rId68" Type="http://schemas.openxmlformats.org/officeDocument/2006/relationships/hyperlink" Target="https://vt.tiktok.com/ZSHwfvjHuxYVX-4ntVg/" TargetMode="External"/><Relationship Id="rId67" Type="http://schemas.openxmlformats.org/officeDocument/2006/relationships/hyperlink" Target="http://vt.tiktok.com/ZSHT4CKfVeUyJ-7Ti9g/" TargetMode="External"/><Relationship Id="rId66" Type="http://schemas.openxmlformats.org/officeDocument/2006/relationships/hyperlink" Target="http://vt.tiktok.com/ZSHTmBf9mwWGh-Vu47O/" TargetMode="External"/><Relationship Id="rId65" Type="http://schemas.openxmlformats.org/officeDocument/2006/relationships/hyperlink" Target="http://vt.tiktok.com/ZSH3uTAKmanms-wW2St/" TargetMode="External"/><Relationship Id="rId64" Type="http://schemas.openxmlformats.org/officeDocument/2006/relationships/hyperlink" Target="https://vt.tiktok.com/ZSHTmkbQggLNM-XJfaf/" TargetMode="External"/><Relationship Id="rId63" Type="http://schemas.openxmlformats.org/officeDocument/2006/relationships/hyperlink" Target="https://vt.tiktok.com/ZSHTmhufKxVbW-R9U60/" TargetMode="External"/><Relationship Id="rId62" Type="http://schemas.openxmlformats.org/officeDocument/2006/relationships/hyperlink" Target="http://vt.tiktok.com/ZSHTmh3TH3EHe-V5Jea/" TargetMode="External"/><Relationship Id="rId61" Type="http://schemas.openxmlformats.org/officeDocument/2006/relationships/hyperlink" Target="https://vt.tiktok.com/ZSHTmhGSD2gEq-JYkXO/" TargetMode="External"/><Relationship Id="rId60" Type="http://schemas.openxmlformats.org/officeDocument/2006/relationships/hyperlink" Target="http://vt.tiktok.com/ZSH3mVTanoAar-CIvA6/" TargetMode="External"/><Relationship Id="rId6" Type="http://schemas.openxmlformats.org/officeDocument/2006/relationships/hyperlink" Target="https://vt.tiktok.com/ZSHcgBMHhYXqy-Ulq70/" TargetMode="External"/><Relationship Id="rId59" Type="http://schemas.openxmlformats.org/officeDocument/2006/relationships/hyperlink" Target="http://vt.tiktok.com/ZSH3mVoEJx32x-juqho/" TargetMode="External"/><Relationship Id="rId58" Type="http://schemas.openxmlformats.org/officeDocument/2006/relationships/hyperlink" Target="http://vt.tiktok.com/ZSHTmrEGU2YK8-gKfRB/" TargetMode="External"/><Relationship Id="rId57" Type="http://schemas.openxmlformats.org/officeDocument/2006/relationships/hyperlink" Target="https://vt.tiktok.com/ZSHcgCkeeLTVC-zgZzP/" TargetMode="External"/><Relationship Id="rId56" Type="http://schemas.openxmlformats.org/officeDocument/2006/relationships/hyperlink" Target="https://vt.tiktok.com/ZSHcgQP8PF6m6-Tunpb/" TargetMode="External"/><Relationship Id="rId55" Type="http://schemas.openxmlformats.org/officeDocument/2006/relationships/hyperlink" Target="http://vt.tiktok.com/ZSHTmhkKESGh8-Ojpqq/" TargetMode="External"/><Relationship Id="rId54" Type="http://schemas.openxmlformats.org/officeDocument/2006/relationships/hyperlink" Target="http://vt.tiktok.com/ZSHwJWdJm4ywU-2wV4b/" TargetMode="External"/><Relationship Id="rId53" Type="http://schemas.openxmlformats.org/officeDocument/2006/relationships/hyperlink" Target="http://vt.tiktok.com/ZSHwJnbAFKkVX-gd281/" TargetMode="External"/><Relationship Id="rId52" Type="http://schemas.openxmlformats.org/officeDocument/2006/relationships/hyperlink" Target="https://vt.tiktok.com/ZSHwJnUxWNMqM-P9xhO/" TargetMode="External"/><Relationship Id="rId51" Type="http://schemas.openxmlformats.org/officeDocument/2006/relationships/hyperlink" Target="http://vt.tiktok.com/ZSHwJndacuUbW-00ayg/" TargetMode="External"/><Relationship Id="rId50" Type="http://schemas.openxmlformats.org/officeDocument/2006/relationships/hyperlink" Target="http://vt.tiktok.com/ZSHwJGPmHhxF8-rPPPa/" TargetMode="External"/><Relationship Id="rId5" Type="http://schemas.openxmlformats.org/officeDocument/2006/relationships/hyperlink" Target="https://vt.tiktok.com/ZSHcghp41VJEo-vHtEW/" TargetMode="External"/><Relationship Id="rId49" Type="http://schemas.openxmlformats.org/officeDocument/2006/relationships/hyperlink" Target="http://vt.tiktok.com/ZSHwJb2ktqMAM-f04lc/" TargetMode="External"/><Relationship Id="rId48" Type="http://schemas.openxmlformats.org/officeDocument/2006/relationships/hyperlink" Target="https://vt.tiktok.com/ZSHwJVt8XpXXw-YV575/" TargetMode="External"/><Relationship Id="rId47" Type="http://schemas.openxmlformats.org/officeDocument/2006/relationships/hyperlink" Target="https://vt.tiktok.com/ZSHwJ4Xeu8w8t-qytbI/" TargetMode="External"/><Relationship Id="rId46" Type="http://schemas.openxmlformats.org/officeDocument/2006/relationships/hyperlink" Target="http://vt.tiktok.com/ZSHT3y6vGj25E-4tZqq/" TargetMode="External"/><Relationship Id="rId45" Type="http://schemas.openxmlformats.org/officeDocument/2006/relationships/hyperlink" Target="http://vt.tiktok.com/ZSHTcKW45yJeU-ygV3C/" TargetMode="External"/><Relationship Id="rId44" Type="http://schemas.openxmlformats.org/officeDocument/2006/relationships/hyperlink" Target="https://vt.tiktok.com/ZSHT4oj5HU35T-jV046/" TargetMode="External"/><Relationship Id="rId43" Type="http://schemas.openxmlformats.org/officeDocument/2006/relationships/hyperlink" Target="https://vt.tiktok.com/ZSHT4EELbuLhj-skV2h/" TargetMode="External"/><Relationship Id="rId42" Type="http://schemas.openxmlformats.org/officeDocument/2006/relationships/hyperlink" Target="https://vt.tiktok.com/ZSHT4KHfWtMeh-dUPIR/" TargetMode="External"/><Relationship Id="rId41" Type="http://schemas.openxmlformats.org/officeDocument/2006/relationships/hyperlink" Target="https://vt.tiktok.com/ZSH37rcdnneGA-VTBwE/" TargetMode="External"/><Relationship Id="rId40" Type="http://schemas.openxmlformats.org/officeDocument/2006/relationships/hyperlink" Target="http://vt.tiktok.com/ZSH38Bv8koQH8-DWiYU/" TargetMode="External"/><Relationship Id="rId4" Type="http://schemas.openxmlformats.org/officeDocument/2006/relationships/hyperlink" Target="https://vt.tiktok.com/ZSHvoaN92Rdft-XwtNm/" TargetMode="External"/><Relationship Id="rId39" Type="http://schemas.openxmlformats.org/officeDocument/2006/relationships/hyperlink" Target="http://vt.tiktok.com/ZSH3fNVHmwtDL-fBVTp/" TargetMode="External"/><Relationship Id="rId38" Type="http://schemas.openxmlformats.org/officeDocument/2006/relationships/hyperlink" Target="https://vt.tiktok.com/ZSHcbUF6EFE3M-Wxlmv/" TargetMode="External"/><Relationship Id="rId37" Type="http://schemas.openxmlformats.org/officeDocument/2006/relationships/hyperlink" Target="http://vt.tiktok.com/ZSHc98sFKKwTK-s3lOJ/" TargetMode="External"/><Relationship Id="rId36" Type="http://schemas.openxmlformats.org/officeDocument/2006/relationships/hyperlink" Target="https://vt.tiktok.com/ZSHc98NE8L4S1-6iSk4/" TargetMode="External"/><Relationship Id="rId35" Type="http://schemas.openxmlformats.org/officeDocument/2006/relationships/hyperlink" Target="https://vt.tiktok.com/ZSHc9dChxmegm-yHTAZ/" TargetMode="External"/><Relationship Id="rId34" Type="http://schemas.openxmlformats.org/officeDocument/2006/relationships/hyperlink" Target="https://vt.tiktok.com/ZSHcFvktST8Hq-GoVps/" TargetMode="External"/><Relationship Id="rId33" Type="http://schemas.openxmlformats.org/officeDocument/2006/relationships/hyperlink" Target="https://vt.tiktok.com/ZSHcF7F9sRbgj-LKqDW/" TargetMode="External"/><Relationship Id="rId32" Type="http://schemas.openxmlformats.org/officeDocument/2006/relationships/hyperlink" Target="https://vt.tiktok.com/ZSHTFMrYCBCG7-TLNBE/" TargetMode="External"/><Relationship Id="rId31" Type="http://schemas.openxmlformats.org/officeDocument/2006/relationships/hyperlink" Target="http://vt.tiktok.com/ZSHTFM84h9eRH-i4StD/" TargetMode="External"/><Relationship Id="rId30" Type="http://schemas.openxmlformats.org/officeDocument/2006/relationships/hyperlink" Target="https://vt.tiktok.com/ZSHcg4LKEt8Xp-4s9lb/" TargetMode="External"/><Relationship Id="rId3" Type="http://schemas.openxmlformats.org/officeDocument/2006/relationships/hyperlink" Target="https://vt.tiktok.com/ZSHvoDqRUkG7G-g2hHZ/" TargetMode="External"/><Relationship Id="rId29" Type="http://schemas.openxmlformats.org/officeDocument/2006/relationships/hyperlink" Target="https://vt.tiktok.com/ZSHcgXc4sKN5r-zsOIT/" TargetMode="External"/><Relationship Id="rId28" Type="http://schemas.openxmlformats.org/officeDocument/2006/relationships/hyperlink" Target="https://vt.tiktok.com/ZSHcjq5HYBFbw-Lhdu4/" TargetMode="External"/><Relationship Id="rId27" Type="http://schemas.openxmlformats.org/officeDocument/2006/relationships/hyperlink" Target="http://vt.tiktok.com/ZSHTF6vvMRDKP-ZW9hy/" TargetMode="External"/><Relationship Id="rId26" Type="http://schemas.openxmlformats.org/officeDocument/2006/relationships/hyperlink" Target="https://vt.tiktok.com/ZSHcFw5SC6djS-E3jnT/" TargetMode="External"/><Relationship Id="rId25" Type="http://schemas.openxmlformats.org/officeDocument/2006/relationships/hyperlink" Target="https://vt.tiktok.com/ZSH3LDWMXKH9W-HWSMC/" TargetMode="External"/><Relationship Id="rId24" Type="http://schemas.openxmlformats.org/officeDocument/2006/relationships/hyperlink" Target="https://vt.tiktok.com/ZSHcbyP9XwnX6-JWIYn/" TargetMode="External"/><Relationship Id="rId23" Type="http://schemas.openxmlformats.org/officeDocument/2006/relationships/hyperlink" Target="http://vt.tiktok.com/ZSH3qdmRcS8Rc-Xu3Kt/" TargetMode="External"/><Relationship Id="rId22" Type="http://schemas.openxmlformats.org/officeDocument/2006/relationships/hyperlink" Target="https://vt.tiktok.com/ZSHcbyJgNCKeY-vO8oy/" TargetMode="External"/><Relationship Id="rId21" Type="http://schemas.openxmlformats.org/officeDocument/2006/relationships/hyperlink" Target="https://vt.tiktok.com/ZSHcbDpVqPGmC-8SVEj/" TargetMode="External"/><Relationship Id="rId20" Type="http://schemas.openxmlformats.org/officeDocument/2006/relationships/hyperlink" Target="https://vt.tiktok.com/ZSHcbDHcDuUdT-rwKVG/" TargetMode="External"/><Relationship Id="rId2" Type="http://schemas.openxmlformats.org/officeDocument/2006/relationships/hyperlink" Target="https://vt.tiktok.com/ZSHcFcePgjEPP-Y7WGa/" TargetMode="External"/><Relationship Id="rId19" Type="http://schemas.openxmlformats.org/officeDocument/2006/relationships/hyperlink" Target="https://vt.tiktok.com/ZSHcbSfkEjuJf-H9Blf/" TargetMode="External"/><Relationship Id="rId18" Type="http://schemas.openxmlformats.org/officeDocument/2006/relationships/hyperlink" Target="https://vt.tiktok.com/ZSHcbBUHaxyCa-OIsDD/" TargetMode="External"/><Relationship Id="rId17" Type="http://schemas.openxmlformats.org/officeDocument/2006/relationships/hyperlink" Target="https://vt.tiktok.com/ZSHcbkudBBae6-ibhns/" TargetMode="External"/><Relationship Id="rId16" Type="http://schemas.openxmlformats.org/officeDocument/2006/relationships/hyperlink" Target="https://vt.tiktok.com/ZSHcbhA2G7sTQ-wtigp/" TargetMode="External"/><Relationship Id="rId15" Type="http://schemas.openxmlformats.org/officeDocument/2006/relationships/hyperlink" Target="https://vt.tiktok.com/ZSHcbrfsmSoJh-47Zyk/" TargetMode="External"/><Relationship Id="rId14" Type="http://schemas.openxmlformats.org/officeDocument/2006/relationships/hyperlink" Target="https://vt.tiktok.com/ZSHcbrB7uGhqR-QwOle/" TargetMode="External"/><Relationship Id="rId13" Type="http://schemas.openxmlformats.org/officeDocument/2006/relationships/hyperlink" Target="https://vt.tiktok.com/ZSHcbrRPqDAN7-NPh6e/" TargetMode="External"/><Relationship Id="rId12" Type="http://schemas.openxmlformats.org/officeDocument/2006/relationships/hyperlink" Target="https://vt.tiktok.com/ZSHcbMchpHN3G-RQHSv/" TargetMode="External"/><Relationship Id="rId11" Type="http://schemas.openxmlformats.org/officeDocument/2006/relationships/hyperlink" Target="https://vt.tiktok.com/ZSHcCPwYLcYcJ-4exsN/" TargetMode="External"/><Relationship Id="rId104" Type="http://schemas.openxmlformats.org/officeDocument/2006/relationships/hyperlink" Target="http://vt.tiktok.com/ZSHK8514U3JXh-QXxP8/" TargetMode="External"/><Relationship Id="rId103" Type="http://schemas.openxmlformats.org/officeDocument/2006/relationships/hyperlink" Target="http://vt.tiktok.com/ZSHwJpkC1LfA6-PTzmO/" TargetMode="External"/><Relationship Id="rId102" Type="http://schemas.openxmlformats.org/officeDocument/2006/relationships/hyperlink" Target="https://vt.tiktok.com/ZSH3qFx8GmA9C-3m5tO/" TargetMode="External"/><Relationship Id="rId101" Type="http://schemas.openxmlformats.org/officeDocument/2006/relationships/hyperlink" Target="http://vt.tiktok.com/ZSH3qFebWrguq-sy365/" TargetMode="External"/><Relationship Id="rId100" Type="http://schemas.openxmlformats.org/officeDocument/2006/relationships/hyperlink" Target="http://vt.tiktok.com/ZSH3AEm8LTN8S-kY0Q1/" TargetMode="External"/><Relationship Id="rId10" Type="http://schemas.openxmlformats.org/officeDocument/2006/relationships/hyperlink" Target="https://vt.tiktok.com/ZSHvQCKtFb9xE-uDXUk/" TargetMode="External"/><Relationship Id="rId1" Type="http://schemas.openxmlformats.org/officeDocument/2006/relationships/hyperlink" Target="https://vt.tiktok.com/ZSHcFvn9aseTv-8UpR1/"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vt.tiktok.com/ZSHTWUeg6UmJC-uucHo/" TargetMode="External"/><Relationship Id="rId8" Type="http://schemas.openxmlformats.org/officeDocument/2006/relationships/hyperlink" Target="http://vt.tiktok.com/ZSHTWDeV9Rqtb-5539m/" TargetMode="External"/><Relationship Id="rId7" Type="http://schemas.openxmlformats.org/officeDocument/2006/relationships/hyperlink" Target="http://vt.tiktok.com/ZSHTK6M3bAhdr-cZFF3/" TargetMode="External"/><Relationship Id="rId6" Type="http://schemas.openxmlformats.org/officeDocument/2006/relationships/hyperlink" Target="https://vt.tiktok.com/ZSHTKjEU54H9x-JykWj/" TargetMode="External"/><Relationship Id="rId5" Type="http://schemas.openxmlformats.org/officeDocument/2006/relationships/hyperlink" Target="http://vt.tiktok.com/ZSHTWB75PKJKv-R4yyx/" TargetMode="External"/><Relationship Id="rId49" Type="http://schemas.openxmlformats.org/officeDocument/2006/relationships/hyperlink" Target="http://vt.tiktok.com/ZSH3DeNgvWVNA-EFYfC/" TargetMode="External"/><Relationship Id="rId48" Type="http://schemas.openxmlformats.org/officeDocument/2006/relationships/hyperlink" Target="http://vt.tiktok.com/ZSH3DLu92enht-KPJ71/" TargetMode="External"/><Relationship Id="rId47" Type="http://schemas.openxmlformats.org/officeDocument/2006/relationships/hyperlink" Target="https://vt.tiktok.com/ZSH3DdteawToA-c6kVT/" TargetMode="External"/><Relationship Id="rId46" Type="http://schemas.openxmlformats.org/officeDocument/2006/relationships/hyperlink" Target="https://vt.tiktok.com/ZSH3DeEGCuEcH-IOEQC/" TargetMode="External"/><Relationship Id="rId45" Type="http://schemas.openxmlformats.org/officeDocument/2006/relationships/hyperlink" Target="http://vt.tiktok.com/ZSH3AQ9SW7NED-RxqPB/" TargetMode="External"/><Relationship Id="rId44" Type="http://schemas.openxmlformats.org/officeDocument/2006/relationships/hyperlink" Target="https://vt.tiktok.com/ZSHcgUeYGdLXC-bf6a2/" TargetMode="External"/><Relationship Id="rId43" Type="http://schemas.openxmlformats.org/officeDocument/2006/relationships/hyperlink" Target="https://vt.tiktok.com/ZSHTSsJxuqWCj-YJUuj/" TargetMode="External"/><Relationship Id="rId42" Type="http://schemas.openxmlformats.org/officeDocument/2006/relationships/hyperlink" Target="https://vt.tiktok.com/ZSHcgD4bSj2wY-GCMUR/" TargetMode="External"/><Relationship Id="rId41" Type="http://schemas.openxmlformats.org/officeDocument/2006/relationships/hyperlink" Target="https://vt.tiktok.com/ZSHcgSLA5fd3x-npGIG/" TargetMode="External"/><Relationship Id="rId40" Type="http://schemas.openxmlformats.org/officeDocument/2006/relationships/hyperlink" Target="https://vt.tiktok.com/ZSHcF38gMMbuK-BTlQT/" TargetMode="External"/><Relationship Id="rId4" Type="http://schemas.openxmlformats.org/officeDocument/2006/relationships/hyperlink" Target="http://vt.tiktok.com/ZSHTWBBV8D8Eh-a50RB/" TargetMode="External"/><Relationship Id="rId39" Type="http://schemas.openxmlformats.org/officeDocument/2006/relationships/hyperlink" Target="https://vt.tiktok.com/ZSHcFWcWBFpcP-xt8MJ/" TargetMode="External"/><Relationship Id="rId38" Type="http://schemas.openxmlformats.org/officeDocument/2006/relationships/hyperlink" Target="http://vt.tiktok.com/ZSHwAMcMKPLHu-fBC1g/" TargetMode="External"/><Relationship Id="rId37" Type="http://schemas.openxmlformats.org/officeDocument/2006/relationships/hyperlink" Target="https://vt.tiktok.com/ZSHTWAXnq6cE5-Y32lO/" TargetMode="External"/><Relationship Id="rId36" Type="http://schemas.openxmlformats.org/officeDocument/2006/relationships/hyperlink" Target="https://vt.tiktok.com/ZSHTgnmkLBUbw-WKVcU/" TargetMode="External"/><Relationship Id="rId35" Type="http://schemas.openxmlformats.org/officeDocument/2006/relationships/hyperlink" Target="https://vt.tiktok.com/ZSHTVeKpb6R9w-gaMbK/" TargetMode="External"/><Relationship Id="rId34" Type="http://schemas.openxmlformats.org/officeDocument/2006/relationships/hyperlink" Target="http://vt.tiktok.com/ZSHEeAJw5MB8d-klbLb/" TargetMode="External"/><Relationship Id="rId33" Type="http://schemas.openxmlformats.org/officeDocument/2006/relationships/hyperlink" Target="https://vt.tiktok.com/ZSHTVL8T2jEMq-8MFbs/" TargetMode="External"/><Relationship Id="rId32" Type="http://schemas.openxmlformats.org/officeDocument/2006/relationships/hyperlink" Target="https://vt.tiktok.com/ZSHTaUwUdXXYF-bt7Ie/" TargetMode="External"/><Relationship Id="rId31" Type="http://schemas.openxmlformats.org/officeDocument/2006/relationships/hyperlink" Target="https://vt.tiktok.com/ZSHTaUJ9eHPUJ-Dbwim/" TargetMode="External"/><Relationship Id="rId30" Type="http://schemas.openxmlformats.org/officeDocument/2006/relationships/hyperlink" Target="https://vt.tiktok.com/ZSHTStVC6km29-Sn06N/" TargetMode="External"/><Relationship Id="rId3" Type="http://schemas.openxmlformats.org/officeDocument/2006/relationships/hyperlink" Target="http://vt.tiktok.com/ZSHTWkBuCmPM2-3DRXM/" TargetMode="External"/><Relationship Id="rId29" Type="http://schemas.openxmlformats.org/officeDocument/2006/relationships/hyperlink" Target="http://vt.tiktok.com/ZSHTWANfKajGR-tAF94/" TargetMode="External"/><Relationship Id="rId28" Type="http://schemas.openxmlformats.org/officeDocument/2006/relationships/hyperlink" Target="https://vt.tiktok.com/ZSHTWSw5PFFtU-MpYVp/" TargetMode="External"/><Relationship Id="rId27" Type="http://schemas.openxmlformats.org/officeDocument/2006/relationships/hyperlink" Target="http://vt.tiktok.com/ZSHTWSmTnRXo8-XlASB/" TargetMode="External"/><Relationship Id="rId26" Type="http://schemas.openxmlformats.org/officeDocument/2006/relationships/hyperlink" Target="https://vt.tiktok.com/ZSHTSneAsfaEs-TqgvN/" TargetMode="External"/><Relationship Id="rId25" Type="http://schemas.openxmlformats.org/officeDocument/2006/relationships/hyperlink" Target="https://vt.tiktok.com/ZSHTSbo3w6mXD-cozI2/" TargetMode="External"/><Relationship Id="rId24" Type="http://schemas.openxmlformats.org/officeDocument/2006/relationships/hyperlink" Target="https://vt.tiktok.com/ZSHwAMDtA8jhH-OLzm6/" TargetMode="External"/><Relationship Id="rId23" Type="http://schemas.openxmlformats.org/officeDocument/2006/relationships/hyperlink" Target="https://vt.tiktok.com/ZSHTg76Jx53na-o7qtm/" TargetMode="External"/><Relationship Id="rId22" Type="http://schemas.openxmlformats.org/officeDocument/2006/relationships/hyperlink" Target="https://vt.tiktok.com/ZSHTSnoGPqVEs-OoAQl/" TargetMode="External"/><Relationship Id="rId21" Type="http://schemas.openxmlformats.org/officeDocument/2006/relationships/hyperlink" Target="https://vt.tiktok.com/ZSHTStkAQqV8j-c9SWi/" TargetMode="External"/><Relationship Id="rId20" Type="http://schemas.openxmlformats.org/officeDocument/2006/relationships/hyperlink" Target="https://vt.tiktok.com/ZSHTStj4VAGph-l6qu8/" TargetMode="External"/><Relationship Id="rId2" Type="http://schemas.openxmlformats.org/officeDocument/2006/relationships/hyperlink" Target="http://vt.tiktok.com/ZSHTWhTXFW3Cn-WEHFT/" TargetMode="External"/><Relationship Id="rId19" Type="http://schemas.openxmlformats.org/officeDocument/2006/relationships/hyperlink" Target="https://vt.tiktok.com/ZSHTSsooRAd11-SFFl5/" TargetMode="External"/><Relationship Id="rId18" Type="http://schemas.openxmlformats.org/officeDocument/2006/relationships/hyperlink" Target="https://vt.tiktok.com/ZSHTSsyobELAK-ZCmPp/" TargetMode="External"/><Relationship Id="rId17" Type="http://schemas.openxmlformats.org/officeDocument/2006/relationships/hyperlink" Target="https://vt.tiktok.com/ZSHTSpYf1fD5W-4BheX/" TargetMode="External"/><Relationship Id="rId16" Type="http://schemas.openxmlformats.org/officeDocument/2006/relationships/hyperlink" Target="http://vt.tiktok.com/ZSHwkLD9csaD5-g5bo7/" TargetMode="External"/><Relationship Id="rId15" Type="http://schemas.openxmlformats.org/officeDocument/2006/relationships/hyperlink" Target="http://vt.tiktok.com/ZSHwk8uuQFVwG-q1Ijb/" TargetMode="External"/><Relationship Id="rId14" Type="http://schemas.openxmlformats.org/officeDocument/2006/relationships/hyperlink" Target="http://vt.tiktok.com/ZSHwkecXmVAdA-x6ZoT/" TargetMode="External"/><Relationship Id="rId13" Type="http://schemas.openxmlformats.org/officeDocument/2006/relationships/hyperlink" Target="http://vt.tiktok.com/ZSHTKYQC5FvNT-HS5bB/" TargetMode="External"/><Relationship Id="rId12" Type="http://schemas.openxmlformats.org/officeDocument/2006/relationships/hyperlink" Target="http://vt.tiktok.com/ZSHTWDG6S7MnY-rXqCx/" TargetMode="External"/><Relationship Id="rId11" Type="http://schemas.openxmlformats.org/officeDocument/2006/relationships/hyperlink" Target="http://vt.tiktok.com/ZSHTWDHFAr154-r2Wt0/" TargetMode="External"/><Relationship Id="rId10" Type="http://schemas.openxmlformats.org/officeDocument/2006/relationships/hyperlink" Target="http://vt.tiktok.com/ZSHKfmxmn3dkU-lM2va/" TargetMode="External"/><Relationship Id="rId1" Type="http://schemas.openxmlformats.org/officeDocument/2006/relationships/hyperlink" Target="https://vt.tiktok.com/ZSHTSGF1RdBMR-aBJvV/"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vt.tiktok.com/ZSHwr7RbfJxQm-iyjTA/" TargetMode="External"/><Relationship Id="rId8" Type="http://schemas.openxmlformats.org/officeDocument/2006/relationships/hyperlink" Target="http://vt.tiktok.com/ZSHT3JV5p6aup-flQzs/" TargetMode="External"/><Relationship Id="rId7" Type="http://schemas.openxmlformats.org/officeDocument/2006/relationships/hyperlink" Target="http://vt.tiktok.com/ZSHT31YDuQ7q2-dzrRd/" TargetMode="External"/><Relationship Id="rId67" Type="http://schemas.openxmlformats.org/officeDocument/2006/relationships/hyperlink" Target="http://vt.tiktok.com/ZSHKRoE2Fro9u-8pfJ5/" TargetMode="External"/><Relationship Id="rId66" Type="http://schemas.openxmlformats.org/officeDocument/2006/relationships/hyperlink" Target="http://vt.tiktok.com/ZSHTKr9GuDS2j-D37mB/" TargetMode="External"/><Relationship Id="rId65" Type="http://schemas.openxmlformats.org/officeDocument/2006/relationships/hyperlink" Target="http://vt.tiktok.com/ZSHK88eJSR2fJ-wODqV/" TargetMode="External"/><Relationship Id="rId64" Type="http://schemas.openxmlformats.org/officeDocument/2006/relationships/hyperlink" Target="https://vt.tiktok.com/ZSHK1q8YhMvWK-eTocm/" TargetMode="External"/><Relationship Id="rId63" Type="http://schemas.openxmlformats.org/officeDocument/2006/relationships/hyperlink" Target="http://vt.tiktok.com/ZSHK1VJoMfYg6-UZTHf/" TargetMode="External"/><Relationship Id="rId62" Type="http://schemas.openxmlformats.org/officeDocument/2006/relationships/hyperlink" Target="http://vt.tiktok.com/ZSHK1eSNbFN9h-7r5JZ/" TargetMode="External"/><Relationship Id="rId61" Type="http://schemas.openxmlformats.org/officeDocument/2006/relationships/hyperlink" Target="http://vt.tiktok.com/ZSHwTuDm7Hmkf-E1zvr/" TargetMode="External"/><Relationship Id="rId60" Type="http://schemas.openxmlformats.org/officeDocument/2006/relationships/hyperlink" Target="http://vt.tiktok.com/ZSHwTadQDjpWh-dy6m7/" TargetMode="External"/><Relationship Id="rId6" Type="http://schemas.openxmlformats.org/officeDocument/2006/relationships/hyperlink" Target="https://vt.tiktok.com/ZSHTW1YHfKjd5-6jLP1/" TargetMode="External"/><Relationship Id="rId59" Type="http://schemas.openxmlformats.org/officeDocument/2006/relationships/hyperlink" Target="http://vt.tiktok.com/ZSHwTSfMsmxTE-5K8Q9/" TargetMode="External"/><Relationship Id="rId58" Type="http://schemas.openxmlformats.org/officeDocument/2006/relationships/hyperlink" Target="http://vt.tiktok.com/ZSHwTkrqtprTk-VSx6I/" TargetMode="External"/><Relationship Id="rId57" Type="http://schemas.openxmlformats.org/officeDocument/2006/relationships/hyperlink" Target="http://vt.tiktok.com/ZSHw93fF9Er81-oq2kC/" TargetMode="External"/><Relationship Id="rId56" Type="http://schemas.openxmlformats.org/officeDocument/2006/relationships/hyperlink" Target="http://vt.tiktok.com/ZSHwAP8jrkbyt-JDXNc/" TargetMode="External"/><Relationship Id="rId55" Type="http://schemas.openxmlformats.org/officeDocument/2006/relationships/hyperlink" Target="http://vt.tiktok.com/ZSHwkFrQc9c3m-BAwdy/" TargetMode="External"/><Relationship Id="rId54" Type="http://schemas.openxmlformats.org/officeDocument/2006/relationships/hyperlink" Target="http://vt.tiktok.com/ZSHwhWQhhGtyJ-KcZaI/" TargetMode="External"/><Relationship Id="rId53" Type="http://schemas.openxmlformats.org/officeDocument/2006/relationships/hyperlink" Target="http://vt.tiktok.com/ZSHwrv2x1XaEB-w3Txc/" TargetMode="External"/><Relationship Id="rId52" Type="http://schemas.openxmlformats.org/officeDocument/2006/relationships/hyperlink" Target="http://vt.tiktok.com/ZSHT3FSEYUSN7-DAAuc/" TargetMode="External"/><Relationship Id="rId51" Type="http://schemas.openxmlformats.org/officeDocument/2006/relationships/hyperlink" Target="http://vt.tiktok.com/ZSHTccbqXqehK-DU6il/" TargetMode="External"/><Relationship Id="rId50" Type="http://schemas.openxmlformats.org/officeDocument/2006/relationships/hyperlink" Target="https://vt.tiktok.com/ZSHTgwyTt82j6-1aDXw/" TargetMode="External"/><Relationship Id="rId5" Type="http://schemas.openxmlformats.org/officeDocument/2006/relationships/hyperlink" Target="http://vt.tiktok.com/ZSHTno6Jvh6E5-OhBap/" TargetMode="External"/><Relationship Id="rId49" Type="http://schemas.openxmlformats.org/officeDocument/2006/relationships/hyperlink" Target="https://vt.tiktok.com/ZSH33bUxgCykd-iNc4r/" TargetMode="External"/><Relationship Id="rId48" Type="http://schemas.openxmlformats.org/officeDocument/2006/relationships/hyperlink" Target="http://vt.tiktok.com/ZSHKFHMSykB4J-lkL3m/" TargetMode="External"/><Relationship Id="rId47" Type="http://schemas.openxmlformats.org/officeDocument/2006/relationships/hyperlink" Target="http://vt.tiktok.com/ZSHwTrjQqmFjF-fSQnp/" TargetMode="External"/><Relationship Id="rId46" Type="http://schemas.openxmlformats.org/officeDocument/2006/relationships/hyperlink" Target="http://vt.tiktok.com/ZSHwGUv6QEP5F-tSjZV/" TargetMode="External"/><Relationship Id="rId45" Type="http://schemas.openxmlformats.org/officeDocument/2006/relationships/hyperlink" Target="http://vt.tiktok.com/ZSHwkYjpsjS7X-Wj267/" TargetMode="External"/><Relationship Id="rId44" Type="http://schemas.openxmlformats.org/officeDocument/2006/relationships/hyperlink" Target="https://vt.tiktok.com/ZSHTnqe34C8Hh-ntdNB/" TargetMode="External"/><Relationship Id="rId43" Type="http://schemas.openxmlformats.org/officeDocument/2006/relationships/hyperlink" Target="http://vt.tiktok.com/ZSHTn4gkA24yf-X7lGb/" TargetMode="External"/><Relationship Id="rId42" Type="http://schemas.openxmlformats.org/officeDocument/2006/relationships/hyperlink" Target="https://vt.tiktok.com/ZSHTnCg4SsW16-DebZj/" TargetMode="External"/><Relationship Id="rId41" Type="http://schemas.openxmlformats.org/officeDocument/2006/relationships/hyperlink" Target="http://vt.tiktok.com/ZSHTnQ8Ae3tFd-pYwlR/" TargetMode="External"/><Relationship Id="rId40" Type="http://schemas.openxmlformats.org/officeDocument/2006/relationships/hyperlink" Target="http://vt.tiktok.com/ZSHTnxyACuUHp-SguEE/" TargetMode="External"/><Relationship Id="rId4" Type="http://schemas.openxmlformats.org/officeDocument/2006/relationships/hyperlink" Target="http://vt.tiktok.com/ZSHTnbPERWSQj-pMmbz/" TargetMode="External"/><Relationship Id="rId39" Type="http://schemas.openxmlformats.org/officeDocument/2006/relationships/hyperlink" Target="http://vt.tiktok.com/ZSHKyntJc2PQW-eEfqP/" TargetMode="External"/><Relationship Id="rId38" Type="http://schemas.openxmlformats.org/officeDocument/2006/relationships/hyperlink" Target="http://vt.tiktok.com/ZSHKSqG1UrBNw-EKczA/" TargetMode="External"/><Relationship Id="rId37" Type="http://schemas.openxmlformats.org/officeDocument/2006/relationships/hyperlink" Target="http://vt.tiktok.com/ZSHKBnJfeSfRC-kgX2v/" TargetMode="External"/><Relationship Id="rId36" Type="http://schemas.openxmlformats.org/officeDocument/2006/relationships/hyperlink" Target="http://vt.tiktok.com/ZSHKBtS9vWS9v-SQKog/" TargetMode="External"/><Relationship Id="rId35" Type="http://schemas.openxmlformats.org/officeDocument/2006/relationships/hyperlink" Target="http://vt.tiktok.com/ZSHTcKdf8Sawj-7Jbhn/" TargetMode="External"/><Relationship Id="rId34" Type="http://schemas.openxmlformats.org/officeDocument/2006/relationships/hyperlink" Target="http://vt.tiktok.com/ZSHTWhrywnUCu-9oE7a/" TargetMode="External"/><Relationship Id="rId33" Type="http://schemas.openxmlformats.org/officeDocument/2006/relationships/hyperlink" Target="http://vt.tiktok.com/ZSHTK8aR43Ng7-dODbO/" TargetMode="External"/><Relationship Id="rId32" Type="http://schemas.openxmlformats.org/officeDocument/2006/relationships/hyperlink" Target="http://vt.tiktok.com/ZSHKytaFYs9rr-Kqc8B/" TargetMode="External"/><Relationship Id="rId31" Type="http://schemas.openxmlformats.org/officeDocument/2006/relationships/hyperlink" Target="http://vt.tiktok.com/ZSHwTaXMBeCGg-NMo0X/" TargetMode="External"/><Relationship Id="rId30" Type="http://schemas.openxmlformats.org/officeDocument/2006/relationships/hyperlink" Target="http://vt.tiktok.com/ZSHwsGf5R7VPv-CGziB/" TargetMode="External"/><Relationship Id="rId3" Type="http://schemas.openxmlformats.org/officeDocument/2006/relationships/hyperlink" Target="http://vt.tiktok.com/ZSHTnVgqajpEW-Ps3gE/" TargetMode="External"/><Relationship Id="rId29" Type="http://schemas.openxmlformats.org/officeDocument/2006/relationships/hyperlink" Target="http://vt.tiktok.com/ZSHTcoAMmGoMv-zrM19/" TargetMode="External"/><Relationship Id="rId28" Type="http://schemas.openxmlformats.org/officeDocument/2006/relationships/hyperlink" Target="https://vt.tiktok.com/ZSHTnnXyxWjK6-wJ4iJ/" TargetMode="External"/><Relationship Id="rId27" Type="http://schemas.openxmlformats.org/officeDocument/2006/relationships/hyperlink" Target="http://vt.tiktok.com/ZSHKQfCV8v6c4-ZEg1j/" TargetMode="External"/><Relationship Id="rId26" Type="http://schemas.openxmlformats.org/officeDocument/2006/relationships/hyperlink" Target="http://vt.tiktok.com/ZSHKBxKmFEpDW-bCZWb/" TargetMode="External"/><Relationship Id="rId25" Type="http://schemas.openxmlformats.org/officeDocument/2006/relationships/hyperlink" Target="http://vt.tiktok.com/ZSHwhvQnsB58o-6icrx/" TargetMode="External"/><Relationship Id="rId24" Type="http://schemas.openxmlformats.org/officeDocument/2006/relationships/hyperlink" Target="http://vt.tiktok.com/ZSHTK8jCLbCj9-Iqe3t/" TargetMode="External"/><Relationship Id="rId23" Type="http://schemas.openxmlformats.org/officeDocument/2006/relationships/hyperlink" Target="http://vt.tiktok.com/ZSHTKd6p15AdJ-sjjec/" TargetMode="External"/><Relationship Id="rId22" Type="http://schemas.openxmlformats.org/officeDocument/2006/relationships/hyperlink" Target="http://vt.tiktok.com/ZSHwPKEspepcu-Nu8Oi/" TargetMode="External"/><Relationship Id="rId21" Type="http://schemas.openxmlformats.org/officeDocument/2006/relationships/hyperlink" Target="http://vt.tiktok.com/ZSHTWjsEBfhHt-bOa3b/" TargetMode="External"/><Relationship Id="rId20" Type="http://schemas.openxmlformats.org/officeDocument/2006/relationships/hyperlink" Target="http://vt.tiktok.com/ZSHTWYESAsdjV-aa3rY/" TargetMode="External"/><Relationship Id="rId2" Type="http://schemas.openxmlformats.org/officeDocument/2006/relationships/hyperlink" Target="http://vt.tiktok.com/ZSHTn4KNMuCWS-Ch5TU/" TargetMode="External"/><Relationship Id="rId19" Type="http://schemas.openxmlformats.org/officeDocument/2006/relationships/hyperlink" Target="http://vt.tiktok.com/ZSHKm6H9kuX14-ejNnQ/" TargetMode="External"/><Relationship Id="rId18" Type="http://schemas.openxmlformats.org/officeDocument/2006/relationships/hyperlink" Target="http://vt.tiktok.com/ZSHKyG6rdSHos-Xs9X4/" TargetMode="External"/><Relationship Id="rId17" Type="http://schemas.openxmlformats.org/officeDocument/2006/relationships/hyperlink" Target="http://vt.tiktok.com/ZSHKYqJXaEYFT-S2yhu/" TargetMode="External"/><Relationship Id="rId16" Type="http://schemas.openxmlformats.org/officeDocument/2006/relationships/hyperlink" Target="https://vt.tiktok.com/ZSH33b8GtX8c1-7HJaj/" TargetMode="External"/><Relationship Id="rId15" Type="http://schemas.openxmlformats.org/officeDocument/2006/relationships/hyperlink" Target="http://vt.tiktok.com/ZSHTW2hoxQPtq-7Zv5x/" TargetMode="External"/><Relationship Id="rId14" Type="http://schemas.openxmlformats.org/officeDocument/2006/relationships/hyperlink" Target="http://vt.tiktok.com/ZSHTWFppPLQds-EtOmN/" TargetMode="External"/><Relationship Id="rId13" Type="http://schemas.openxmlformats.org/officeDocument/2006/relationships/hyperlink" Target="http://vt.tiktok.com/ZSHTWFLwdUANv-07tFR/" TargetMode="External"/><Relationship Id="rId12" Type="http://schemas.openxmlformats.org/officeDocument/2006/relationships/hyperlink" Target="http://vt.tiktok.com/ZSHTWNDbkExes-WfQqQ/" TargetMode="External"/><Relationship Id="rId11" Type="http://schemas.openxmlformats.org/officeDocument/2006/relationships/hyperlink" Target="http://vt.tiktok.com/ZSHwTkKW98EQN-vKpPs/" TargetMode="External"/><Relationship Id="rId10" Type="http://schemas.openxmlformats.org/officeDocument/2006/relationships/hyperlink" Target="http://vt.tiktok.com/ZSHwr7nMgQceL-mSUob/" TargetMode="External"/><Relationship Id="rId1" Type="http://schemas.openxmlformats.org/officeDocument/2006/relationships/hyperlink" Target="https://vt.tiktok.com/ZSH33gDKeCE38-KKZw9/"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s://vt.tiktok.com/ZSHK1xXJmrvVH-li1G5/" TargetMode="External"/><Relationship Id="rId98" Type="http://schemas.openxmlformats.org/officeDocument/2006/relationships/hyperlink" Target="https://vt.tiktok.com/ZSHKJAha82nGd-jia9H/" TargetMode="External"/><Relationship Id="rId97" Type="http://schemas.openxmlformats.org/officeDocument/2006/relationships/hyperlink" Target="http://vt.tiktok.com/ZSHKJAjCEgG3a-hgGQE/" TargetMode="External"/><Relationship Id="rId96" Type="http://schemas.openxmlformats.org/officeDocument/2006/relationships/hyperlink" Target="http://vt.tiktok.com/ZSHKJALkNGvkh-CIGn9/" TargetMode="External"/><Relationship Id="rId95" Type="http://schemas.openxmlformats.org/officeDocument/2006/relationships/hyperlink" Target="http://vt.tiktok.com/ZSHKJSK3YWUAN-aNMgt/" TargetMode="External"/><Relationship Id="rId94" Type="http://schemas.openxmlformats.org/officeDocument/2006/relationships/hyperlink" Target="http://vt.tiktok.com/ZSHKJScLmT7bH-BTYYv/" TargetMode="External"/><Relationship Id="rId93" Type="http://schemas.openxmlformats.org/officeDocument/2006/relationships/hyperlink" Target="http://vt.tiktok.com/ZSHKJSbUfds8j-OydeL/" TargetMode="External"/><Relationship Id="rId92" Type="http://schemas.openxmlformats.org/officeDocument/2006/relationships/hyperlink" Target="https://www.tiktok.com/shop/ph/pdp/1732030035089720395?source=product_detail&amp;enter_from=product_detail&amp;enter_method=feed_list_brand_cat" TargetMode="External"/><Relationship Id="rId91" Type="http://schemas.openxmlformats.org/officeDocument/2006/relationships/hyperlink" Target="http://vt.tiktok.com/ZSHwoGQfDNkgN-QJ4dX/" TargetMode="External"/><Relationship Id="rId90" Type="http://schemas.openxmlformats.org/officeDocument/2006/relationships/hyperlink" Target="http://vt.tiktok.com/ZSHwoG5Jbd8As-TFyBT/" TargetMode="External"/><Relationship Id="rId9" Type="http://schemas.openxmlformats.org/officeDocument/2006/relationships/hyperlink" Target="https://www.tiktok.com/shop/ph/pdp/1730201734699256176" TargetMode="External"/><Relationship Id="rId89" Type="http://schemas.openxmlformats.org/officeDocument/2006/relationships/hyperlink" Target="http://vt.tiktok.com/ZSHwoGB4c9j47-6uwUj/" TargetMode="External"/><Relationship Id="rId88" Type="http://schemas.openxmlformats.org/officeDocument/2006/relationships/hyperlink" Target="http://vt.tiktok.com/ZSHwQsrA1uHVw-EoUpR/" TargetMode="External"/><Relationship Id="rId87" Type="http://schemas.openxmlformats.org/officeDocument/2006/relationships/hyperlink" Target="https://vt.tiktok.com/ZSHwuNMQUSJ4w-UVrdg/" TargetMode="External"/><Relationship Id="rId86" Type="http://schemas.openxmlformats.org/officeDocument/2006/relationships/hyperlink" Target="https://vt.tiktok.com/ZSHwuLdWpqGSx-187qG/" TargetMode="External"/><Relationship Id="rId85" Type="http://schemas.openxmlformats.org/officeDocument/2006/relationships/hyperlink" Target="https://vt.tiktok.com/ZSHwPgpGy4Dv4-7Aebn/" TargetMode="External"/><Relationship Id="rId84" Type="http://schemas.openxmlformats.org/officeDocument/2006/relationships/hyperlink" Target="https://vt.tiktok.com/ZSHwPg9oGdWDY-wLLBa/" TargetMode="External"/><Relationship Id="rId83" Type="http://schemas.openxmlformats.org/officeDocument/2006/relationships/hyperlink" Target="https://vt.tiktok.com/ZSHwPgNbQkguM-3KGbk/" TargetMode="External"/><Relationship Id="rId82" Type="http://schemas.openxmlformats.org/officeDocument/2006/relationships/hyperlink" Target="http://vt.tiktok.com/ZSHwPbFTU1mHd-E3zEE/" TargetMode="External"/><Relationship Id="rId81" Type="http://schemas.openxmlformats.org/officeDocument/2006/relationships/hyperlink" Target="http://vt.tiktok.com/ZSHwPV45Scqm6-GESQU/" TargetMode="External"/><Relationship Id="rId80" Type="http://schemas.openxmlformats.org/officeDocument/2006/relationships/hyperlink" Target="http://vt.tiktok.com/ZSHTVe8GovGjT-RtlhC/" TargetMode="External"/><Relationship Id="rId8" Type="http://schemas.openxmlformats.org/officeDocument/2006/relationships/hyperlink" Target="https://www.tiktok.com/shop/ph/pdp/1729387127189703767" TargetMode="External"/><Relationship Id="rId79" Type="http://schemas.openxmlformats.org/officeDocument/2006/relationships/hyperlink" Target="https://vt.tiktok.com/ZSHnrCM6AxYYs-OtRek/" TargetMode="External"/><Relationship Id="rId78" Type="http://schemas.openxmlformats.org/officeDocument/2006/relationships/hyperlink" Target="https://vt.tiktok.com/ZSH7AP4Bysys7-EuwBz/" TargetMode="External"/><Relationship Id="rId77" Type="http://schemas.openxmlformats.org/officeDocument/2006/relationships/hyperlink" Target="https://vt.tiktok.com/ZSHnrCH6VnSPf-ctaaG/" TargetMode="External"/><Relationship Id="rId76" Type="http://schemas.openxmlformats.org/officeDocument/2006/relationships/hyperlink" Target="https://vt.tiktok.com/ZSHnrCagYxRNP-eA8LA/" TargetMode="External"/><Relationship Id="rId75" Type="http://schemas.openxmlformats.org/officeDocument/2006/relationships/hyperlink" Target="https://vt.tiktok.com/ZSHnrCDPhCTgY-8s0fR/" TargetMode="External"/><Relationship Id="rId74" Type="http://schemas.openxmlformats.org/officeDocument/2006/relationships/hyperlink" Target="https://vt.tiktok.com/ZSHnrxvHVHYst-XxeAn/" TargetMode="External"/><Relationship Id="rId73" Type="http://schemas.openxmlformats.org/officeDocument/2006/relationships/hyperlink" Target="https://vt.tiktok.com/ZSHnrxWKkLkbj-8VKEA/" TargetMode="External"/><Relationship Id="rId72" Type="http://schemas.openxmlformats.org/officeDocument/2006/relationships/hyperlink" Target="https://vt.tiktok.com/ZSHnr9CxPc4ec-h9qCG/" TargetMode="External"/><Relationship Id="rId71" Type="http://schemas.openxmlformats.org/officeDocument/2006/relationships/hyperlink" Target="https://vt.tiktok.com/ZSHnr95jAbbcT-RgmYk/" TargetMode="External"/><Relationship Id="rId70" Type="http://schemas.openxmlformats.org/officeDocument/2006/relationships/hyperlink" Target="https://vt.tiktok.com/ZSHnr999LoNpk-lNda9/" TargetMode="External"/><Relationship Id="rId7" Type="http://schemas.openxmlformats.org/officeDocument/2006/relationships/hyperlink" Target="https://www.tiktok.com/shop/ph/pdp/1729398934996749394" TargetMode="External"/><Relationship Id="rId69" Type="http://schemas.openxmlformats.org/officeDocument/2006/relationships/hyperlink" Target="https://vt.tiktok.com/ZSHnruhDhrKMX-SeKZo/" TargetMode="External"/><Relationship Id="rId68" Type="http://schemas.openxmlformats.org/officeDocument/2006/relationships/hyperlink" Target="https://vt.tiktok.com/ZSH7k42s4F4bw-rt1JN/" TargetMode="External"/><Relationship Id="rId67" Type="http://schemas.openxmlformats.org/officeDocument/2006/relationships/hyperlink" Target="https://vt.tiktok.com/ZSA9CNw94/" TargetMode="External"/><Relationship Id="rId66" Type="http://schemas.openxmlformats.org/officeDocument/2006/relationships/hyperlink" Target="https://vt.tiktok.com/ZSH7kCNYjqkKX-KoNKz/" TargetMode="External"/><Relationship Id="rId65" Type="http://schemas.openxmlformats.org/officeDocument/2006/relationships/hyperlink" Target="http://vt.tiktok.com/ZSHKJAph44Gt3-pj3b4/" TargetMode="External"/><Relationship Id="rId64" Type="http://schemas.openxmlformats.org/officeDocument/2006/relationships/hyperlink" Target="https://vt.tiktok.com/ZSHGWBBLdQFVx-IrDNj/" TargetMode="External"/><Relationship Id="rId63" Type="http://schemas.openxmlformats.org/officeDocument/2006/relationships/hyperlink" Target="https://vt.tiktok.com/ZSHGWhKvM4g9w-QBl8J/" TargetMode="External"/><Relationship Id="rId62" Type="http://schemas.openxmlformats.org/officeDocument/2006/relationships/hyperlink" Target="https://vt.tiktok.com/ZSHnrCgWhoaK5-kziLV/" TargetMode="External"/><Relationship Id="rId61" Type="http://schemas.openxmlformats.org/officeDocument/2006/relationships/hyperlink" Target="https://vt.tiktok.com/ZSHnrCuGkGcAE-YSO32/" TargetMode="External"/><Relationship Id="rId60" Type="http://schemas.openxmlformats.org/officeDocument/2006/relationships/hyperlink" Target="https://vt.tiktok.com/ZSHnrCa7So6qj-EgaF8/" TargetMode="External"/><Relationship Id="rId6" Type="http://schemas.openxmlformats.org/officeDocument/2006/relationships/hyperlink" Target="https://www.tiktok.com/shop/ph/pdp/1729382765930057518" TargetMode="External"/><Relationship Id="rId59" Type="http://schemas.openxmlformats.org/officeDocument/2006/relationships/hyperlink" Target="https://vt.tiktok.com/ZSHnrC6uGxpTs-r4Xyq/" TargetMode="External"/><Relationship Id="rId58" Type="http://schemas.openxmlformats.org/officeDocument/2006/relationships/hyperlink" Target="https://vt.tiktok.com/ZSHnrxDYWEXVx-ts2aD/" TargetMode="External"/><Relationship Id="rId57" Type="http://schemas.openxmlformats.org/officeDocument/2006/relationships/hyperlink" Target="https://vt.tiktok.com/ZSHnr9o2gLHU2-MATOs/" TargetMode="External"/><Relationship Id="rId56" Type="http://schemas.openxmlformats.org/officeDocument/2006/relationships/hyperlink" Target="https://vt.tiktok.com/ZSHnr9XM8RNws-BDBtb/" TargetMode="External"/><Relationship Id="rId55" Type="http://schemas.openxmlformats.org/officeDocument/2006/relationships/hyperlink" Target="https://vt.tiktok.com/ZSHnr9SQCPcPD-k7QDh/" TargetMode="External"/><Relationship Id="rId54" Type="http://schemas.openxmlformats.org/officeDocument/2006/relationships/hyperlink" Target="https://vt.tiktok.com/ZSHnr9SKVeUV7-QnZD5/" TargetMode="External"/><Relationship Id="rId53" Type="http://schemas.openxmlformats.org/officeDocument/2006/relationships/hyperlink" Target="https://vt.tiktok.com/ZSHnruS9nMQYg-H2gZ7/" TargetMode="External"/><Relationship Id="rId52" Type="http://schemas.openxmlformats.org/officeDocument/2006/relationships/hyperlink" Target="https://vt.tiktok.com/ZSHnr9jaURU9r-EAnWI/" TargetMode="External"/><Relationship Id="rId51" Type="http://schemas.openxmlformats.org/officeDocument/2006/relationships/hyperlink" Target="https://vt.tiktok.com/ZSA95oaMy/" TargetMode="External"/><Relationship Id="rId50" Type="http://schemas.openxmlformats.org/officeDocument/2006/relationships/hyperlink" Target="https://vt.tiktok.com/ZSH7AbgWxJtmK-kfLIo/" TargetMode="External"/><Relationship Id="rId5" Type="http://schemas.openxmlformats.org/officeDocument/2006/relationships/hyperlink" Target="https://www.tiktok.com/shop/ph/pdp/1729429396734315310" TargetMode="External"/><Relationship Id="rId49" Type="http://schemas.openxmlformats.org/officeDocument/2006/relationships/hyperlink" Target="https://vt.tiktok.com/ZSAugq6pd/" TargetMode="External"/><Relationship Id="rId48" Type="http://schemas.openxmlformats.org/officeDocument/2006/relationships/hyperlink" Target="https://vt.tiktok.com/ZSAuqhP1W/" TargetMode="External"/><Relationship Id="rId47" Type="http://schemas.openxmlformats.org/officeDocument/2006/relationships/hyperlink" Target="https://vt.tiktok.com/ZSAugU4Dq/" TargetMode="External"/><Relationship Id="rId46" Type="http://schemas.openxmlformats.org/officeDocument/2006/relationships/hyperlink" Target="https://vt.tiktok.com/ZSAuqFFVt/" TargetMode="External"/><Relationship Id="rId45" Type="http://schemas.openxmlformats.org/officeDocument/2006/relationships/hyperlink" Target="http://vt.tiktok.com/ZSHK8rAPHGodf-wIFR1/" TargetMode="External"/><Relationship Id="rId44" Type="http://schemas.openxmlformats.org/officeDocument/2006/relationships/hyperlink" Target="https://www.tiktok.com/shop/ph/pdp/1729782391471048942" TargetMode="External"/><Relationship Id="rId43" Type="http://schemas.openxmlformats.org/officeDocument/2006/relationships/hyperlink" Target="https://www.tiktok.com/shop/ph/pdp/1732181729157415965" TargetMode="External"/><Relationship Id="rId42" Type="http://schemas.openxmlformats.org/officeDocument/2006/relationships/hyperlink" Target="https://www.tiktok.com/shop/ph/pdp/1731104706407205299" TargetMode="External"/><Relationship Id="rId41" Type="http://schemas.openxmlformats.org/officeDocument/2006/relationships/hyperlink" Target="https://vt.tiktok.com/ZSHTVeSgNyhBJ-Ixrm1/" TargetMode="External"/><Relationship Id="rId40" Type="http://schemas.openxmlformats.org/officeDocument/2006/relationships/hyperlink" Target="https://vt.tiktok.com/ZSH7D1eo5q7YQ-xZwTU/" TargetMode="External"/><Relationship Id="rId4" Type="http://schemas.openxmlformats.org/officeDocument/2006/relationships/hyperlink" Target="https://www.tiktok.com/shop/ph/pdp/1729429381825858350" TargetMode="External"/><Relationship Id="rId39" Type="http://schemas.openxmlformats.org/officeDocument/2006/relationships/hyperlink" Target="https://vt.tiktok.com/ZSH7Aowd7Mcy3-JCfDv/" TargetMode="External"/><Relationship Id="rId38" Type="http://schemas.openxmlformats.org/officeDocument/2006/relationships/hyperlink" Target="https://vt.tiktok.com/ZSH7AoW2cbmsE-Thb0f/" TargetMode="External"/><Relationship Id="rId37" Type="http://schemas.openxmlformats.org/officeDocument/2006/relationships/hyperlink" Target="https://vt.tiktok.com/ZSH7AoqCXacqE-61zVn/" TargetMode="External"/><Relationship Id="rId36" Type="http://schemas.openxmlformats.org/officeDocument/2006/relationships/hyperlink" Target="https://vt.tiktok.com/ZSH7AEsXtn36c-OKJl2/" TargetMode="External"/><Relationship Id="rId35" Type="http://schemas.openxmlformats.org/officeDocument/2006/relationships/hyperlink" Target="https://vt.tiktok.com/ZSH7AECaoF3bA-D9erm/" TargetMode="External"/><Relationship Id="rId34" Type="http://schemas.openxmlformats.org/officeDocument/2006/relationships/hyperlink" Target="https://vt.tiktok.com/ZSH7AEkJvVTYn-hoiPc/" TargetMode="External"/><Relationship Id="rId33" Type="http://schemas.openxmlformats.org/officeDocument/2006/relationships/hyperlink" Target="https://vt.tiktok.com/ZSH7AKvf1KLTT-F5uhh/" TargetMode="External"/><Relationship Id="rId32" Type="http://schemas.openxmlformats.org/officeDocument/2006/relationships/hyperlink" Target="https://vt.tiktok.com/ZSH7AKJ5317Wk-8YSKO/" TargetMode="External"/><Relationship Id="rId31" Type="http://schemas.openxmlformats.org/officeDocument/2006/relationships/hyperlink" Target="https://vt.tiktok.com/ZSH7AwvGoap83-OHOtt/" TargetMode="External"/><Relationship Id="rId30" Type="http://schemas.openxmlformats.org/officeDocument/2006/relationships/hyperlink" Target="https://vt.tiktok.com/ZSH7AwqjYW8Jm-P6Wy6/" TargetMode="External"/><Relationship Id="rId3" Type="http://schemas.openxmlformats.org/officeDocument/2006/relationships/hyperlink" Target="https://www.tiktok.com/shop/ph/pdp/1729398167849176878" TargetMode="External"/><Relationship Id="rId29" Type="http://schemas.openxmlformats.org/officeDocument/2006/relationships/hyperlink" Target="https://vt.tiktok.com/ZSH7AwfXPnFK6-054ku/" TargetMode="External"/><Relationship Id="rId28" Type="http://schemas.openxmlformats.org/officeDocument/2006/relationships/hyperlink" Target="https://vt.tiktok.com/ZSH7AwYGojW1a-QQUnl/" TargetMode="External"/><Relationship Id="rId27" Type="http://schemas.openxmlformats.org/officeDocument/2006/relationships/hyperlink" Target="https://vt.tiktok.com/ZSH7ATTFKjxsj-89aaC/" TargetMode="External"/><Relationship Id="rId26" Type="http://schemas.openxmlformats.org/officeDocument/2006/relationships/hyperlink" Target="https://vt.tiktok.com/ZSH7ATVDDjv35-dO8Rg/" TargetMode="External"/><Relationship Id="rId25" Type="http://schemas.openxmlformats.org/officeDocument/2006/relationships/hyperlink" Target="https://vt.tiktok.com/ZSH7ATmLPK8gs-BGldx/" TargetMode="External"/><Relationship Id="rId24" Type="http://schemas.openxmlformats.org/officeDocument/2006/relationships/hyperlink" Target="https://vt.tiktok.com/ZSH7AcN5sYKRP-bRBvI/" TargetMode="External"/><Relationship Id="rId23" Type="http://schemas.openxmlformats.org/officeDocument/2006/relationships/hyperlink" Target="https://vt.tiktok.com/ZSAxRkB3v/" TargetMode="External"/><Relationship Id="rId22" Type="http://schemas.openxmlformats.org/officeDocument/2006/relationships/hyperlink" Target="https://vt.tiktok.com/ZSH7Av36H5rbD-jIEz0/" TargetMode="External"/><Relationship Id="rId21" Type="http://schemas.openxmlformats.org/officeDocument/2006/relationships/hyperlink" Target="https://vt.tiktok.com/ZSH7AvpyUtKjK-EPX27/" TargetMode="External"/><Relationship Id="rId20" Type="http://schemas.openxmlformats.org/officeDocument/2006/relationships/hyperlink" Target="https://vt.tiktok.com/ZSH7A77bPjwkD-mdPub/" TargetMode="External"/><Relationship Id="rId2" Type="http://schemas.openxmlformats.org/officeDocument/2006/relationships/hyperlink" Target="https://www.tiktok.com/shop/ph/pdp/1731255716174990245" TargetMode="External"/><Relationship Id="rId19" Type="http://schemas.openxmlformats.org/officeDocument/2006/relationships/hyperlink" Target="https://www.tiktok.com/shop/ph/pdp/1729428038081415654" TargetMode="External"/><Relationship Id="rId18" Type="http://schemas.openxmlformats.org/officeDocument/2006/relationships/hyperlink" Target="https://vt.tiktok.com/ZSH7AWCB7BAd9-zr4Ir/" TargetMode="External"/><Relationship Id="rId17" Type="http://schemas.openxmlformats.org/officeDocument/2006/relationships/hyperlink" Target="https://www.tiktok.com/shop/ph/pdp/1731463674154091659" TargetMode="External"/><Relationship Id="rId16" Type="http://schemas.openxmlformats.org/officeDocument/2006/relationships/hyperlink" Target="https://vt.tiktok.com/ZSHW3dLJ99JRP-CDjyg/" TargetMode="External"/><Relationship Id="rId152" Type="http://schemas.openxmlformats.org/officeDocument/2006/relationships/hyperlink" Target="https://vt.tiktok.com/ZSHGWTaphapAo-H4Eiu/" TargetMode="External"/><Relationship Id="rId151" Type="http://schemas.openxmlformats.org/officeDocument/2006/relationships/hyperlink" Target="https://www.tiktok.com/shop/ph/pdp/1729995600407595447" TargetMode="External"/><Relationship Id="rId150" Type="http://schemas.openxmlformats.org/officeDocument/2006/relationships/hyperlink" Target="https://vt.tiktok.com/ZSHGWMWfnC3go-ob158/" TargetMode="External"/><Relationship Id="rId15" Type="http://schemas.openxmlformats.org/officeDocument/2006/relationships/hyperlink" Target="https://vt.tiktok.com/ZSA9QMaB5/" TargetMode="External"/><Relationship Id="rId149" Type="http://schemas.openxmlformats.org/officeDocument/2006/relationships/hyperlink" Target="https://vt.tiktok.com/ZSHGW6H645StT-FmoVM/" TargetMode="External"/><Relationship Id="rId148" Type="http://schemas.openxmlformats.org/officeDocument/2006/relationships/hyperlink" Target="https://vt.tiktok.com/ZSHGW61RoNNp7-MMl1C/" TargetMode="External"/><Relationship Id="rId147" Type="http://schemas.openxmlformats.org/officeDocument/2006/relationships/hyperlink" Target="https://vt.tiktok.com/ZSHGW2Wa98GJU-6Wyys/" TargetMode="External"/><Relationship Id="rId146" Type="http://schemas.openxmlformats.org/officeDocument/2006/relationships/hyperlink" Target="https://vt.tiktok.com/ZSHGW2hP56ydj-rUWAX/" TargetMode="External"/><Relationship Id="rId145" Type="http://schemas.openxmlformats.org/officeDocument/2006/relationships/hyperlink" Target="https://vt.tiktok.com/ZSHGWYHMtGQMJ-6foUP/" TargetMode="External"/><Relationship Id="rId144" Type="http://schemas.openxmlformats.org/officeDocument/2006/relationships/hyperlink" Target="https://www.tiktok.com/shop/ph/pdp/1730276440397155128" TargetMode="External"/><Relationship Id="rId143" Type="http://schemas.openxmlformats.org/officeDocument/2006/relationships/hyperlink" Target="https://www.tiktok.com/shop/ph/pdp/1731166718889134253" TargetMode="External"/><Relationship Id="rId142" Type="http://schemas.openxmlformats.org/officeDocument/2006/relationships/hyperlink" Target="https://www.tiktok.com/shop/ph/pdp/1731318511574353212" TargetMode="External"/><Relationship Id="rId141" Type="http://schemas.openxmlformats.org/officeDocument/2006/relationships/hyperlink" Target="https://vt.tiktok.com/ZSAxe1gRa/" TargetMode="External"/><Relationship Id="rId140" Type="http://schemas.openxmlformats.org/officeDocument/2006/relationships/hyperlink" Target="https://vt.tiktok.com/ZSAxJsrcK/" TargetMode="External"/><Relationship Id="rId14" Type="http://schemas.openxmlformats.org/officeDocument/2006/relationships/hyperlink" Target="https://vt.tiktok.com/ZSA9QdnAv/" TargetMode="External"/><Relationship Id="rId139" Type="http://schemas.openxmlformats.org/officeDocument/2006/relationships/hyperlink" Target="https://vt.tiktok.com/ZSAuCwuEN/" TargetMode="External"/><Relationship Id="rId138" Type="http://schemas.openxmlformats.org/officeDocument/2006/relationships/hyperlink" Target="https://vt.tiktok.com/ZSAu9keCh/" TargetMode="External"/><Relationship Id="rId137" Type="http://schemas.openxmlformats.org/officeDocument/2006/relationships/hyperlink" Target="https://vt.tiktok.com/ZSAuHYfFW/" TargetMode="External"/><Relationship Id="rId136" Type="http://schemas.openxmlformats.org/officeDocument/2006/relationships/hyperlink" Target="https://vt.tiktok.com/ZSAumn6Nc/" TargetMode="External"/><Relationship Id="rId135" Type="http://schemas.openxmlformats.org/officeDocument/2006/relationships/hyperlink" Target="https://vt.tiktok.com/ZSAuHeRQ7/" TargetMode="External"/><Relationship Id="rId134" Type="http://schemas.openxmlformats.org/officeDocument/2006/relationships/hyperlink" Target="https://www.tiktok.com/shop/ph/pdp/1729388301930893199?source=product_detail&amp;enter_from=product_detail&amp;enter_method=feed_list_brand_cat" TargetMode="External"/><Relationship Id="rId133" Type="http://schemas.openxmlformats.org/officeDocument/2006/relationships/hyperlink" Target="https://www.tiktok.com/shop/ph/pdp/1730179952642328996?source=product_detail&amp;enter_from=product_detail&amp;enter_method=feed_list_brand_cat" TargetMode="External"/><Relationship Id="rId132" Type="http://schemas.openxmlformats.org/officeDocument/2006/relationships/hyperlink" Target="https://www.tiktok.com/shop/ph/pdp/1730513689221892186" TargetMode="External"/><Relationship Id="rId131" Type="http://schemas.openxmlformats.org/officeDocument/2006/relationships/hyperlink" Target="https://www.tiktok.com/shop/ph/pdp/1729714655913150508?source=product_detail&amp;enter_from=product_detail&amp;enter_method=feed_list_brand_cat" TargetMode="External"/><Relationship Id="rId130" Type="http://schemas.openxmlformats.org/officeDocument/2006/relationships/hyperlink" Target="http://vt.tiktok.com/ZSHwQpnHeDq9S-Ml0WT/" TargetMode="External"/><Relationship Id="rId13" Type="http://schemas.openxmlformats.org/officeDocument/2006/relationships/hyperlink" Target="https://vt.tiktok.com/ZSA993xr7/" TargetMode="External"/><Relationship Id="rId129" Type="http://schemas.openxmlformats.org/officeDocument/2006/relationships/hyperlink" Target="http://vt.tiktok.com/ZSHwQbHMNHDsx-l3azH/" TargetMode="External"/><Relationship Id="rId128" Type="http://schemas.openxmlformats.org/officeDocument/2006/relationships/hyperlink" Target="http://vt.tiktok.com/ZSHwuNgJTkujp-2TInY/" TargetMode="External"/><Relationship Id="rId127" Type="http://schemas.openxmlformats.org/officeDocument/2006/relationships/hyperlink" Target="http://vt.tiktok.com/ZSHwuNa94sR8R-wNHND/" TargetMode="External"/><Relationship Id="rId126" Type="http://schemas.openxmlformats.org/officeDocument/2006/relationships/hyperlink" Target="http://vt.tiktok.com/ZSHwuLwwbe3gT-N99kN/" TargetMode="External"/><Relationship Id="rId125" Type="http://schemas.openxmlformats.org/officeDocument/2006/relationships/hyperlink" Target="http://vt.tiktok.com/ZSHwuLgkYJCWq-jvbGt/" TargetMode="External"/><Relationship Id="rId124" Type="http://schemas.openxmlformats.org/officeDocument/2006/relationships/hyperlink" Target="http://vt.tiktok.com/ZSHwu89TRQmyG-FaaXr/" TargetMode="External"/><Relationship Id="rId123" Type="http://schemas.openxmlformats.org/officeDocument/2006/relationships/hyperlink" Target="http://vt.tiktok.com/ZSHwPs63maEgJ-fcmQU/" TargetMode="External"/><Relationship Id="rId122" Type="http://schemas.openxmlformats.org/officeDocument/2006/relationships/hyperlink" Target="http://vt.tiktok.com/ZSHwPpUPcGtEB-KBL82/" TargetMode="External"/><Relationship Id="rId121" Type="http://schemas.openxmlformats.org/officeDocument/2006/relationships/hyperlink" Target="http://vt.tiktok.com/ZSHwPqCfXF87V-2kpts/" TargetMode="External"/><Relationship Id="rId120" Type="http://schemas.openxmlformats.org/officeDocument/2006/relationships/hyperlink" Target="https://vt.tiktok.com/ZSHTVJnLErMmd-RslAz/" TargetMode="External"/><Relationship Id="rId12" Type="http://schemas.openxmlformats.org/officeDocument/2006/relationships/hyperlink" Target="https://vt.tiktok.com/ZSA99Q3Vu/" TargetMode="External"/><Relationship Id="rId119" Type="http://schemas.openxmlformats.org/officeDocument/2006/relationships/hyperlink" Target="https://vt.tiktok.com/ZSHTV1gxtWg4h-cPcnQ/" TargetMode="External"/><Relationship Id="rId118" Type="http://schemas.openxmlformats.org/officeDocument/2006/relationships/hyperlink" Target="https://vt.tiktok.com/ZSHWRcyT4PVSg-xjp4T/" TargetMode="External"/><Relationship Id="rId117" Type="http://schemas.openxmlformats.org/officeDocument/2006/relationships/hyperlink" Target="https://vt.tiktok.com/ZSHWRvTMRVn4W-xoEQj/" TargetMode="External"/><Relationship Id="rId116" Type="http://schemas.openxmlformats.org/officeDocument/2006/relationships/hyperlink" Target="https://vt.tiktok.com/ZSHnCYMGgU5Jb-kgUr4/" TargetMode="External"/><Relationship Id="rId115" Type="http://schemas.openxmlformats.org/officeDocument/2006/relationships/hyperlink" Target="https://vt.tiktok.com/ZSHnCYjjY1Rs4-KdlxA/" TargetMode="External"/><Relationship Id="rId114" Type="http://schemas.openxmlformats.org/officeDocument/2006/relationships/hyperlink" Target="https://vt.tiktok.com/ZSHnCYF6QrAQa-QvALc/" TargetMode="External"/><Relationship Id="rId113" Type="http://schemas.openxmlformats.org/officeDocument/2006/relationships/hyperlink" Target="https://vt.tiktok.com/ZSHnCFtuTWpgs-zUaQl/" TargetMode="External"/><Relationship Id="rId112" Type="http://schemas.openxmlformats.org/officeDocument/2006/relationships/hyperlink" Target="https://vt.tiktok.com/ZSHnCFXe4gLAt-rYgXJ/" TargetMode="External"/><Relationship Id="rId111" Type="http://schemas.openxmlformats.org/officeDocument/2006/relationships/hyperlink" Target="https://vt.tiktok.com/ZSHnrC4L747mA-qE9Wn/" TargetMode="External"/><Relationship Id="rId110" Type="http://schemas.openxmlformats.org/officeDocument/2006/relationships/hyperlink" Target="https://vt.tiktok.com/ZSHnrCmjmkvsJ-VHRw6/" TargetMode="External"/><Relationship Id="rId11" Type="http://schemas.openxmlformats.org/officeDocument/2006/relationships/hyperlink" Target="https://vt.tiktok.com/ZSA99jTHC/" TargetMode="External"/><Relationship Id="rId109" Type="http://schemas.openxmlformats.org/officeDocument/2006/relationships/hyperlink" Target="https://vt.tiktok.com/ZSHnrCkKr9C8e-XOcbJ/" TargetMode="External"/><Relationship Id="rId108" Type="http://schemas.openxmlformats.org/officeDocument/2006/relationships/hyperlink" Target="https://vt.tiktok.com/ZSHnrxspAffSo-VQSBf/" TargetMode="External"/><Relationship Id="rId107" Type="http://schemas.openxmlformats.org/officeDocument/2006/relationships/hyperlink" Target="https://vt.tiktok.com/ZSHnrHKrnsjbQ-5w9Er/" TargetMode="External"/><Relationship Id="rId106" Type="http://schemas.openxmlformats.org/officeDocument/2006/relationships/hyperlink" Target="https://vt.tiktok.com/ZSHnrHTP7yj9t-aytnM/" TargetMode="External"/><Relationship Id="rId105" Type="http://schemas.openxmlformats.org/officeDocument/2006/relationships/hyperlink" Target="https://vt.tiktok.com/ZSHnrHgSXAw8n-wUSMN/" TargetMode="External"/><Relationship Id="rId104" Type="http://schemas.openxmlformats.org/officeDocument/2006/relationships/hyperlink" Target="https://vt.tiktok.com/ZSHnruTWh5bRG-pCJtu/" TargetMode="External"/><Relationship Id="rId103" Type="http://schemas.openxmlformats.org/officeDocument/2006/relationships/hyperlink" Target="https://vt.tiktok.com/ZSHnrHjdnRFCN-4OxKU/" TargetMode="External"/><Relationship Id="rId102" Type="http://schemas.openxmlformats.org/officeDocument/2006/relationships/hyperlink" Target="https://vt.tiktok.com/ZSHnr9jsm81vS-xPrAU/" TargetMode="External"/><Relationship Id="rId101" Type="http://schemas.openxmlformats.org/officeDocument/2006/relationships/hyperlink" Target="https://vt.tiktok.com/ZSH7krACV2Vje-KJrUp/" TargetMode="External"/><Relationship Id="rId100" Type="http://schemas.openxmlformats.org/officeDocument/2006/relationships/hyperlink" Target="https://vt.tiktok.com/ZSH7kMGrWHm7H-gHYGt/" TargetMode="External"/><Relationship Id="rId10" Type="http://schemas.openxmlformats.org/officeDocument/2006/relationships/hyperlink" Target="https://vt.tiktok.com/ZSA9H5Jhp/" TargetMode="External"/><Relationship Id="rId1" Type="http://schemas.openxmlformats.org/officeDocument/2006/relationships/hyperlink" Target="https://vt.tiktok.com/ZSAx8w5a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1000"/>
  <sheetViews>
    <sheetView tabSelected="1" topLeftCell="A9" workbookViewId="0">
      <selection activeCell="F3" sqref="F3"/>
    </sheetView>
  </sheetViews>
  <sheetFormatPr defaultColWidth="12.6285714285714" defaultRowHeight="15.75" customHeight="1"/>
  <cols>
    <col min="1" max="1" width="13.3809523809524" customWidth="1"/>
    <col min="2" max="2" width="21.752380952381" customWidth="1"/>
    <col min="3" max="3" width="18.8761904761905" customWidth="1"/>
    <col min="4" max="4" width="21.8761904761905" customWidth="1"/>
    <col min="5" max="5" width="16" customWidth="1"/>
    <col min="6" max="6" width="20.752380952381" customWidth="1"/>
    <col min="7" max="7" width="20.1333333333333" customWidth="1"/>
  </cols>
  <sheetData>
    <row r="1" ht="12.75" spans="1:17">
      <c r="A1" s="1" t="str">
        <f>IFERROR(__xludf.DUMMYFUNCTION("QUERY(
  IMPORTRANGE(""https://docs.google.com/spreadsheets/d/1chxb-t5FQyDo9STHfa5EXVuTg39fSJGWxlk4dvemmfo/edit?usp=sharing"",""'Tổng'!A:Z""),
  ""select Col1, Col3, Col5, Col16, Col19 where Col12='Đã có hàng'order by Col16 asc"",
  1
)"),"Ngày")</f>
        <v>Ngày</v>
      </c>
      <c r="B1" s="1" t="str">
        <f>IFERROR(__xludf.DUMMYFUNCTION("""COMPUTED_VALUE"""),"Tên sản phẩm")</f>
        <v>Tên sản phẩm</v>
      </c>
      <c r="C1" s="1" t="str">
        <f>IFERROR(__xludf.DUMMYFUNCTION("""COMPUTED_VALUE"""),"Link sp")</f>
        <v>Link sp</v>
      </c>
      <c r="D1" s="1" t="str">
        <f>IFERROR(__xludf.DUMMYFUNCTION("""COMPUTED_VALUE"""),"Mã sản phẩm")</f>
        <v>Mã sản phẩm</v>
      </c>
      <c r="E1" s="1" t="str">
        <f>IFERROR(__xludf.DUMMYFUNCTION("""COMPUTED_VALUE"""),"Content")</f>
        <v>Content</v>
      </c>
      <c r="F1" s="2"/>
      <c r="G1" s="3"/>
      <c r="L1" s="7"/>
      <c r="M1" s="7"/>
      <c r="N1" s="7"/>
      <c r="O1" s="7"/>
      <c r="P1" s="7"/>
      <c r="Q1" s="8"/>
    </row>
    <row r="2" ht="77.25" customHeight="1" spans="1:17">
      <c r="A2" s="15">
        <f>IFERROR(__xludf.DUMMYFUNCTION("""COMPUTED_VALUE"""),45972)</f>
        <v>45972</v>
      </c>
      <c r="B2" s="12" t="str">
        <f>IFERROR(__xludf.DUMMYFUNCTION("""COMPUTED_VALUE"""),"Umiwear Kid's Cartoon Design Brief Boy's Premium Underwear High Quality Cotton Boxer Briefs")</f>
        <v>Umiwear Kid's Cartoon Design Brief Boy's Premium Underwear High Quality Cotton Boxer Briefs</v>
      </c>
      <c r="C2" s="16" t="str">
        <f>IFERROR(__xludf.DUMMYFUNCTION("""COMPUTED_VALUE"""),"https://vt.tiktok.com/ZSH3JVkKEGdfu-PAEKZ/")</f>
        <v>https://vt.tiktok.com/ZSH3JVkKEGdfu-PAEKZ/</v>
      </c>
      <c r="D2" s="17" t="str">
        <f>IFERROR(__xludf.DUMMYFUNCTION("""COMPUTED_VALUE"""),"FS_KD_BO_001")</f>
        <v>FS_KD_BO_001</v>
      </c>
      <c r="E2" s="12" t="str">
        <f>IFERROR(__xludf.DUMMYFUNCTION("""COMPUTED_VALUE"""),"Umiwear Kid's underwear #kidwear #umiwear")</f>
        <v>Umiwear Kid's underwear #kidwear #umiwear</v>
      </c>
      <c r="F2" s="3"/>
      <c r="G2" s="3"/>
      <c r="L2" s="8"/>
      <c r="M2" s="8"/>
      <c r="N2" s="8"/>
      <c r="O2" s="8"/>
      <c r="P2" s="8"/>
      <c r="Q2" s="8"/>
    </row>
    <row r="3" ht="89.25" spans="1:17">
      <c r="A3" s="15">
        <f>IFERROR(__xludf.DUMMYFUNCTION("""COMPUTED_VALUE"""),45990)</f>
        <v>45990</v>
      </c>
      <c r="B3" s="12" t="str">
        <f>IFERROR(__xludf.DUMMYFUNCTION("""COMPUTED_VALUE"""),"3IN1 Cacti Keno Kid's Cartoon Design Briefs Boy's Premium Underwear AAA Organic Cotton Boxer Briefs Mom's choice High Quality Original For Kids")</f>
        <v>3IN1 Cacti Keno Kid's Cartoon Design Briefs Boy's Premium Underwear AAA Organic Cotton Boxer Briefs Mom's choice High Quality Original For Kids</v>
      </c>
      <c r="C3" s="16" t="str">
        <f>IFERROR(__xludf.DUMMYFUNCTION("""COMPUTED_VALUE"""),"https://vt.tiktok.com/ZSHT5xkbLkLs2-G2Wqn/")</f>
        <v>https://vt.tiktok.com/ZSHT5xkbLkLs2-G2Wqn/</v>
      </c>
      <c r="D3" s="17" t="str">
        <f>IFERROR(__xludf.DUMMYFUNCTION("""COMPUTED_VALUE"""),"FS_KD_BO_002")</f>
        <v>FS_KD_BO_002</v>
      </c>
      <c r="E3" s="12" t="str">
        <f>IFERROR(__xludf.DUMMYFUNCTION("""COMPUTED_VALUE"""),"CACTI KENO Kid's Briefs #kidwear #umiwear")</f>
        <v>CACTI KENO Kid's Briefs #kidwear #umiwear</v>
      </c>
      <c r="F3" s="3"/>
      <c r="G3" s="3"/>
      <c r="L3" s="8"/>
      <c r="M3" s="8"/>
      <c r="N3" s="8"/>
      <c r="O3" s="8"/>
      <c r="P3" s="8"/>
      <c r="Q3" s="8"/>
    </row>
    <row r="4" ht="109.5" customHeight="1" spans="1:17">
      <c r="A4" s="15">
        <f>IFERROR(__xludf.DUMMYFUNCTION("""COMPUTED_VALUE"""),45990)</f>
        <v>45990</v>
      </c>
      <c r="B4" s="12" t="str">
        <f>IFERROR(__xludf.DUMMYFUNCTION("""COMPUTED_VALUE"""),"New brief for boy boxer 6pcs cotton 7-10years old Briefs Cotton Boxers/Trunks")</f>
        <v>New brief for boy boxer 6pcs cotton 7-10years old Briefs Cotton Boxers/Trunks</v>
      </c>
      <c r="C4" s="16" t="str">
        <f>IFERROR(__xludf.DUMMYFUNCTION("""COMPUTED_VALUE"""),"https://vt.tiktok.com/ZSHT5CfuSkLNC-NTPBZ/")</f>
        <v>https://vt.tiktok.com/ZSHT5CfuSkLNC-NTPBZ/</v>
      </c>
      <c r="D4" s="17" t="str">
        <f>IFERROR(__xludf.DUMMYFUNCTION("""COMPUTED_VALUE"""),"FS_KD_BO_003")</f>
        <v>FS_KD_BO_003</v>
      </c>
      <c r="E4" s="12" t="str">
        <f>IFERROR(__xludf.DUMMYFUNCTION("""COMPUTED_VALUE"""),"Boy Boxer #kidwear #boxer")</f>
        <v>Boy Boxer #kidwear #boxer</v>
      </c>
      <c r="F4" s="3"/>
      <c r="G4" s="3"/>
      <c r="L4" s="8"/>
      <c r="M4" s="8"/>
      <c r="N4" s="8"/>
      <c r="O4" s="8"/>
      <c r="P4" s="8"/>
      <c r="Q4" s="8"/>
    </row>
    <row r="5" ht="97.5" customHeight="1" spans="1:17">
      <c r="A5" s="15">
        <f>IFERROR(__xludf.DUMMYFUNCTION("""COMPUTED_VALUE"""),45990)</f>
        <v>45990</v>
      </c>
      <c r="B5" s="12" t="str">
        <f>IFERROR(__xludf.DUMMYFUNCTION("""COMPUTED_VALUE"""),"New kids boxer for boy 6in1 Briefs Boxers/Trunks 3-8years old")</f>
        <v>New kids boxer for boy 6in1 Briefs Boxers/Trunks 3-8years old</v>
      </c>
      <c r="C5" s="16" t="str">
        <f>IFERROR(__xludf.DUMMYFUNCTION("""COMPUTED_VALUE"""),"vt.tiktok.com/ZSHT5CpP4R5N1-SfueQ/")</f>
        <v>vt.tiktok.com/ZSHT5CpP4R5N1-SfueQ/</v>
      </c>
      <c r="D5" s="17" t="str">
        <f>IFERROR(__xludf.DUMMYFUNCTION("""COMPUTED_VALUE"""),"FS_KD_BO_004")</f>
        <v>FS_KD_BO_004</v>
      </c>
      <c r="E5" s="12" t="str">
        <f>IFERROR(__xludf.DUMMYFUNCTION("""COMPUTED_VALUE"""),"Boy Boxer #kidwear #boxer")</f>
        <v>Boy Boxer #kidwear #boxer</v>
      </c>
      <c r="F5" s="3"/>
      <c r="G5" s="3"/>
      <c r="L5" s="8"/>
      <c r="M5" s="8"/>
      <c r="N5" s="8"/>
      <c r="O5" s="8"/>
      <c r="P5" s="8"/>
      <c r="Q5" s="8"/>
    </row>
    <row r="6" ht="38.25" spans="1:17">
      <c r="A6" s="15">
        <f>IFERROR(__xludf.DUMMYFUNCTION("""COMPUTED_VALUE"""),45993)</f>
        <v>45993</v>
      </c>
      <c r="B6" s="12" t="str">
        <f>IFERROR(__xludf.DUMMYFUNCTION("""COMPUTED_VALUE"""),"4PCS Boys' Boxer Briefs - 100% Cotton Underwear for Kids")</f>
        <v>4PCS Boys' Boxer Briefs - 100% Cotton Underwear for Kids</v>
      </c>
      <c r="C6" s="16" t="str">
        <f>IFERROR(__xludf.DUMMYFUNCTION("""COMPUTED_VALUE"""),"vt.tiktok.com/ZSHTpAtNHF14b-nVTh8/")</f>
        <v>vt.tiktok.com/ZSHTpAtNHF14b-nVTh8/</v>
      </c>
      <c r="D6" s="17" t="str">
        <f>IFERROR(__xludf.DUMMYFUNCTION("""COMPUTED_VALUE"""),"FS_KD_BO_005")</f>
        <v>FS_KD_BO_005</v>
      </c>
      <c r="E6" s="12" t="str">
        <f>IFERROR(__xludf.DUMMYFUNCTION("""COMPUTED_VALUE"""),"Boy Boxer #kidwear #boxer")</f>
        <v>Boy Boxer #kidwear #boxer</v>
      </c>
      <c r="F6" s="3"/>
      <c r="G6" s="3"/>
      <c r="L6" s="8"/>
      <c r="M6" s="8"/>
      <c r="N6" s="8"/>
      <c r="O6" s="8"/>
      <c r="P6" s="8"/>
      <c r="Q6" s="8"/>
    </row>
    <row r="7" ht="63.75" spans="1:17">
      <c r="A7" s="15">
        <f>IFERROR(__xludf.DUMMYFUNCTION("""COMPUTED_VALUE"""),45969)</f>
        <v>45969</v>
      </c>
      <c r="B7" s="12" t="str">
        <f>IFERROR(__xludf.DUMMYFUNCTION("""COMPUTED_VALUE"""),"Cotton Panty Short for Kids Girls Boxer Panties Boyleg For Girls 3-11Y Cartoon Print Underpants Panty for kids")</f>
        <v>Cotton Panty Short for Kids Girls Boxer Panties Boyleg For Girls 3-11Y Cartoon Print Underpants Panty for kids</v>
      </c>
      <c r="C7" s="16" t="str">
        <f>IFERROR(__xludf.DUMMYFUNCTION("""COMPUTED_VALUE"""),"https://vt.tiktok.com/ZSHctVNm2Bccg-vpg8Y/")</f>
        <v>https://vt.tiktok.com/ZSHctVNm2Bccg-vpg8Y/</v>
      </c>
      <c r="D7" s="17" t="str">
        <f>IFERROR(__xludf.DUMMYFUNCTION("""COMPUTED_VALUE"""),"FS_KD_GI_001")</f>
        <v>FS_KD_GI_001</v>
      </c>
      <c r="E7" s="12" t="str">
        <f>IFERROR(__xludf.DUMMYFUNCTION("""COMPUTED_VALUE"""),"Kid Girls Boxer #kidwear #boxer")</f>
        <v>Kid Girls Boxer #kidwear #boxer</v>
      </c>
      <c r="F7" s="3"/>
      <c r="G7" s="3"/>
      <c r="L7" s="8"/>
      <c r="M7" s="8"/>
      <c r="N7" s="8"/>
      <c r="O7" s="8"/>
      <c r="P7" s="8"/>
      <c r="Q7" s="8"/>
    </row>
    <row r="8" ht="76.5" customHeight="1" spans="1:17">
      <c r="A8" s="15">
        <f>IFERROR(__xludf.DUMMYFUNCTION("""COMPUTED_VALUE"""),45969)</f>
        <v>45969</v>
      </c>
      <c r="B8" s="12" t="str">
        <f>IFERROR(__xludf.DUMMYFUNCTION("""COMPUTED_VALUE"""),"Umiwear 1Piece Kids Cotton Spandex High Quality Girl's Cartoon Printed Shorts Boyleg Underwear")</f>
        <v>Umiwear 1Piece Kids Cotton Spandex High Quality Girl's Cartoon Printed Shorts Boyleg Underwear</v>
      </c>
      <c r="C8" s="16" t="str">
        <f>IFERROR(__xludf.DUMMYFUNCTION("""COMPUTED_VALUE"""),"vt.tiktok.com/ZSH3LpN3n2xrB-MVTvN/")</f>
        <v>vt.tiktok.com/ZSH3LpN3n2xrB-MVTvN/</v>
      </c>
      <c r="D8" s="17" t="str">
        <f>IFERROR(__xludf.DUMMYFUNCTION("""COMPUTED_VALUE"""),"FS_KD_GI_002")</f>
        <v>FS_KD_GI_002</v>
      </c>
      <c r="E8" s="12" t="str">
        <f>IFERROR(__xludf.DUMMYFUNCTION("""COMPUTED_VALUE"""),"Umiwear Kid Underwear #kidwear #umiwear")</f>
        <v>Umiwear Kid Underwear #kidwear #umiwear</v>
      </c>
      <c r="F8" s="3"/>
      <c r="G8" s="3"/>
      <c r="L8" s="8"/>
      <c r="M8" s="8"/>
      <c r="N8" s="8"/>
      <c r="O8" s="8"/>
      <c r="P8" s="8"/>
      <c r="Q8" s="8"/>
    </row>
    <row r="9" ht="63.75" spans="1:17">
      <c r="A9" s="15">
        <f>IFERROR(__xludf.DUMMYFUNCTION("""COMPUTED_VALUE"""),45981)</f>
        <v>45981</v>
      </c>
      <c r="B9" s="12" t="str">
        <f>IFERROR(__xludf.DUMMYFUNCTION("""COMPUTED_VALUE"""),"Umiwear Premium Panties for Girls Cotton Panty High Quality Underwear for Kids
Sold by Umiwear Official")</f>
        <v>Umiwear Premium Panties for Girls Cotton Panty High Quality Underwear for Kids
Sold by Umiwear Official</v>
      </c>
      <c r="C9" s="16" t="str">
        <f>IFERROR(__xludf.DUMMYFUNCTION("""COMPUTED_VALUE"""),"vt.tiktok.com/ZSH3pKeNvNVTd-qNeWF/")</f>
        <v>vt.tiktok.com/ZSH3pKeNvNVTd-qNeWF/</v>
      </c>
      <c r="D9" s="17" t="str">
        <f>IFERROR(__xludf.DUMMYFUNCTION("""COMPUTED_VALUE"""),"FS_KD_GI_003")</f>
        <v>FS_KD_GI_003</v>
      </c>
      <c r="E9" s="12" t="str">
        <f>IFERROR(__xludf.DUMMYFUNCTION("""COMPUTED_VALUE"""),"Umiwear Kid Underwear #kidwear #umiwear")</f>
        <v>Umiwear Kid Underwear #kidwear #umiwear</v>
      </c>
      <c r="F9" s="3"/>
      <c r="G9" s="3"/>
      <c r="H9" s="3"/>
      <c r="L9" s="8"/>
      <c r="M9" s="8"/>
      <c r="N9" s="8"/>
      <c r="O9" s="8"/>
      <c r="P9" s="8"/>
      <c r="Q9" s="8"/>
    </row>
    <row r="10" ht="51" spans="1:17">
      <c r="A10" s="15">
        <f>IFERROR(__xludf.DUMMYFUNCTION("""COMPUTED_VALUE"""),45989)</f>
        <v>45989</v>
      </c>
      <c r="B10" s="12" t="str">
        <f>IFERROR(__xludf.DUMMYFUNCTION("""COMPUTED_VALUE"""),"BUY 5, TAKE 1 WIS Girl's Baby Sando Bra with Removable Pad Love Print")</f>
        <v>BUY 5, TAKE 1 WIS Girl's Baby Sando Bra with Removable Pad Love Print</v>
      </c>
      <c r="C10" s="16" t="str">
        <f>IFERROR(__xludf.DUMMYFUNCTION("""COMPUTED_VALUE"""),"https://vt.tiktok.com/ZSHTycq8HomNu-cKhYT/")</f>
        <v>https://vt.tiktok.com/ZSHTycq8HomNu-cKhYT/</v>
      </c>
      <c r="D10" s="17" t="str">
        <f>IFERROR(__xludf.DUMMYFUNCTION("""COMPUTED_VALUE"""),"FS_KD_GI_004")</f>
        <v>FS_KD_GI_004</v>
      </c>
      <c r="E10" s="12" t="str">
        <f>IFERROR(__xludf.DUMMYFUNCTION("""COMPUTED_VALUE"""),"WIS Girl Bra #WIS #girlbra")</f>
        <v>WIS Girl Bra #WIS #girlbra</v>
      </c>
      <c r="F10" s="3"/>
      <c r="G10" s="3"/>
      <c r="L10" s="8"/>
      <c r="M10" s="8"/>
      <c r="N10" s="8"/>
      <c r="O10" s="8"/>
      <c r="P10" s="8"/>
      <c r="Q10" s="8"/>
    </row>
    <row r="11" ht="98.25" customHeight="1" spans="1:17">
      <c r="A11" s="15">
        <f>IFERROR(__xludf.DUMMYFUNCTION("""COMPUTED_VALUE"""),45989)</f>
        <v>45989</v>
      </c>
      <c r="B11" s="12" t="str">
        <f>IFERROR(__xludf.DUMMYFUNCTION("""COMPUTED_VALUE"""),"4 PCS/SET WIS Plain Girl's Baby Sando Bra with Removable Pad")</f>
        <v>4 PCS/SET WIS Plain Girl's Baby Sando Bra with Removable Pad</v>
      </c>
      <c r="C11" s="16" t="str">
        <f>IFERROR(__xludf.DUMMYFUNCTION("""COMPUTED_VALUE"""),"https://vt.tiktok.com/ZSHTy31txRjuY-mcq9c/")</f>
        <v>https://vt.tiktok.com/ZSHTy31txRjuY-mcq9c/</v>
      </c>
      <c r="D11" s="17" t="str">
        <f>IFERROR(__xludf.DUMMYFUNCTION("""COMPUTED_VALUE"""),"FS_KD_GI_005")</f>
        <v>FS_KD_GI_005</v>
      </c>
      <c r="E11" s="12" t="str">
        <f>IFERROR(__xludf.DUMMYFUNCTION("""COMPUTED_VALUE"""),"WIS Girl Bra #WIS #girlbra")</f>
        <v>WIS Girl Bra #WIS #girlbra</v>
      </c>
      <c r="F11" s="3"/>
      <c r="G11" s="3"/>
      <c r="L11" s="8"/>
      <c r="M11" s="8"/>
      <c r="N11" s="8"/>
      <c r="O11" s="8"/>
      <c r="P11" s="8"/>
      <c r="Q11" s="8"/>
    </row>
    <row r="12" ht="102" spans="1:17">
      <c r="A12" s="15">
        <f>IFERROR(__xludf.DUMMYFUNCTION("""COMPUTED_VALUE"""),45990)</f>
        <v>45990</v>
      </c>
      <c r="B12" s="12" t="str">
        <f>IFERROR(__xludf.DUMMYFUNCTION("""COMPUTED_VALUE"""),"Bra kids, Teens bra 3/4 pcs, Cotton Baby Bra, Comfortable, Adjustable None wired, Qican beginners bra, Cute minimalist baby bra, High quality affordable, kids underwear, kidswear")</f>
        <v>Bra kids, Teens bra 3/4 pcs, Cotton Baby Bra, Comfortable, Adjustable None wired, Qican beginners bra, Cute minimalist baby bra, High quality affordable, kids underwear, kidswear</v>
      </c>
      <c r="C12" s="16" t="str">
        <f>IFERROR(__xludf.DUMMYFUNCTION("""COMPUTED_VALUE"""),"https://vt.tiktok.com/ZSHT5xVvvowTD-sVscQ/")</f>
        <v>https://vt.tiktok.com/ZSHT5xVvvowTD-sVscQ/</v>
      </c>
      <c r="D12" s="17" t="str">
        <f>IFERROR(__xludf.DUMMYFUNCTION("""COMPUTED_VALUE"""),"FS_KD_GI_006")</f>
        <v>FS_KD_GI_006</v>
      </c>
      <c r="E12" s="12" t="str">
        <f>IFERROR(__xludf.DUMMYFUNCTION("""COMPUTED_VALUE"""),"Teens Bra #teenbra #kidwear")</f>
        <v>Teens Bra #teenbra #kidwear</v>
      </c>
      <c r="F12" s="3"/>
      <c r="G12" s="3"/>
      <c r="L12" s="8"/>
      <c r="M12" s="8"/>
      <c r="N12" s="8"/>
      <c r="O12" s="8"/>
      <c r="P12" s="8"/>
      <c r="Q12" s="8"/>
    </row>
    <row r="13" ht="111" customHeight="1" spans="1:17">
      <c r="A13" s="15">
        <f>IFERROR(__xludf.DUMMYFUNCTION("""COMPUTED_VALUE"""),45990)</f>
        <v>45990</v>
      </c>
      <c r="B13" s="12" t="str">
        <f>IFERROR(__xludf.DUMMYFUNCTION("""COMPUTED_VALUE"""),"teenager bra 4 Pcs new high quality Plain cotton baby bra, Random assorted color, adjustable strap none wire comfort bra for teens")</f>
        <v>teenager bra 4 Pcs new high quality Plain cotton baby bra, Random assorted color, adjustable strap none wire comfort bra for teens</v>
      </c>
      <c r="C13" s="16" t="str">
        <f>IFERROR(__xludf.DUMMYFUNCTION("""COMPUTED_VALUE"""),"vt.tiktok.com/ZSHT5QS4FLkPv-dJBAW/")</f>
        <v>vt.tiktok.com/ZSHT5QS4FLkPv-dJBAW/</v>
      </c>
      <c r="D13" s="17" t="str">
        <f>IFERROR(__xludf.DUMMYFUNCTION("""COMPUTED_VALUE"""),"FS_KD_GI_007")</f>
        <v>FS_KD_GI_007</v>
      </c>
      <c r="E13" s="12" t="str">
        <f>IFERROR(__xludf.DUMMYFUNCTION("""COMPUTED_VALUE"""),"Teens Bra #teenbra #kidwear")</f>
        <v>Teens Bra #teenbra #kidwear</v>
      </c>
      <c r="F13" s="3"/>
      <c r="G13" s="3"/>
      <c r="L13" s="8"/>
      <c r="M13" s="8"/>
      <c r="N13" s="8"/>
      <c r="O13" s="8"/>
      <c r="P13" s="8"/>
      <c r="Q13" s="8"/>
    </row>
    <row r="14" ht="105.75" customHeight="1" spans="1:17">
      <c r="A14" s="15">
        <f>IFERROR(__xludf.DUMMYFUNCTION("""COMPUTED_VALUE"""),45990)</f>
        <v>45990</v>
      </c>
      <c r="B14" s="12" t="str">
        <f>IFERROR(__xludf.DUMMYFUNCTION("""COMPUTED_VALUE"""),"Set Of 6pcs Teens Soft Cotton Baby Bra Without Foam School Bra")</f>
        <v>Set Of 6pcs Teens Soft Cotton Baby Bra Without Foam School Bra</v>
      </c>
      <c r="C14" s="16" t="str">
        <f>IFERROR(__xludf.DUMMYFUNCTION("""COMPUTED_VALUE"""),"https://vt.tiktok.com/ZSHT5QQVjeqPT-JDPNG/")</f>
        <v>https://vt.tiktok.com/ZSHT5QQVjeqPT-JDPNG/</v>
      </c>
      <c r="D14" s="17" t="str">
        <f>IFERROR(__xludf.DUMMYFUNCTION("""COMPUTED_VALUE"""),"FS_KD_GI_008")</f>
        <v>FS_KD_GI_008</v>
      </c>
      <c r="E14" s="12" t="str">
        <f>IFERROR(__xludf.DUMMYFUNCTION("""COMPUTED_VALUE"""),"Teens Bra #teenbra #kidwear")</f>
        <v>Teens Bra #teenbra #kidwear</v>
      </c>
      <c r="F14" s="3"/>
      <c r="G14" s="3"/>
      <c r="L14" s="8"/>
      <c r="M14" s="8"/>
      <c r="N14" s="8"/>
      <c r="O14" s="8"/>
      <c r="P14" s="8"/>
      <c r="Q14" s="8"/>
    </row>
    <row r="15" ht="111" customHeight="1" spans="1:17">
      <c r="A15" s="15">
        <f>IFERROR(__xludf.DUMMYFUNCTION("""COMPUTED_VALUE"""),45993)</f>
        <v>45993</v>
      </c>
      <c r="B15" s="12" t="str">
        <f>IFERROR(__xludf.DUMMYFUNCTION("""COMPUTED_VALUE"""),"Cotton none wired Kids underwear")</f>
        <v>Cotton none wired Kids underwear</v>
      </c>
      <c r="C15" s="16" t="str">
        <f>IFERROR(__xludf.DUMMYFUNCTION("""COMPUTED_VALUE"""),"https://vt.tiktok.com/ZSHTgnFdqUWup-YP87x/")</f>
        <v>https://vt.tiktok.com/ZSHTgnFdqUWup-YP87x/</v>
      </c>
      <c r="D15" s="17" t="str">
        <f>IFERROR(__xludf.DUMMYFUNCTION("""COMPUTED_VALUE"""),"FS_KD_GI_009")</f>
        <v>FS_KD_GI_009</v>
      </c>
      <c r="E15" s="12" t="str">
        <f>IFERROR(__xludf.DUMMYFUNCTION("""COMPUTED_VALUE"""),"Teens Bra #teenbra #kidwear")</f>
        <v>Teens Bra #teenbra #kidwear</v>
      </c>
      <c r="F15" s="3"/>
      <c r="G15" s="3"/>
      <c r="L15" s="8"/>
      <c r="M15" s="8"/>
      <c r="N15" s="8"/>
      <c r="O15" s="8"/>
      <c r="P15" s="8"/>
      <c r="Q15" s="8"/>
    </row>
    <row r="16" ht="63.75" spans="1:17">
      <c r="A16" s="15">
        <f>IFERROR(__xludf.DUMMYFUNCTION("""COMPUTED_VALUE"""),45995)</f>
        <v>45995</v>
      </c>
      <c r="B16" s="12" t="str">
        <f>IFERROR(__xludf.DUMMYFUNCTION("""COMPUTED_VALUE"""),"6pcs Kids Girl MELODY PANTY SoftCotton and breathable cotton-rich material with added stretch.")</f>
        <v>6pcs Kids Girl MELODY PANTY SoftCotton and breathable cotton-rich material with added stretch.</v>
      </c>
      <c r="C16" s="16" t="str">
        <f>IFERROR(__xludf.DUMMYFUNCTION("""COMPUTED_VALUE"""),"https://vt.tiktok.com/ZSHTvKL3hndtb-uvPEK/")</f>
        <v>https://vt.tiktok.com/ZSHTvKL3hndtb-uvPEK/</v>
      </c>
      <c r="D16" s="17" t="str">
        <f>IFERROR(__xludf.DUMMYFUNCTION("""COMPUTED_VALUE"""),"FS_KD_GI_010")</f>
        <v>FS_KD_GI_010</v>
      </c>
      <c r="E16" s="12" t="str">
        <f>IFERROR(__xludf.DUMMYFUNCTION("""COMPUTED_VALUE"""),"Kid Underwear #kidwear #underwear")</f>
        <v>Kid Underwear #kidwear #underwear</v>
      </c>
      <c r="F16" s="3"/>
      <c r="G16" s="3"/>
      <c r="L16" s="8"/>
      <c r="M16" s="8"/>
      <c r="N16" s="8"/>
      <c r="O16" s="8"/>
      <c r="P16" s="8"/>
      <c r="Q16" s="8"/>
    </row>
    <row r="17" ht="51" spans="1:17">
      <c r="A17" s="15">
        <f>IFERROR(__xludf.DUMMYFUNCTION("""COMPUTED_VALUE"""),46002)</f>
        <v>46002</v>
      </c>
      <c r="B17" s="12" t="str">
        <f>IFERROR(__xludf.DUMMYFUNCTION("""COMPUTED_VALUE"""),"Short for Kids Girls Cotton Boyleg Panty For Baby Boxer Panties 3-12Y Cartoon Designs")</f>
        <v>Short for Kids Girls Cotton Boyleg Panty For Baby Boxer Panties 3-12Y Cartoon Designs</v>
      </c>
      <c r="C17" s="16" t="str">
        <f>IFERROR(__xludf.DUMMYFUNCTION("""COMPUTED_VALUE"""),"vt.tiktok.com/ZSHwPGSCTjSSc-GaE44/")</f>
        <v>vt.tiktok.com/ZSHwPGSCTjSSc-GaE44/</v>
      </c>
      <c r="D17" s="17" t="str">
        <f>IFERROR(__xludf.DUMMYFUNCTION("""COMPUTED_VALUE"""),"FS_KD_GI_011")</f>
        <v>FS_KD_GI_011</v>
      </c>
      <c r="E17" s="12" t="str">
        <f>IFERROR(__xludf.DUMMYFUNCTION("""COMPUTED_VALUE"""),"Kid Underwear #kidwear #underwear")</f>
        <v>Kid Underwear #kidwear #underwear</v>
      </c>
      <c r="F17" s="3"/>
      <c r="G17" s="3"/>
      <c r="L17" s="8"/>
      <c r="M17" s="8"/>
      <c r="N17" s="8"/>
      <c r="O17" s="8"/>
      <c r="P17" s="8"/>
      <c r="Q17" s="8"/>
    </row>
    <row r="18" ht="38.25" spans="1:17">
      <c r="A18" s="15">
        <f>IFERROR(__xludf.DUMMYFUNCTION("""COMPUTED_VALUE"""),45932)</f>
        <v>45932</v>
      </c>
      <c r="B18" s="12" t="str">
        <f>IFERROR(__xludf.DUMMYFUNCTION("""COMPUTED_VALUE"""),"12/6PCS RANDOM CA BOXER BRIEFS for Men's Underwear")</f>
        <v>12/6PCS RANDOM CA BOXER BRIEFS for Men's Underwear</v>
      </c>
      <c r="C18" s="16" t="str">
        <f>IFERROR(__xludf.DUMMYFUNCTION("""COMPUTED_VALUE"""),"https://vt.tiktok.com/ZSHWtvcSCDp5X-ykV3E/")</f>
        <v>https://vt.tiktok.com/ZSHWtvcSCDp5X-ykV3E/</v>
      </c>
      <c r="D18" s="17" t="str">
        <f>IFERROR(__xludf.DUMMYFUNCTION("""COMPUTED_VALUE"""),"FS_MN_UD_001")</f>
        <v>FS_MN_UD_001</v>
      </c>
      <c r="E18" s="12" t="str">
        <f>IFERROR(__xludf.DUMMYFUNCTION("""COMPUTED_VALUE"""),"Men's Boxer Briefs #menboxer #mensbrief")</f>
        <v>Men's Boxer Briefs #menboxer #mensbrief</v>
      </c>
      <c r="F18" s="3"/>
      <c r="G18" s="3"/>
      <c r="L18" s="8"/>
      <c r="M18" s="8"/>
      <c r="N18" s="8"/>
      <c r="O18" s="8"/>
      <c r="P18" s="8"/>
      <c r="Q18" s="8"/>
    </row>
    <row r="19" ht="60" customHeight="1" spans="1:17">
      <c r="A19" s="15">
        <f>IFERROR(__xludf.DUMMYFUNCTION("""COMPUTED_VALUE"""),45932)</f>
        <v>45932</v>
      </c>
      <c r="B19" s="12" t="str">
        <f>IFERROR(__xludf.DUMMYFUNCTION("""COMPUTED_VALUE"""),"4 Pcs Men's boxer briefs with personalized prints")</f>
        <v>4 Pcs Men's boxer briefs with personalized prints</v>
      </c>
      <c r="C19" s="16" t="str">
        <f>IFERROR(__xludf.DUMMYFUNCTION("""COMPUTED_VALUE"""),"https://vt.tiktok.com/ZSH7j84V5qkYB-uvpSC/")</f>
        <v>https://vt.tiktok.com/ZSH7j84V5qkYB-uvpSC/</v>
      </c>
      <c r="D19" s="17" t="str">
        <f>IFERROR(__xludf.DUMMYFUNCTION("""COMPUTED_VALUE"""),"FS_MN_UD_002")</f>
        <v>FS_MN_UD_002</v>
      </c>
      <c r="E19" s="12" t="str">
        <f>IFERROR(__xludf.DUMMYFUNCTION("""COMPUTED_VALUE"""),"Men's Boxer Briefs #menboxer #mensbrief")</f>
        <v>Men's Boxer Briefs #menboxer #mensbrief</v>
      </c>
      <c r="F19" s="3"/>
      <c r="G19" s="3"/>
      <c r="L19" s="8"/>
      <c r="M19" s="8"/>
      <c r="N19" s="8"/>
      <c r="O19" s="8"/>
      <c r="P19" s="8"/>
      <c r="Q19" s="8"/>
    </row>
    <row r="20" ht="107.25" customHeight="1" spans="1:17">
      <c r="A20" s="15">
        <f>IFERROR(__xludf.DUMMYFUNCTION("""COMPUTED_VALUE"""),45932)</f>
        <v>45932</v>
      </c>
      <c r="B20" s="12" t="str">
        <f>IFERROR(__xludf.DUMMYFUNCTION("""COMPUTED_VALUE"""),"5 pcs set of men's fashion underwear breathable boxer briefs soft comfortable quick-drying cheap")</f>
        <v>5 pcs set of men's fashion underwear breathable boxer briefs soft comfortable quick-drying cheap</v>
      </c>
      <c r="C20" s="16" t="str">
        <f>IFERROR(__xludf.DUMMYFUNCTION("""COMPUTED_VALUE"""),"https://vt.tiktok.com/ZSH7Ndvb2tyJF-32oqi/")</f>
        <v>https://vt.tiktok.com/ZSH7Ndvb2tyJF-32oqi/</v>
      </c>
      <c r="D20" s="17" t="str">
        <f>IFERROR(__xludf.DUMMYFUNCTION("""COMPUTED_VALUE"""),"FS_MN_UD_003")</f>
        <v>FS_MN_UD_003</v>
      </c>
      <c r="E20" s="12" t="str">
        <f>IFERROR(__xludf.DUMMYFUNCTION("""COMPUTED_VALUE"""),"Men's Boxer Briefs #menboxer #mensbrief")</f>
        <v>Men's Boxer Briefs #menboxer #mensbrief</v>
      </c>
      <c r="F20" s="3"/>
      <c r="G20" s="3"/>
      <c r="L20" s="8"/>
      <c r="M20" s="8"/>
      <c r="N20" s="8"/>
      <c r="O20" s="8"/>
      <c r="P20" s="8"/>
      <c r="Q20" s="8"/>
    </row>
    <row r="21" ht="63.75" spans="1:17">
      <c r="A21" s="15">
        <f>IFERROR(__xludf.DUMMYFUNCTION("""COMPUTED_VALUE"""),45932)</f>
        <v>45932</v>
      </c>
      <c r="B21" s="12" t="str">
        <f>IFERROR(__xludf.DUMMYFUNCTION("""COMPUTED_VALUE"""),"5 pcs men's underwear with technical style lines Boxers Briefs sterile interior soft breathable quick-drying")</f>
        <v>5 pcs men's underwear with technical style lines Boxers Briefs sterile interior soft breathable quick-drying</v>
      </c>
      <c r="C21" s="16" t="str">
        <f>IFERROR(__xludf.DUMMYFUNCTION("""COMPUTED_VALUE"""),"https://vt.tiktok.com/ZSH7Lgbn2LHLq-HsvDb/")</f>
        <v>https://vt.tiktok.com/ZSH7Lgbn2LHLq-HsvDb/</v>
      </c>
      <c r="D21" s="17" t="str">
        <f>IFERROR(__xludf.DUMMYFUNCTION("""COMPUTED_VALUE"""),"FS_MN_UD_004")</f>
        <v>FS_MN_UD_004</v>
      </c>
      <c r="E21" s="12" t="str">
        <f>IFERROR(__xludf.DUMMYFUNCTION("""COMPUTED_VALUE"""),"Men's Boxer Briefs #menboxer #mensbrief")</f>
        <v>Men's Boxer Briefs #menboxer #mensbrief</v>
      </c>
      <c r="F21" s="3"/>
      <c r="G21" s="3"/>
      <c r="L21" s="8"/>
      <c r="M21" s="8"/>
      <c r="N21" s="8"/>
      <c r="O21" s="8"/>
      <c r="P21" s="8"/>
      <c r="Q21" s="8"/>
    </row>
    <row r="22" ht="51" spans="1:17">
      <c r="A22" s="15">
        <f>IFERROR(__xludf.DUMMYFUNCTION("""COMPUTED_VALUE"""),45938)</f>
        <v>45938</v>
      </c>
      <c r="B22" s="12" t="str">
        <f>IFERROR(__xludf.DUMMYFUNCTION("""COMPUTED_VALUE"""),"4&amp;8pcs Men's Moisture Wicking Cotton Stretch Colorful Standard Size Boxer Briefs")</f>
        <v>4&amp;8pcs Men's Moisture Wicking Cotton Stretch Colorful Standard Size Boxer Briefs</v>
      </c>
      <c r="C22" s="16" t="str">
        <f>IFERROR(__xludf.DUMMYFUNCTION("""COMPUTED_VALUE"""),"https://vt.tiktok.com/ZSH7NNt9dBLGa-5nUrx/")</f>
        <v>https://vt.tiktok.com/ZSH7NNt9dBLGa-5nUrx/</v>
      </c>
      <c r="D22" s="17" t="str">
        <f>IFERROR(__xludf.DUMMYFUNCTION("""COMPUTED_VALUE"""),"FS_MN_UD_006")</f>
        <v>FS_MN_UD_006</v>
      </c>
      <c r="E22" s="12" t="str">
        <f>IFERROR(__xludf.DUMMYFUNCTION("""COMPUTED_VALUE"""),"Men's Boxer Briefs #menboxer #mensbrief")</f>
        <v>Men's Boxer Briefs #menboxer #mensbrief</v>
      </c>
      <c r="F22" s="3"/>
      <c r="G22" s="3"/>
      <c r="L22" s="8"/>
      <c r="M22" s="8"/>
      <c r="N22" s="8"/>
      <c r="O22" s="8"/>
      <c r="P22" s="8"/>
      <c r="Q22" s="8"/>
    </row>
    <row r="23" ht="114.75" spans="1:17">
      <c r="A23" s="15">
        <f>IFERROR(__xludf.DUMMYFUNCTION("""COMPUTED_VALUE"""),45938)</f>
        <v>45938</v>
      </c>
      <c r="B23" s="12" t="str">
        <f>IFERROR(__xludf.DUMMYFUNCTION("""COMPUTED_VALUE"""),"4PCS Men's Ice Silk Boxer Briefs - Ultra Breathable Mesh, Crazy Comfortable &amp; Super Loose Fit, Perfect for Big &amp; Tall Men, Quick-Dry After Sweat, Bag Packaging (Buy More Save More!)")</f>
        <v>4PCS Men's Ice Silk Boxer Briefs - Ultra Breathable Mesh, Crazy Comfortable &amp; Super Loose Fit, Perfect for Big &amp; Tall Men, Quick-Dry After Sweat, Bag Packaging (Buy More Save More!)</v>
      </c>
      <c r="C23" s="16" t="str">
        <f>IFERROR(__xludf.DUMMYFUNCTION("""COMPUTED_VALUE"""),"https://vt.tiktok.com/ZSH7bQJnBmbGK-vKKiZ/")</f>
        <v>https://vt.tiktok.com/ZSH7bQJnBmbGK-vKKiZ/</v>
      </c>
      <c r="D23" s="17" t="str">
        <f>IFERROR(__xludf.DUMMYFUNCTION("""COMPUTED_VALUE"""),"FS_MN_UD_007")</f>
        <v>FS_MN_UD_007</v>
      </c>
      <c r="E23" s="12" t="str">
        <f>IFERROR(__xludf.DUMMYFUNCTION("""COMPUTED_VALUE"""),"GOSILK Men's Boxer Briefs #menboxer #mensbrief")</f>
        <v>GOSILK Men's Boxer Briefs #menboxer #mensbrief</v>
      </c>
      <c r="F23" s="3"/>
      <c r="G23" s="3"/>
      <c r="L23" s="8"/>
      <c r="M23" s="8"/>
      <c r="N23" s="8"/>
      <c r="O23" s="8"/>
      <c r="P23" s="8"/>
      <c r="Q23" s="8"/>
    </row>
    <row r="24" ht="113.25" customHeight="1" spans="1:17">
      <c r="A24" s="15">
        <f>IFERROR(__xludf.DUMMYFUNCTION("""COMPUTED_VALUE"""),45938)</f>
        <v>45938</v>
      </c>
      <c r="B24" s="12" t="str">
        <f>IFERROR(__xludf.DUMMYFUNCTION("""COMPUTED_VALUE""")," 4 PCS SET M-6XL SIZE fashion striped style men's boxer briefs comfortable breathable soft Menswear")</f>
        <v> 4 PCS SET M-6XL SIZE fashion striped style men's boxer briefs comfortable breathable soft Menswear</v>
      </c>
      <c r="C24" s="16" t="str">
        <f>IFERROR(__xludf.DUMMYFUNCTION("""COMPUTED_VALUE"""),"https://vt.tiktok.com/ZSH7NA1b5G51g-gTMzm/")</f>
        <v>https://vt.tiktok.com/ZSH7NA1b5G51g-gTMzm/</v>
      </c>
      <c r="D24" s="17" t="str">
        <f>IFERROR(__xludf.DUMMYFUNCTION("""COMPUTED_VALUE"""),"FS_MN_UD_010")</f>
        <v>FS_MN_UD_010</v>
      </c>
      <c r="E24" s="12" t="str">
        <f>IFERROR(__xludf.DUMMYFUNCTION("""COMPUTED_VALUE"""),"Men's Boxer Briefs #menboxer #mensbrief")</f>
        <v>Men's Boxer Briefs #menboxer #mensbrief</v>
      </c>
      <c r="F24" s="3"/>
      <c r="G24" s="3"/>
      <c r="L24" s="8"/>
      <c r="M24" s="8"/>
      <c r="N24" s="8"/>
      <c r="O24" s="8"/>
      <c r="P24" s="8"/>
      <c r="Q24" s="8"/>
    </row>
    <row r="25" ht="63.75" spans="1:17">
      <c r="A25" s="15">
        <f>IFERROR(__xludf.DUMMYFUNCTION("""COMPUTED_VALUE"""),45938)</f>
        <v>45938</v>
      </c>
      <c r="B25" s="12" t="str">
        <f>IFERROR(__xludf.DUMMYFUNCTION("""COMPUTED_VALUE"""),"4PCS-Fashionable and noble men's boxer briefs men's underwear comfortable, breathable and silky")</f>
        <v>4PCS-Fashionable and noble men's boxer briefs men's underwear comfortable, breathable and silky</v>
      </c>
      <c r="C25" s="16" t="str">
        <f>IFERROR(__xludf.DUMMYFUNCTION("""COMPUTED_VALUE"""),"https://vt.tiktok.com/ZSH7NAvpKr4YG-p9V7O/")</f>
        <v>https://vt.tiktok.com/ZSH7NAvpKr4YG-p9V7O/</v>
      </c>
      <c r="D25" s="17" t="str">
        <f>IFERROR(__xludf.DUMMYFUNCTION("""COMPUTED_VALUE"""),"FS_MN_UD_011")</f>
        <v>FS_MN_UD_011</v>
      </c>
      <c r="E25" s="12" t="str">
        <f>IFERROR(__xludf.DUMMYFUNCTION("""COMPUTED_VALUE"""),"Men's Boxer Briefs #menboxer #mensbrief")</f>
        <v>Men's Boxer Briefs #menboxer #mensbrief</v>
      </c>
      <c r="F25" s="3"/>
      <c r="G25" s="3"/>
      <c r="L25" s="8"/>
      <c r="M25" s="8"/>
      <c r="N25" s="8"/>
      <c r="O25" s="8"/>
      <c r="P25" s="8"/>
      <c r="Q25" s="8"/>
    </row>
    <row r="26" ht="102" spans="1:17">
      <c r="A26" s="15">
        <f>IFERROR(__xludf.DUMMYFUNCTION("""COMPUTED_VALUE"""),45938)</f>
        <v>45938</v>
      </c>
      <c r="B26" s="12" t="str">
        <f>IFERROR(__xludf.DUMMYFUNCTION("""COMPUTED_VALUE"""),"4 PCS CACTI KENO Mens cotton classic boxer short assorted color plus size high quality antibacterial breathable Mens underwear
Menswear Spandey")</f>
        <v>4 PCS CACTI KENO Mens cotton classic boxer short assorted color plus size high quality antibacterial breathable Mens underwear
Menswear Spandey</v>
      </c>
      <c r="C26" s="16" t="str">
        <f>IFERROR(__xludf.DUMMYFUNCTION("""COMPUTED_VALUE"""),"https://vt.tiktok.com/ZSH7NfPmWBA3G-X3k3L/")</f>
        <v>https://vt.tiktok.com/ZSH7NfPmWBA3G-X3k3L/</v>
      </c>
      <c r="D26" s="17" t="str">
        <f>IFERROR(__xludf.DUMMYFUNCTION("""COMPUTED_VALUE"""),"FS_MN_UD_012")</f>
        <v>FS_MN_UD_012</v>
      </c>
      <c r="E26" s="12" t="str">
        <f>IFERROR(__xludf.DUMMYFUNCTION("""COMPUTED_VALUE"""),"CACTIKENO Men's Boxer Briefs #menboxer #mensbrief")</f>
        <v>CACTIKENO Men's Boxer Briefs #menboxer #mensbrief</v>
      </c>
      <c r="F26" s="3"/>
      <c r="G26" s="3"/>
      <c r="L26" s="8"/>
      <c r="M26" s="8"/>
      <c r="N26" s="8"/>
      <c r="O26" s="8"/>
      <c r="P26" s="8"/>
      <c r="Q26" s="8"/>
    </row>
    <row r="27" ht="76.5" spans="1:17">
      <c r="A27" s="15">
        <f>IFERROR(__xludf.DUMMYFUNCTION("""COMPUTED_VALUE"""),45938)</f>
        <v>45938</v>
      </c>
      <c r="B27" s="12" t="str">
        <f>IFERROR(__xludf.DUMMYFUNCTION("""COMPUTED_VALUE"""),"6PCS HIGH QUALITY MEN'S UNDERWEAR PLAIN COTTON ASSORTED COLOR IN PACK Menswear Innerwear Athletic")</f>
        <v>6PCS HIGH QUALITY MEN'S UNDERWEAR PLAIN COTTON ASSORTED COLOR IN PACK Menswear Innerwear Athletic</v>
      </c>
      <c r="C27" s="16" t="str">
        <f>IFERROR(__xludf.DUMMYFUNCTION("""COMPUTED_VALUE"""),"https://vt.tiktok.com/ZSH7j8KmHpc7x-oHyzL/")</f>
        <v>https://vt.tiktok.com/ZSH7j8KmHpc7x-oHyzL/</v>
      </c>
      <c r="D27" s="17" t="str">
        <f>IFERROR(__xludf.DUMMYFUNCTION("""COMPUTED_VALUE"""),"FS_MN_UD_015")</f>
        <v>FS_MN_UD_015</v>
      </c>
      <c r="E27" s="12" t="str">
        <f>IFERROR(__xludf.DUMMYFUNCTION("""COMPUTED_VALUE"""),"Men's Underwear 
#menunderwear #menwear")</f>
        <v>Men's Underwear 
#menunderwear #menwear</v>
      </c>
      <c r="F27" s="3"/>
      <c r="G27" s="3"/>
      <c r="L27" s="8"/>
      <c r="M27" s="8"/>
      <c r="N27" s="8"/>
      <c r="O27" s="8"/>
      <c r="P27" s="8"/>
      <c r="Q27" s="8"/>
    </row>
    <row r="28" ht="63.75" spans="1:17">
      <c r="A28" s="15">
        <f>IFERROR(__xludf.DUMMYFUNCTION("""COMPUTED_VALUE"""),45943)</f>
        <v>45943</v>
      </c>
      <c r="B28" s="12" t="str">
        <f>IFERROR(__xludf.DUMMYFUNCTION("""COMPUTED_VALUE"""),"Men's boxer sports briefs 3 or 5 pieces set Stylish and breathable, cotton antibacterial, comfortable and soft")</f>
        <v>Men's boxer sports briefs 3 or 5 pieces set Stylish and breathable, cotton antibacterial, comfortable and soft</v>
      </c>
      <c r="C28" s="16" t="str">
        <f>IFERROR(__xludf.DUMMYFUNCTION("""COMPUTED_VALUE"""),"https://vt.tiktok.com/ZSH7bHATobpsp-rzLiT/")</f>
        <v>https://vt.tiktok.com/ZSH7bHATobpsp-rzLiT/</v>
      </c>
      <c r="D28" s="17" t="str">
        <f>IFERROR(__xludf.DUMMYFUNCTION("""COMPUTED_VALUE"""),"FS_MN_UD_016")</f>
        <v>FS_MN_UD_016</v>
      </c>
      <c r="E28" s="12" t="str">
        <f>IFERROR(__xludf.DUMMYFUNCTION("""COMPUTED_VALUE"""),"Men's Underwear 
#menunderwear #menwear")</f>
        <v>Men's Underwear 
#menunderwear #menwear</v>
      </c>
      <c r="F28" s="3"/>
      <c r="G28" s="3"/>
      <c r="L28" s="8"/>
      <c r="M28" s="8"/>
      <c r="N28" s="8"/>
      <c r="O28" s="8"/>
      <c r="P28" s="8"/>
      <c r="Q28" s="8"/>
    </row>
    <row r="29" ht="93" customHeight="1" spans="1:17">
      <c r="A29" s="15">
        <f>IFERROR(__xludf.DUMMYFUNCTION("""COMPUTED_VALUE"""),45943)</f>
        <v>45943</v>
      </c>
      <c r="B29" s="12" t="str">
        <f>IFERROR(__xludf.DUMMYFUNCTION("""COMPUTED_VALUE"""),"5PCs Men's Boxer Brief Underwear HITEMAN 5 PIECES L-3XL High Quality Underwear")</f>
        <v>5PCs Men's Boxer Brief Underwear HITEMAN 5 PIECES L-3XL High Quality Underwear</v>
      </c>
      <c r="C29" s="16" t="str">
        <f>IFERROR(__xludf.DUMMYFUNCTION("""COMPUTED_VALUE"""),"https://vt.tiktok.com/ZSH7b9UKEtX6K-fCILL/")</f>
        <v>https://vt.tiktok.com/ZSH7b9UKEtX6K-fCILL/</v>
      </c>
      <c r="D29" s="17" t="str">
        <f>IFERROR(__xludf.DUMMYFUNCTION("""COMPUTED_VALUE"""),"FS_MN_UD_017")</f>
        <v>FS_MN_UD_017</v>
      </c>
      <c r="E29" s="12" t="str">
        <f>IFERROR(__xludf.DUMMYFUNCTION("""COMPUTED_VALUE"""),"Men's Boxer Briefs #menboxer #mensbrief")</f>
        <v>Men's Boxer Briefs #menboxer #mensbrief</v>
      </c>
      <c r="F29" s="3"/>
      <c r="G29" s="3"/>
      <c r="L29" s="8"/>
      <c r="M29" s="8"/>
      <c r="N29" s="8"/>
      <c r="O29" s="8"/>
      <c r="P29" s="8"/>
      <c r="Q29" s="8"/>
    </row>
    <row r="30" ht="89.25" customHeight="1" spans="1:17">
      <c r="A30" s="15">
        <f>IFERROR(__xludf.DUMMYFUNCTION("""COMPUTED_VALUE"""),45943)</f>
        <v>45943</v>
      </c>
      <c r="B30" s="12" t="str">
        <f>IFERROR(__xludf.DUMMYFUNCTION("""COMPUTED_VALUE"""),"4PCS HELLO MEN New Design ICE SILK Men's Underwear Boxer Breif Breathable Underwear")</f>
        <v>4PCS HELLO MEN New Design ICE SILK Men's Underwear Boxer Breif Breathable Underwear</v>
      </c>
      <c r="C30" s="16" t="str">
        <f>IFERROR(__xludf.DUMMYFUNCTION("""COMPUTED_VALUE"""),"https://vt.tiktok.com/ZSH7b9nDptkmN-4WGO9/")</f>
        <v>https://vt.tiktok.com/ZSH7b9nDptkmN-4WGO9/</v>
      </c>
      <c r="D30" s="17" t="str">
        <f>IFERROR(__xludf.DUMMYFUNCTION("""COMPUTED_VALUE"""),"FS_MN_UD_018")</f>
        <v>FS_MN_UD_018</v>
      </c>
      <c r="E30" s="12" t="str">
        <f>IFERROR(__xludf.DUMMYFUNCTION("""COMPUTED_VALUE"""),"Men's Boxer Briefs #menboxer #mensbrief")</f>
        <v>Men's Boxer Briefs #menboxer #mensbrief</v>
      </c>
      <c r="F30" s="3"/>
      <c r="G30" s="3"/>
      <c r="L30" s="8"/>
      <c r="M30" s="8"/>
      <c r="N30" s="8"/>
      <c r="O30" s="8"/>
      <c r="P30" s="8"/>
      <c r="Q30" s="8"/>
    </row>
    <row r="31" ht="102.75" customHeight="1" spans="1:17">
      <c r="A31" s="15">
        <f>IFERROR(__xludf.DUMMYFUNCTION("""COMPUTED_VALUE"""),45943)</f>
        <v>45943</v>
      </c>
      <c r="B31" s="12" t="str">
        <f>IFERROR(__xludf.DUMMYFUNCTION("""COMPUTED_VALUE"""),"GOSILK 4PCS mens boxer briefs underwear, seamless brier for men, ice silk breathable short, boxer short men antibacterial four-corner underpants")</f>
        <v>GOSILK 4PCS mens boxer briefs underwear, seamless brier for men, ice silk breathable short, boxer short men antibacterial four-corner underpants</v>
      </c>
      <c r="C31" s="16" t="str">
        <f>IFERROR(__xludf.DUMMYFUNCTION("""COMPUTED_VALUE"""),"https://vt.tiktok.com/ZSH7bQptMsfF4-MAXho/")</f>
        <v>https://vt.tiktok.com/ZSH7bQptMsfF4-MAXho/</v>
      </c>
      <c r="D31" s="17" t="str">
        <f>IFERROR(__xludf.DUMMYFUNCTION("""COMPUTED_VALUE"""),"FS_MN_UD_019")</f>
        <v>FS_MN_UD_019</v>
      </c>
      <c r="E31" s="12" t="str">
        <f>IFERROR(__xludf.DUMMYFUNCTION("""COMPUTED_VALUE"""),"GOSILK Men's Boxer Briefs #menboxer #mensbrief")</f>
        <v>GOSILK Men's Boxer Briefs #menboxer #mensbrief</v>
      </c>
      <c r="F31" s="3"/>
      <c r="G31" s="3"/>
      <c r="L31" s="8"/>
      <c r="M31" s="8"/>
      <c r="N31" s="8"/>
      <c r="O31" s="8"/>
      <c r="P31" s="8"/>
      <c r="Q31" s="8"/>
    </row>
    <row r="32" ht="97.5" customHeight="1" spans="1:17">
      <c r="A32" s="15">
        <f>IFERROR(__xludf.DUMMYFUNCTION("""COMPUTED_VALUE"""),45943)</f>
        <v>45943</v>
      </c>
      <c r="B32" s="12" t="str">
        <f>IFERROR(__xludf.DUMMYFUNCTION("""COMPUTED_VALUE"""),"12/6pcs add one size plain cb elastic waistband for men underwear breathable to wear cod available")</f>
        <v>12/6pcs add one size plain cb elastic waistband for men underwear breathable to wear cod available</v>
      </c>
      <c r="C32" s="16" t="str">
        <f>IFERROR(__xludf.DUMMYFUNCTION("""COMPUTED_VALUE"""),"https://vt.tiktok.com/ZSH7bXFqX4BJm-AoaRR/")</f>
        <v>https://vt.tiktok.com/ZSH7bXFqX4BJm-AoaRR/</v>
      </c>
      <c r="D32" s="17" t="str">
        <f>IFERROR(__xludf.DUMMYFUNCTION("""COMPUTED_VALUE"""),"FS_MN_UD_020")</f>
        <v>FS_MN_UD_020</v>
      </c>
      <c r="E32" s="12" t="str">
        <f>IFERROR(__xludf.DUMMYFUNCTION("""COMPUTED_VALUE"""),"Men's Underwear 
#menunderwear #menwear")</f>
        <v>Men's Underwear 
#menunderwear #menwear</v>
      </c>
      <c r="F32" s="3"/>
      <c r="G32" s="3"/>
      <c r="L32" s="8"/>
      <c r="M32" s="8"/>
      <c r="N32" s="8"/>
      <c r="O32" s="8"/>
      <c r="P32" s="8"/>
      <c r="Q32" s="8"/>
    </row>
    <row r="33" ht="102" spans="1:17">
      <c r="A33" s="15">
        <f>IFERROR(__xludf.DUMMYFUNCTION("""COMPUTED_VALUE"""),45943)</f>
        <v>45943</v>
      </c>
      <c r="B33" s="12" t="str">
        <f>IFERROR(__xludf.DUMMYFUNCTION("""COMPUTED_VALUE"""),"COD 6pcs/12pcs men's cotton high-quality fashion underwear men's summer thin breathable shorts plus size pants Menswear Human Innerwear Operator Beige Plain Innerwear Operator")</f>
        <v>COD 6pcs/12pcs men's cotton high-quality fashion underwear men's summer thin breathable shorts plus size pants Menswear Human Innerwear Operator Beige Plain Innerwear Operator</v>
      </c>
      <c r="C33" s="16" t="str">
        <f>IFERROR(__xludf.DUMMYFUNCTION("""COMPUTED_VALUE"""),"https://vt.tiktok.com/ZSH7bXgcybuEj-YGqSI/")</f>
        <v>https://vt.tiktok.com/ZSH7bXgcybuEj-YGqSI/</v>
      </c>
      <c r="D33" s="17" t="str">
        <f>IFERROR(__xludf.DUMMYFUNCTION("""COMPUTED_VALUE"""),"FS_MN_UD_021")</f>
        <v>FS_MN_UD_021</v>
      </c>
      <c r="E33" s="12" t="str">
        <f>IFERROR(__xludf.DUMMYFUNCTION("""COMPUTED_VALUE"""),"Men's Underwear 
#menunderwear #menwear")</f>
        <v>Men's Underwear 
#menunderwear #menwear</v>
      </c>
      <c r="F33" s="3"/>
      <c r="G33" s="3"/>
      <c r="L33" s="8"/>
      <c r="M33" s="8"/>
      <c r="N33" s="8"/>
      <c r="O33" s="8"/>
      <c r="P33" s="8"/>
      <c r="Q33" s="8"/>
    </row>
    <row r="34" ht="63.75" spans="1:17">
      <c r="A34" s="15">
        <f>IFERROR(__xludf.DUMMYFUNCTION("""COMPUTED_VALUE"""),45943)</f>
        <v>45943</v>
      </c>
      <c r="B34" s="12" t="str">
        <f>IFERROR(__xludf.DUMMYFUNCTION("""COMPUTED_VALUE"""),"Caden Komore 【4pcs】 men's underpants cotton soft men's underwear boxer briefs breathable comfortable")</f>
        <v>Caden Komore 【4pcs】 men's underpants cotton soft men's underwear boxer briefs breathable comfortable</v>
      </c>
      <c r="C34" s="16" t="str">
        <f>IFERROR(__xludf.DUMMYFUNCTION("""COMPUTED_VALUE"""),"https://vt.tiktok.com/ZSH7b464J9pXR-6H0Ep/")</f>
        <v>https://vt.tiktok.com/ZSH7b464J9pXR-6H0Ep/</v>
      </c>
      <c r="D34" s="17" t="str">
        <f>IFERROR(__xludf.DUMMYFUNCTION("""COMPUTED_VALUE"""),"FS_MN_UD_022")</f>
        <v>FS_MN_UD_022</v>
      </c>
      <c r="E34" s="12" t="str">
        <f>IFERROR(__xludf.DUMMYFUNCTION("""COMPUTED_VALUE"""),"Caden Komore Men's boxer #menbriefs #menboxer")</f>
        <v>Caden Komore Men's boxer #menbriefs #menboxer</v>
      </c>
      <c r="F34" s="3"/>
      <c r="G34" s="3"/>
      <c r="L34" s="8"/>
      <c r="M34" s="8"/>
      <c r="N34" s="8"/>
      <c r="O34" s="8"/>
      <c r="P34" s="8"/>
      <c r="Q34" s="8"/>
    </row>
    <row r="35" ht="38.25" spans="1:17">
      <c r="A35" s="15">
        <f>IFERROR(__xludf.DUMMYFUNCTION("""COMPUTED_VALUE"""),45943)</f>
        <v>45943</v>
      </c>
      <c r="B35" s="12" t="str">
        <f>IFERROR(__xludf.DUMMYFUNCTION("""COMPUTED_VALUE"""),"Vintage Loose Fit Underwear ")</f>
        <v>Vintage Loose Fit Underwear </v>
      </c>
      <c r="C35" s="16" t="str">
        <f>IFERROR(__xludf.DUMMYFUNCTION("""COMPUTED_VALUE"""),"vt.tiktok.com/ZSH3s8JNQaean-aBXwn/")</f>
        <v>vt.tiktok.com/ZSH3s8JNQaean-aBXwn/</v>
      </c>
      <c r="D35" s="17" t="str">
        <f>IFERROR(__xludf.DUMMYFUNCTION("""COMPUTED_VALUE"""),"FS_MN_UD_023")</f>
        <v>FS_MN_UD_023</v>
      </c>
      <c r="E35" s="12" t="str">
        <f>IFERROR(__xludf.DUMMYFUNCTION("""COMPUTED_VALUE"""),"Men's Boxer Briefs #menboxer #mensbrief")</f>
        <v>Men's Boxer Briefs #menboxer #mensbrief</v>
      </c>
      <c r="F35" s="3"/>
      <c r="G35" s="3"/>
      <c r="L35" s="8"/>
      <c r="M35" s="8"/>
      <c r="N35" s="8"/>
      <c r="O35" s="8"/>
      <c r="P35" s="8"/>
      <c r="Q35" s="8"/>
    </row>
    <row r="36" ht="99" customHeight="1" spans="1:17">
      <c r="A36" s="15">
        <f>IFERROR(__xludf.DUMMYFUNCTION("""COMPUTED_VALUE"""),45948)</f>
        <v>45948</v>
      </c>
      <c r="B36" s="12" t="str">
        <f>IFERROR(__xludf.DUMMYFUNCTION("""COMPUTED_VALUE"""),"4-piece set of men's underwear, fashionable and soft printed men's underwear")</f>
        <v>4-piece set of men's underwear, fashionable and soft printed men's underwear</v>
      </c>
      <c r="C36" s="16" t="str">
        <f>IFERROR(__xludf.DUMMYFUNCTION("""COMPUTED_VALUE"""),"https://vt.tiktok.com/ZSHv82Agy7txh-Nh0PC/")</f>
        <v>https://vt.tiktok.com/ZSHv82Agy7txh-Nh0PC/</v>
      </c>
      <c r="D36" s="17" t="str">
        <f>IFERROR(__xludf.DUMMYFUNCTION("""COMPUTED_VALUE"""),"FS_MN_UD_024")</f>
        <v>FS_MN_UD_024</v>
      </c>
      <c r="E36" s="12" t="str">
        <f>IFERROR(__xludf.DUMMYFUNCTION("""COMPUTED_VALUE"""),"Men's Boxer Briefs #menboxer #mensbrief")</f>
        <v>Men's Boxer Briefs #menboxer #mensbrief</v>
      </c>
      <c r="F36" s="3"/>
      <c r="G36" s="3"/>
      <c r="L36" s="8"/>
      <c r="M36" s="8"/>
      <c r="N36" s="8"/>
      <c r="O36" s="8"/>
      <c r="P36" s="8"/>
      <c r="Q36" s="8"/>
    </row>
    <row r="37" ht="100.5" customHeight="1" spans="1:17">
      <c r="A37" s="15">
        <f>IFERROR(__xludf.DUMMYFUNCTION("""COMPUTED_VALUE"""),45948)</f>
        <v>45948</v>
      </c>
      <c r="B37" s="12" t="str">
        <f>IFERROR(__xludf.DUMMYFUNCTION("""COMPUTED_VALUE"""),"4-piece set of ice silk briefs for men, mid-rise waist and boxer briefs")</f>
        <v>4-piece set of ice silk briefs for men, mid-rise waist and boxer briefs</v>
      </c>
      <c r="C37" s="16" t="str">
        <f>IFERROR(__xludf.DUMMYFUNCTION("""COMPUTED_VALUE"""),"https://vt.tiktok.com/ZSHv82WAAWdxt-IxR8C/")</f>
        <v>https://vt.tiktok.com/ZSHv82WAAWdxt-IxR8C/</v>
      </c>
      <c r="D37" s="17" t="str">
        <f>IFERROR(__xludf.DUMMYFUNCTION("""COMPUTED_VALUE"""),"FS_MN_UD_025")</f>
        <v>FS_MN_UD_025</v>
      </c>
      <c r="E37" s="12" t="str">
        <f>IFERROR(__xludf.DUMMYFUNCTION("""COMPUTED_VALUE"""),"Men's Boxer Briefs #menboxer #mensbrief")</f>
        <v>Men's Boxer Briefs #menboxer #mensbrief</v>
      </c>
      <c r="F37" s="3"/>
      <c r="G37" s="3"/>
      <c r="L37" s="8"/>
      <c r="M37" s="8"/>
      <c r="N37" s="8"/>
      <c r="O37" s="8"/>
      <c r="P37" s="8"/>
      <c r="Q37" s="8"/>
    </row>
    <row r="38" ht="89.25" customHeight="1" spans="1:17">
      <c r="A38" s="15">
        <f>IFERROR(__xludf.DUMMYFUNCTION("""COMPUTED_VALUE"""),45948)</f>
        <v>45948</v>
      </c>
      <c r="B38" s="12" t="str">
        <f>IFERROR(__xludf.DUMMYFUNCTION("""COMPUTED_VALUE"""),"5 piece set men's boxer briefs ice silk flower and bird print men's underwear")</f>
        <v>5 piece set men's boxer briefs ice silk flower and bird print men's underwear</v>
      </c>
      <c r="C38" s="16" t="str">
        <f>IFERROR(__xludf.DUMMYFUNCTION("""COMPUTED_VALUE"""),"https://vt.tiktok.com/ZSHv8jP5SFkje-yhHru/")</f>
        <v>https://vt.tiktok.com/ZSHv8jP5SFkje-yhHru/</v>
      </c>
      <c r="D38" s="17" t="str">
        <f>IFERROR(__xludf.DUMMYFUNCTION("""COMPUTED_VALUE"""),"FS_MN_UD_026")</f>
        <v>FS_MN_UD_026</v>
      </c>
      <c r="E38" s="12" t="str">
        <f>IFERROR(__xludf.DUMMYFUNCTION("""COMPUTED_VALUE"""),"Men's Boxer Briefs #menboxer #mensbrief")</f>
        <v>Men's Boxer Briefs #menboxer #mensbrief</v>
      </c>
      <c r="F38" s="3"/>
      <c r="G38" s="3"/>
      <c r="L38" s="8"/>
      <c r="M38" s="8"/>
      <c r="N38" s="8"/>
      <c r="O38" s="8"/>
      <c r="P38" s="8"/>
      <c r="Q38" s="8"/>
    </row>
    <row r="39" ht="118.5" customHeight="1" spans="1:17">
      <c r="A39" s="15">
        <f>IFERROR(__xludf.DUMMYFUNCTION("""COMPUTED_VALUE"""),45948)</f>
        <v>45948</v>
      </c>
      <c r="B39" s="12" t="str">
        <f>IFERROR(__xludf.DUMMYFUNCTION("""COMPUTED_VALUE"""),"FHNC Premium Men's Boxer Briefs 5 Piece Set Soft Textured Men's Underwear")</f>
        <v>FHNC Premium Men's Boxer Briefs 5 Piece Set Soft Textured Men's Underwear</v>
      </c>
      <c r="C39" s="16" t="str">
        <f>IFERROR(__xludf.DUMMYFUNCTION("""COMPUTED_VALUE"""),"https://vt.tiktok.com/ZSHv8j7cmEpWs-qFH2A/")</f>
        <v>https://vt.tiktok.com/ZSHv8j7cmEpWs-qFH2A/</v>
      </c>
      <c r="D39" s="17" t="str">
        <f>IFERROR(__xludf.DUMMYFUNCTION("""COMPUTED_VALUE"""),"FS_MN_UD_027")</f>
        <v>FS_MN_UD_027</v>
      </c>
      <c r="E39" s="12" t="str">
        <f>IFERROR(__xludf.DUMMYFUNCTION("""COMPUTED_VALUE"""),"Men's Boxer Briefs #menboxer #mensbrief")</f>
        <v>Men's Boxer Briefs #menboxer #mensbrief</v>
      </c>
      <c r="F39" s="3"/>
      <c r="G39" s="3"/>
      <c r="L39" s="8"/>
      <c r="M39" s="8"/>
      <c r="N39" s="8"/>
      <c r="O39" s="8"/>
      <c r="P39" s="8"/>
      <c r="Q39" s="8"/>
    </row>
    <row r="40" ht="89.25" customHeight="1" spans="1:17">
      <c r="A40" s="15">
        <f>IFERROR(__xludf.DUMMYFUNCTION("""COMPUTED_VALUE"""),45950)</f>
        <v>45950</v>
      </c>
      <c r="B40" s="12" t="str">
        <f>IFERROR(__xludf.DUMMYFUNCTION("""COMPUTED_VALUE"""),"3/5pcs Men's Cotton Boxer Briefs for men High Quality comforts underpants shorts seamless Menswear Plain trunks")</f>
        <v>3/5pcs Men's Cotton Boxer Briefs for men High Quality comforts underpants shorts seamless Menswear Plain trunks</v>
      </c>
      <c r="C40" s="16" t="str">
        <f>IFERROR(__xludf.DUMMYFUNCTION("""COMPUTED_VALUE"""),"https://vt.tiktok.com/ZSHvrFujvdrhV-gVKBT/")</f>
        <v>https://vt.tiktok.com/ZSHvrFujvdrhV-gVKBT/</v>
      </c>
      <c r="D40" s="17" t="str">
        <f>IFERROR(__xludf.DUMMYFUNCTION("""COMPUTED_VALUE"""),"FS_MN_UD_028")</f>
        <v>FS_MN_UD_028</v>
      </c>
      <c r="E40" s="12" t="str">
        <f>IFERROR(__xludf.DUMMYFUNCTION("""COMPUTED_VALUE"""),"Men's Boxer Briefs #menboxer #mensbrief")</f>
        <v>Men's Boxer Briefs #menboxer #mensbrief</v>
      </c>
      <c r="F40" s="3"/>
      <c r="G40" s="3"/>
      <c r="L40" s="8"/>
      <c r="M40" s="8"/>
      <c r="N40" s="8"/>
      <c r="O40" s="8"/>
      <c r="P40" s="8"/>
      <c r="Q40" s="8"/>
    </row>
    <row r="41" ht="76.5" spans="1:17">
      <c r="A41" s="15">
        <f>IFERROR(__xludf.DUMMYFUNCTION("""COMPUTED_VALUE"""),45957)</f>
        <v>45957</v>
      </c>
      <c r="B41" s="12" t="str">
        <f>IFERROR(__xludf.DUMMYFUNCTION("""COMPUTED_VALUE"""),"4 pcs Fashionable cotton men's underwear, soft and comfortable, breathable and quick-drying design free shipping")</f>
        <v>4 pcs Fashionable cotton men's underwear, soft and comfortable, breathable and quick-drying design free shipping</v>
      </c>
      <c r="C41" s="16" t="str">
        <f>IFERROR(__xludf.DUMMYFUNCTION("""COMPUTED_VALUE"""),"https://vt.tiktok.com/ZSHvWqNvGsdDG-rWeti/")</f>
        <v>https://vt.tiktok.com/ZSHvWqNvGsdDG-rWeti/</v>
      </c>
      <c r="D41" s="17" t="str">
        <f>IFERROR(__xludf.DUMMYFUNCTION("""COMPUTED_VALUE"""),"FS_MN_UD_029")</f>
        <v>FS_MN_UD_029</v>
      </c>
      <c r="E41" s="12" t="str">
        <f>IFERROR(__xludf.DUMMYFUNCTION("""COMPUTED_VALUE"""),"Men's Boxer Briefs #menboxer #mensbrief")</f>
        <v>Men's Boxer Briefs #menboxer #mensbrief</v>
      </c>
      <c r="F41" s="3"/>
      <c r="G41" s="3"/>
      <c r="L41" s="8"/>
      <c r="M41" s="8"/>
      <c r="N41" s="8"/>
      <c r="O41" s="8"/>
      <c r="P41" s="8"/>
      <c r="Q41" s="8"/>
    </row>
    <row r="42" ht="51" spans="1:17">
      <c r="A42" s="15">
        <f>IFERROR(__xludf.DUMMYFUNCTION("""COMPUTED_VALUE"""),45957)</f>
        <v>45957</v>
      </c>
      <c r="B42" s="12" t="str">
        <f>IFERROR(__xludf.DUMMYFUNCTION("""COMPUTED_VALUE"""),"Umiwear G1 6 Pcs High Quality Cotton Menswear Plain Brief for Mens New Basic Men Briefs")</f>
        <v>Umiwear G1 6 Pcs High Quality Cotton Menswear Plain Brief for Mens New Basic Men Briefs</v>
      </c>
      <c r="C42" s="16" t="str">
        <f>IFERROR(__xludf.DUMMYFUNCTION("""COMPUTED_VALUE"""),"https://vt.tiktok.com/ZSHvWbF5WmAes-jiRn3/")</f>
        <v>https://vt.tiktok.com/ZSHvWbF5WmAes-jiRn3/</v>
      </c>
      <c r="D42" s="17" t="str">
        <f>IFERROR(__xludf.DUMMYFUNCTION("""COMPUTED_VALUE"""),"FS_MN_UD_030")</f>
        <v>FS_MN_UD_030</v>
      </c>
      <c r="E42" s="12" t="str">
        <f>IFERROR(__xludf.DUMMYFUNCTION("""COMPUTED_VALUE"""),"Men's Underwear 
#menunderwear #menwear")</f>
        <v>Men's Underwear 
#menunderwear #menwear</v>
      </c>
      <c r="F42" s="3"/>
      <c r="G42" s="3"/>
      <c r="L42" s="8"/>
      <c r="M42" s="8"/>
      <c r="N42" s="8"/>
      <c r="O42" s="8"/>
      <c r="P42" s="8"/>
      <c r="Q42" s="8"/>
    </row>
    <row r="43" ht="78" customHeight="1" spans="1:17">
      <c r="A43" s="15">
        <f>IFERROR(__xludf.DUMMYFUNCTION("""COMPUTED_VALUE"""),45963)</f>
        <v>45963</v>
      </c>
      <c r="B43" s="12" t="str">
        <f>IFERROR(__xludf.DUMMYFUNCTION("""COMPUTED_VALUE"""),"[5 Pcs] Men's Boxer Briefs Ice Silk Seamless Antibacterial Soft Breathable Thin Style")</f>
        <v>[5 Pcs] Men's Boxer Briefs Ice Silk Seamless Antibacterial Soft Breathable Thin Style</v>
      </c>
      <c r="C43" s="16" t="str">
        <f>IFERROR(__xludf.DUMMYFUNCTION("""COMPUTED_VALUE"""),"https://vt.tiktok.com/ZSHcBBx9b6REB-vWTJV/
")</f>
        <v>https://vt.tiktok.com/ZSHcBBx9b6REB-vWTJV/
</v>
      </c>
      <c r="D43" s="17" t="str">
        <f>IFERROR(__xludf.DUMMYFUNCTION("""COMPUTED_VALUE"""),"FS_MN_UD_031")</f>
        <v>FS_MN_UD_031</v>
      </c>
      <c r="E43" s="12" t="str">
        <f>IFERROR(__xludf.DUMMYFUNCTION("""COMPUTED_VALUE"""),"Men's Boxer Briefs #menboxer #mensbrief")</f>
        <v>Men's Boxer Briefs #menboxer #mensbrief</v>
      </c>
      <c r="F43" s="3"/>
      <c r="G43" s="3"/>
      <c r="L43" s="8"/>
      <c r="M43" s="8"/>
      <c r="N43" s="8"/>
      <c r="O43" s="8"/>
      <c r="P43" s="8"/>
      <c r="Q43" s="8"/>
    </row>
    <row r="44" ht="76.5" spans="1:17">
      <c r="A44" s="15">
        <f>IFERROR(__xludf.DUMMYFUNCTION("""COMPUTED_VALUE"""),45969)</f>
        <v>45969</v>
      </c>
      <c r="B44" s="12" t="str">
        <f>IFERROR(__xludf.DUMMYFUNCTION("""COMPUTED_VALUE"""),"INSPI Basics 3pcs Set Boxer Brief for Man Random Colors Boxers Shorts Underwear for Men Black Gray Elastic Fabric Stretchable")</f>
        <v>INSPI Basics 3pcs Set Boxer Brief for Man Random Colors Boxers Shorts Underwear for Men Black Gray Elastic Fabric Stretchable</v>
      </c>
      <c r="C44" s="16" t="str">
        <f>IFERROR(__xludf.DUMMYFUNCTION("""COMPUTED_VALUE"""),"vt.tiktok.com/ZSHctmPxABjxR-orhW3/")</f>
        <v>vt.tiktok.com/ZSHctmPxABjxR-orhW3/</v>
      </c>
      <c r="D44" s="17" t="str">
        <f>IFERROR(__xludf.DUMMYFUNCTION("""COMPUTED_VALUE"""),"FS_MN_UD_032")</f>
        <v>FS_MN_UD_032</v>
      </c>
      <c r="E44" s="12" t="str">
        <f>IFERROR(__xludf.DUMMYFUNCTION("""COMPUTED_VALUE"""),"INSPI Men's Boxer #inspiboxer #mensboxer")</f>
        <v>INSPI Men's Boxer #inspiboxer #mensboxer</v>
      </c>
      <c r="F44" s="3"/>
      <c r="G44" s="3"/>
      <c r="L44" s="8"/>
      <c r="M44" s="8"/>
      <c r="N44" s="8"/>
      <c r="O44" s="8"/>
      <c r="P44" s="8"/>
      <c r="Q44" s="8"/>
    </row>
    <row r="45" ht="63.75" spans="1:17">
      <c r="A45" s="15">
        <f>IFERROR(__xludf.DUMMYFUNCTION("""COMPUTED_VALUE"""),45969)</f>
        <v>45969</v>
      </c>
      <c r="B45" s="12" t="str">
        <f>IFERROR(__xludf.DUMMYFUNCTION("""COMPUTED_VALUE"""),"4 pcs set men's boxer briefs pixel cartoon printed men's underwear and youth underwear Menswear")</f>
        <v>4 pcs set men's boxer briefs pixel cartoon printed men's underwear and youth underwear Menswear</v>
      </c>
      <c r="C45" s="16" t="str">
        <f>IFERROR(__xludf.DUMMYFUNCTION("""COMPUTED_VALUE"""),"vt.tiktok.com/ZSHctu578Ee5P-wfrrr/")</f>
        <v>vt.tiktok.com/ZSHctu578Ee5P-wfrrr/</v>
      </c>
      <c r="D45" s="17" t="str">
        <f>IFERROR(__xludf.DUMMYFUNCTION("""COMPUTED_VALUE"""),"FS_MN_UD_033")</f>
        <v>FS_MN_UD_033</v>
      </c>
      <c r="E45" s="12" t="str">
        <f>IFERROR(__xludf.DUMMYFUNCTION("""COMPUTED_VALUE"""),"Men's Boxer Briefs #menboxer #mensbrief")</f>
        <v>Men's Boxer Briefs #menboxer #mensbrief</v>
      </c>
      <c r="F45" s="3"/>
      <c r="G45" s="3"/>
      <c r="L45" s="8"/>
      <c r="M45" s="8"/>
      <c r="N45" s="8"/>
      <c r="O45" s="8"/>
      <c r="P45" s="8"/>
      <c r="Q45" s="8"/>
    </row>
    <row r="46" ht="76.5" spans="1:17">
      <c r="A46" s="15">
        <f>IFERROR(__xludf.DUMMYFUNCTION("""COMPUTED_VALUE"""),45969)</f>
        <v>45969</v>
      </c>
      <c r="B46" s="12" t="str">
        <f>IFERROR(__xludf.DUMMYFUNCTION("""COMPUTED_VALUE"""),"4Pcs Briefs Men's smooth underwear, ultra-thin ice silk, antibacterial, AAA antibacterial crotch, 24 hours dry.")</f>
        <v>4Pcs Briefs Men's smooth underwear, ultra-thin ice silk, antibacterial, AAA antibacterial crotch, 24 hours dry.</v>
      </c>
      <c r="C46" s="16" t="str">
        <f>IFERROR(__xludf.DUMMYFUNCTION("""COMPUTED_VALUE"""),"https://vt.tiktok.com/ZSHctHy62JFX6-IXsa5/")</f>
        <v>https://vt.tiktok.com/ZSHctHy62JFX6-IXsa5/</v>
      </c>
      <c r="D46" s="17" t="str">
        <f>IFERROR(__xludf.DUMMYFUNCTION("""COMPUTED_VALUE"""),"FS_MN_UD_035")</f>
        <v>FS_MN_UD_035</v>
      </c>
      <c r="E46" s="12" t="str">
        <f>IFERROR(__xludf.DUMMYFUNCTION("""COMPUTED_VALUE"""),"Men's Boxer Briefs #menboxer #mensbrief")</f>
        <v>Men's Boxer Briefs #menboxer #mensbrief</v>
      </c>
      <c r="F46" s="3"/>
      <c r="G46" s="3"/>
      <c r="L46" s="8"/>
      <c r="M46" s="8"/>
      <c r="N46" s="8"/>
      <c r="O46" s="8"/>
      <c r="P46" s="8"/>
      <c r="Q46" s="8"/>
    </row>
    <row r="47" ht="89.25" spans="1:17">
      <c r="A47" s="15">
        <f>IFERROR(__xludf.DUMMYFUNCTION("""COMPUTED_VALUE"""),45969)</f>
        <v>45969</v>
      </c>
      <c r="B47" s="12" t="str">
        <f>IFERROR(__xludf.DUMMYFUNCTION("""COMPUTED_VALUE"""),"WIS 4PCS Cotton Boxer Assorted Color No Choosing of Colors for Men (with pouch) Menswear Lingerie Human Beige Human Beige Plain")</f>
        <v>WIS 4PCS Cotton Boxer Assorted Color No Choosing of Colors for Men (with pouch) Menswear Lingerie Human Beige Human Beige Plain</v>
      </c>
      <c r="C47" s="16" t="str">
        <f>IFERROR(__xludf.DUMMYFUNCTION("""COMPUTED_VALUE"""),"vt.tiktok.com/ZSHctx2GwUnWb-Uolqg/")</f>
        <v>vt.tiktok.com/ZSHctx2GwUnWb-Uolqg/</v>
      </c>
      <c r="D47" s="17" t="str">
        <f>IFERROR(__xludf.DUMMYFUNCTION("""COMPUTED_VALUE"""),"FS_MN_UD_036")</f>
        <v>FS_MN_UD_036</v>
      </c>
      <c r="E47" s="12" t="str">
        <f>IFERROR(__xludf.DUMMYFUNCTION("""COMPUTED_VALUE"""),"WIS Men's Boxer Briefs #menboxer #mensbrief")</f>
        <v>WIS Men's Boxer Briefs #menboxer #mensbrief</v>
      </c>
      <c r="F47" s="3"/>
      <c r="G47" s="3"/>
      <c r="L47" s="8"/>
      <c r="M47" s="8"/>
      <c r="N47" s="8"/>
      <c r="O47" s="8"/>
      <c r="P47" s="8"/>
      <c r="Q47" s="8"/>
    </row>
    <row r="48" ht="63.75" spans="1:17">
      <c r="A48" s="15">
        <f>IFERROR(__xludf.DUMMYFUNCTION("""COMPUTED_VALUE"""),45969)</f>
        <v>45969</v>
      </c>
      <c r="B48" s="12" t="str">
        <f>IFERROR(__xludf.DUMMYFUNCTION("""COMPUTED_VALUE"""),"GOAL BY SORELLA men's 5 in 1 brief pack GBOT505 (SET OF 5) plain black grey dark grey army green")</f>
        <v>GOAL BY SORELLA men's 5 in 1 brief pack GBOT505 (SET OF 5) plain black grey dark grey army green</v>
      </c>
      <c r="C48" s="16" t="str">
        <f>IFERROR(__xludf.DUMMYFUNCTION("""COMPUTED_VALUE"""),"vt.tiktok.com/ZSHctQaugwX8B-OAW5Z/")</f>
        <v>vt.tiktok.com/ZSHctQaugwX8B-OAW5Z/</v>
      </c>
      <c r="D48" s="17" t="str">
        <f>IFERROR(__xludf.DUMMYFUNCTION("""COMPUTED_VALUE"""),"FS_MN_UD_037")</f>
        <v>FS_MN_UD_037</v>
      </c>
      <c r="E48" s="12" t="str">
        <f>IFERROR(__xludf.DUMMYFUNCTION("""COMPUTED_VALUE"""),"Men's Underwear 
#menunderwear #menwear")</f>
        <v>Men's Underwear 
#menunderwear #menwear</v>
      </c>
      <c r="F48" s="3"/>
      <c r="G48" s="3"/>
      <c r="L48" s="8"/>
      <c r="M48" s="8"/>
      <c r="N48" s="8"/>
      <c r="O48" s="8"/>
      <c r="P48" s="8"/>
      <c r="Q48" s="8"/>
    </row>
    <row r="49" ht="51" spans="1:17">
      <c r="A49" s="15">
        <f>IFERROR(__xludf.DUMMYFUNCTION("""COMPUTED_VALUE"""),45973)</f>
        <v>45973</v>
      </c>
      <c r="B49" s="12" t="str">
        <f>IFERROR(__xludf.DUMMYFUNCTION("""COMPUTED_VALUE"""),"FHNC Men's Breathable Boxer Briefs Geometric Line Printed Briefs Boys Boxer Briefs Menswear")</f>
        <v>FHNC Men's Breathable Boxer Briefs Geometric Line Printed Briefs Boys Boxer Briefs Menswear</v>
      </c>
      <c r="C49" s="16" t="str">
        <f>IFERROR(__xludf.DUMMYFUNCTION("""COMPUTED_VALUE"""),"vt.tiktok.com/ZSH3L4uyL5LVD-90lwC/")</f>
        <v>vt.tiktok.com/ZSH3L4uyL5LVD-90lwC/</v>
      </c>
      <c r="D49" s="17" t="str">
        <f>IFERROR(__xludf.DUMMYFUNCTION("""COMPUTED_VALUE"""),"FS_MN_UD_038")</f>
        <v>FS_MN_UD_038</v>
      </c>
      <c r="E49" s="12" t="str">
        <f>IFERROR(__xludf.DUMMYFUNCTION("""COMPUTED_VALUE"""),"Men's Boxer Briefs #menboxer #mensbrief")</f>
        <v>Men's Boxer Briefs #menboxer #mensbrief</v>
      </c>
      <c r="F49" s="3"/>
      <c r="G49" s="3"/>
      <c r="L49" s="8"/>
      <c r="M49" s="8"/>
      <c r="N49" s="8"/>
      <c r="O49" s="8"/>
      <c r="P49" s="8"/>
      <c r="Q49" s="8"/>
    </row>
    <row r="50" ht="89.25" spans="1:17">
      <c r="A50" s="15">
        <f>IFERROR(__xludf.DUMMYFUNCTION("""COMPUTED_VALUE"""),45973)</f>
        <v>45973</v>
      </c>
      <c r="B50" s="12" t="str">
        <f>IFERROR(__xludf.DUMMYFUNCTION("""COMPUTED_VALUE"""),"INSPI Basics 3pcs Set Printed Boxer Brief for Men Boxers Shorts random colors| Black | Grey | Blue
Elastic Fabric Menswear Navy")</f>
        <v>INSPI Basics 3pcs Set Printed Boxer Brief for Men Boxers Shorts random colors| Black | Grey | Blue
Elastic Fabric Menswear Navy</v>
      </c>
      <c r="C50" s="16" t="str">
        <f>IFERROR(__xludf.DUMMYFUNCTION("""COMPUTED_VALUE"""),"https://vt.tiktok.com/ZSH3LVsv5AyMW-3VGdp/")</f>
        <v>https://vt.tiktok.com/ZSH3LVsv5AyMW-3VGdp/</v>
      </c>
      <c r="D50" s="17" t="str">
        <f>IFERROR(__xludf.DUMMYFUNCTION("""COMPUTED_VALUE"""),"FS_MN_UD_039")</f>
        <v>FS_MN_UD_039</v>
      </c>
      <c r="E50" s="12" t="str">
        <f>IFERROR(__xludf.DUMMYFUNCTION("""COMPUTED_VALUE"""),"INSPI Men's Boxer #inspiboxer #mensboxer")</f>
        <v>INSPI Men's Boxer #inspiboxer #mensboxer</v>
      </c>
      <c r="F50" s="3"/>
      <c r="G50" s="3"/>
      <c r="L50" s="8"/>
      <c r="M50" s="8"/>
      <c r="N50" s="8"/>
      <c r="O50" s="8"/>
      <c r="P50" s="8"/>
      <c r="Q50" s="8"/>
    </row>
    <row r="51" ht="76.5" spans="1:17">
      <c r="A51" s="15">
        <f>IFERROR(__xludf.DUMMYFUNCTION("""COMPUTED_VALUE"""),45973)</f>
        <v>45973</v>
      </c>
      <c r="B51" s="12" t="str">
        <f>IFERROR(__xludf.DUMMYFUNCTION("""COMPUTED_VALUE"""),"Organic Mens Cotton Classic Boxer brief mens 3 pcs sale Random Colors Collection original High Quality Breathable adult Underwear")</f>
        <v>Organic Mens Cotton Classic Boxer brief mens 3 pcs sale Random Colors Collection original High Quality Breathable adult Underwear</v>
      </c>
      <c r="C51" s="16" t="str">
        <f>IFERROR(__xludf.DUMMYFUNCTION("""COMPUTED_VALUE"""),"https://vt.tiktok.com/ZSH3Lsudyv2qG-5kJdK/")</f>
        <v>https://vt.tiktok.com/ZSH3Lsudyv2qG-5kJdK/</v>
      </c>
      <c r="D51" s="17" t="str">
        <f>IFERROR(__xludf.DUMMYFUNCTION("""COMPUTED_VALUE"""),"FS_MN_UD_040")</f>
        <v>FS_MN_UD_040</v>
      </c>
      <c r="E51" s="12" t="str">
        <f>IFERROR(__xludf.DUMMYFUNCTION("""COMPUTED_VALUE"""),"Men's Boxer Briefs #menboxer #mensbrief")</f>
        <v>Men's Boxer Briefs #menboxer #mensbrief</v>
      </c>
      <c r="F51" s="3"/>
      <c r="G51" s="3"/>
      <c r="L51" s="8"/>
      <c r="M51" s="8"/>
      <c r="N51" s="8"/>
      <c r="O51" s="8"/>
      <c r="P51" s="8"/>
      <c r="Q51" s="8"/>
    </row>
    <row r="52" ht="76.5" spans="1:17">
      <c r="A52" s="15">
        <f>IFERROR(__xludf.DUMMYFUNCTION("""COMPUTED_VALUE"""),45980)</f>
        <v>45980</v>
      </c>
      <c r="B52" s="12" t="str">
        <f>IFERROR(__xludf.DUMMYFUNCTION("""COMPUTED_VALUE"""),"6 PCS MENS BOXER UNDERWEAR COTTON ASSORTED PRINT STRIPED AND GRAPHIC DESIGN MENSWEAR")</f>
        <v>6 PCS MENS BOXER UNDERWEAR COTTON ASSORTED PRINT STRIPED AND GRAPHIC DESIGN MENSWEAR</v>
      </c>
      <c r="C52" s="16" t="str">
        <f>IFERROR(__xludf.DUMMYFUNCTION("""COMPUTED_VALUE"""),"vt.tiktok.com/ZSH3q812gdcNB-qDVfO/")</f>
        <v>vt.tiktok.com/ZSH3q812gdcNB-qDVfO/</v>
      </c>
      <c r="D52" s="17" t="str">
        <f>IFERROR(__xludf.DUMMYFUNCTION("""COMPUTED_VALUE"""),"FS_MN_UD_041")</f>
        <v>FS_MN_UD_041</v>
      </c>
      <c r="E52" s="12" t="str">
        <f>IFERROR(__xludf.DUMMYFUNCTION("""COMPUTED_VALUE"""),"Men's Boxer Briefs #menboxer #mensbrief")</f>
        <v>Men's Boxer Briefs #menboxer #mensbrief</v>
      </c>
      <c r="F52" s="3"/>
      <c r="G52" s="3"/>
      <c r="L52" s="8"/>
      <c r="M52" s="8"/>
      <c r="N52" s="8"/>
      <c r="O52" s="8"/>
      <c r="P52" s="8"/>
      <c r="Q52" s="8"/>
    </row>
    <row r="53" ht="63.75" spans="1:17">
      <c r="A53" s="15">
        <f>IFERROR(__xludf.DUMMYFUNCTION("""COMPUTED_VALUE"""),45981)</f>
        <v>45981</v>
      </c>
      <c r="B53" s="12" t="str">
        <f>IFERROR(__xludf.DUMMYFUNCTION("""COMPUTED_VALUE"""),"4PCS Mens Plaid Underwear Breathable Boxer Briefs Elastic Comfortable Boxer Shorts Daily Wear")</f>
        <v>4PCS Mens Plaid Underwear Breathable Boxer Briefs Elastic Comfortable Boxer Shorts Daily Wear</v>
      </c>
      <c r="C53" s="16" t="str">
        <f>IFERROR(__xludf.DUMMYFUNCTION("""COMPUTED_VALUE"""),"https://vt.tiktok.com/ZSH3s8fyXU4oW-n39eT/")</f>
        <v>https://vt.tiktok.com/ZSH3s8fyXU4oW-n39eT/</v>
      </c>
      <c r="D53" s="17" t="str">
        <f>IFERROR(__xludf.DUMMYFUNCTION("""COMPUTED_VALUE"""),"FS_MN_UD_043")</f>
        <v>FS_MN_UD_043</v>
      </c>
      <c r="E53" s="12" t="str">
        <f>IFERROR(__xludf.DUMMYFUNCTION("""COMPUTED_VALUE"""),"Men's Boxer Briefs #menboxer #mensbrief")</f>
        <v>Men's Boxer Briefs #menboxer #mensbrief</v>
      </c>
      <c r="F53" s="3"/>
      <c r="G53" s="3"/>
      <c r="L53" s="8"/>
      <c r="M53" s="8"/>
      <c r="N53" s="8"/>
      <c r="O53" s="8"/>
      <c r="P53" s="8"/>
      <c r="Q53" s="8"/>
    </row>
    <row r="54" ht="63.75" spans="1:17">
      <c r="A54" s="15">
        <f>IFERROR(__xludf.DUMMYFUNCTION("""COMPUTED_VALUE"""),45981)</f>
        <v>45981</v>
      </c>
      <c r="B54" s="12" t="str">
        <f>IFERROR(__xludf.DUMMYFUNCTION("""COMPUTED_VALUE"""),"3PCS Men's Retro Cotton Boxer Shorts Stretchy Soft Loose Fit Lalaki Underwear Daily Comfort Briefs")</f>
        <v>3PCS Men's Retro Cotton Boxer Shorts Stretchy Soft Loose Fit Lalaki Underwear Daily Comfort Briefs</v>
      </c>
      <c r="C54" s="16" t="str">
        <f>IFERROR(__xludf.DUMMYFUNCTION("""COMPUTED_VALUE"""),"https://vt.tiktok.com/ZSH3s8tQKQR9t-4tWp9/")</f>
        <v>https://vt.tiktok.com/ZSH3s8tQKQR9t-4tWp9/</v>
      </c>
      <c r="D54" s="17" t="str">
        <f>IFERROR(__xludf.DUMMYFUNCTION("""COMPUTED_VALUE"""),"FS_MN_UD_044")</f>
        <v>FS_MN_UD_044</v>
      </c>
      <c r="E54" s="12" t="str">
        <f>IFERROR(__xludf.DUMMYFUNCTION("""COMPUTED_VALUE"""),"Men's Boxer Briefs #menboxer #mensbrief")</f>
        <v>Men's Boxer Briefs #menboxer #mensbrief</v>
      </c>
      <c r="F54" s="3"/>
      <c r="G54" s="3"/>
      <c r="L54" s="8"/>
      <c r="M54" s="8"/>
      <c r="N54" s="8"/>
      <c r="O54" s="8"/>
      <c r="P54" s="8"/>
      <c r="Q54" s="8"/>
    </row>
    <row r="55" ht="102" spans="1:17">
      <c r="A55" s="15">
        <f>IFERROR(__xludf.DUMMYFUNCTION("""COMPUTED_VALUE"""),45981)</f>
        <v>45981</v>
      </c>
      <c r="B55" s="12" t="str">
        <f>IFERROR(__xludf.DUMMYFUNCTION("""COMPUTED_VALUE"""),"Hot-selling ethnic style men's underwear, American light luxury style boxer briefs, pure cotton, comfortable and breathable, mid-rise four-corner underwear Menswear Socks")</f>
        <v>Hot-selling ethnic style men's underwear, American light luxury style boxer briefs, pure cotton, comfortable and breathable, mid-rise four-corner underwear Menswear Socks</v>
      </c>
      <c r="C55" s="16" t="str">
        <f>IFERROR(__xludf.DUMMYFUNCTION("""COMPUTED_VALUE"""),"vt.tiktok.com/ZSH3sH1BwAYcV-P6Kez/")</f>
        <v>vt.tiktok.com/ZSH3sH1BwAYcV-P6Kez/</v>
      </c>
      <c r="D55" s="17" t="str">
        <f>IFERROR(__xludf.DUMMYFUNCTION("""COMPUTED_VALUE"""),"FS_MN_UD_045")</f>
        <v>FS_MN_UD_045</v>
      </c>
      <c r="E55" s="12" t="str">
        <f>IFERROR(__xludf.DUMMYFUNCTION("""COMPUTED_VALUE"""),"Men's Boxer Briefs #menboxer #mensbrief")</f>
        <v>Men's Boxer Briefs #menboxer #mensbrief</v>
      </c>
      <c r="F55" s="3"/>
      <c r="G55" s="3"/>
      <c r="L55" s="8"/>
      <c r="M55" s="8"/>
      <c r="N55" s="8"/>
      <c r="O55" s="8"/>
      <c r="P55" s="8"/>
      <c r="Q55" s="8"/>
    </row>
    <row r="56" ht="89.25" spans="1:17">
      <c r="A56" s="15">
        <f>IFERROR(__xludf.DUMMYFUNCTION("""COMPUTED_VALUE"""),45981)</f>
        <v>45981</v>
      </c>
      <c r="B56" s="12" t="str">
        <f>IFERROR(__xludf.DUMMYFUNCTION("""COMPUTED_VALUE"""),"10a antibacterial high-grade ice silk underwear summer fashion light luxury boxer silk bottom shorts Menswear Socks Man Innerwear Beige Brown Plain")</f>
        <v>10a antibacterial high-grade ice silk underwear summer fashion light luxury boxer silk bottom shorts Menswear Socks Man Innerwear Beige Brown Plain</v>
      </c>
      <c r="C56" s="16" t="str">
        <f>IFERROR(__xludf.DUMMYFUNCTION("""COMPUTED_VALUE"""),"https://vt.tiktok.com/ZSH3sx5vefeGJ-KiUms/")</f>
        <v>https://vt.tiktok.com/ZSH3sx5vefeGJ-KiUms/</v>
      </c>
      <c r="D56" s="17" t="str">
        <f>IFERROR(__xludf.DUMMYFUNCTION("""COMPUTED_VALUE"""),"FS_MN_UD_046")</f>
        <v>FS_MN_UD_046</v>
      </c>
      <c r="E56" s="12" t="str">
        <f>IFERROR(__xludf.DUMMYFUNCTION("""COMPUTED_VALUE"""),"Men's Boxer Briefs #menboxer #mensbrief")</f>
        <v>Men's Boxer Briefs #menboxer #mensbrief</v>
      </c>
      <c r="F56" s="3"/>
      <c r="G56" s="3"/>
      <c r="L56" s="8"/>
      <c r="M56" s="8"/>
      <c r="N56" s="8"/>
      <c r="O56" s="8"/>
      <c r="P56" s="8"/>
      <c r="Q56" s="8"/>
    </row>
    <row r="57" ht="76.5" spans="1:17">
      <c r="A57" s="15">
        <f>IFERROR(__xludf.DUMMYFUNCTION("""COMPUTED_VALUE"""),45984)</f>
        <v>45984</v>
      </c>
      <c r="B57" s="12" t="str">
        <f>IFERROR(__xludf.DUMMYFUNCTION("""COMPUTED_VALUE"""),"Organic Printed Boxer brief mens 3 pcs sale Random original Colors Boxers Breathable adult Underwear Cotton Menswear")</f>
        <v>Organic Printed Boxer brief mens 3 pcs sale Random original Colors Boxers Breathable adult Underwear Cotton Menswear</v>
      </c>
      <c r="C57" s="16" t="str">
        <f>IFERROR(__xludf.DUMMYFUNCTION("""COMPUTED_VALUE"""),"vt.tiktok.com/ZSH3WHkqPnaKd-pJYEn/")</f>
        <v>vt.tiktok.com/ZSH3WHkqPnaKd-pJYEn/</v>
      </c>
      <c r="D57" s="17" t="str">
        <f>IFERROR(__xludf.DUMMYFUNCTION("""COMPUTED_VALUE"""),"FS_MN_UD_047")</f>
        <v>FS_MN_UD_047</v>
      </c>
      <c r="E57" s="12" t="str">
        <f>IFERROR(__xludf.DUMMYFUNCTION("""COMPUTED_VALUE"""),"Men's Boxer Briefs #menboxer #mensbrief")</f>
        <v>Men's Boxer Briefs #menboxer #mensbrief</v>
      </c>
      <c r="F57" s="3"/>
      <c r="G57" s="3"/>
      <c r="L57" s="8"/>
      <c r="M57" s="8"/>
      <c r="N57" s="8"/>
      <c r="O57" s="8"/>
      <c r="P57" s="8"/>
      <c r="Q57" s="8"/>
    </row>
    <row r="58" ht="76.5" spans="1:17">
      <c r="A58" s="15">
        <f>IFERROR(__xludf.DUMMYFUNCTION("""COMPUTED_VALUE"""),45984)</f>
        <v>45984</v>
      </c>
      <c r="B58" s="12" t="str">
        <f>IFERROR(__xludf.DUMMYFUNCTION("""COMPUTED_VALUE"""),"5pcs L-4XL Men's Breathable And Comfortable Color Boxer Ice Silk Antibacterial panty underpants Men's Breathable")</f>
        <v>5pcs L-4XL Men's Breathable And Comfortable Color Boxer Ice Silk Antibacterial panty underpants Men's Breathable</v>
      </c>
      <c r="C58" s="16" t="str">
        <f>IFERROR(__xludf.DUMMYFUNCTION("""COMPUTED_VALUE"""),"vt.tiktok.com/ZSH3oBGSmfu9E-SAymf/")</f>
        <v>vt.tiktok.com/ZSH3oBGSmfu9E-SAymf/</v>
      </c>
      <c r="D58" s="17" t="str">
        <f>IFERROR(__xludf.DUMMYFUNCTION("""COMPUTED_VALUE"""),"FS_MN_UD_048")</f>
        <v>FS_MN_UD_048</v>
      </c>
      <c r="E58" s="12" t="str">
        <f>IFERROR(__xludf.DUMMYFUNCTION("""COMPUTED_VALUE"""),"Men's Boxer Briefs #menboxer #mensbrief")</f>
        <v>Men's Boxer Briefs #menboxer #mensbrief</v>
      </c>
      <c r="F58" s="3"/>
      <c r="G58" s="3"/>
      <c r="L58" s="8"/>
      <c r="M58" s="8"/>
      <c r="N58" s="8"/>
      <c r="O58" s="8"/>
      <c r="P58" s="8"/>
      <c r="Q58" s="8"/>
    </row>
    <row r="59" ht="51" spans="1:17">
      <c r="A59" s="15">
        <f>IFERROR(__xludf.DUMMYFUNCTION("""COMPUTED_VALUE"""),45984)</f>
        <v>45984</v>
      </c>
      <c r="B59" s="12" t="str">
        <f>IFERROR(__xludf.DUMMYFUNCTION("""COMPUTED_VALUE"""),"GEORGE- Men's 3-in-1 Hipster Brief (#8807)
Sold by George Underwear")</f>
        <v>GEORGE- Men's 3-in-1 Hipster Brief (#8807)
Sold by George Underwear</v>
      </c>
      <c r="C59" s="16" t="str">
        <f>IFERROR(__xludf.DUMMYFUNCTION("""COMPUTED_VALUE"""),"https://vt.tiktok.com/ZSH3oS6P2H3mB-bEAAs/")</f>
        <v>https://vt.tiktok.com/ZSH3oS6P2H3mB-bEAAs/</v>
      </c>
      <c r="D59" s="17" t="str">
        <f>IFERROR(__xludf.DUMMYFUNCTION("""COMPUTED_VALUE"""),"FS_MN_UD_049")</f>
        <v>FS_MN_UD_049</v>
      </c>
      <c r="E59" s="12" t="str">
        <f>IFERROR(__xludf.DUMMYFUNCTION("""COMPUTED_VALUE"""),"GEORGE Men's Underwear 
#menunderwear #menwear")</f>
        <v>GEORGE Men's Underwear 
#menunderwear #menwear</v>
      </c>
      <c r="F59" s="3"/>
      <c r="G59" s="3"/>
      <c r="L59" s="8"/>
      <c r="M59" s="8"/>
      <c r="N59" s="8"/>
      <c r="O59" s="8"/>
      <c r="P59" s="8"/>
      <c r="Q59" s="8"/>
    </row>
    <row r="60" ht="51" spans="1:17">
      <c r="A60" s="15">
        <f>IFERROR(__xludf.DUMMYFUNCTION("""COMPUTED_VALUE"""),45984)</f>
        <v>45984</v>
      </c>
      <c r="B60" s="12" t="str">
        <f>IFERROR(__xludf.DUMMYFUNCTION("""COMPUTED_VALUE"""),"GEORGE Men's Plain Cotton Briefs - Black &amp; Grey Underwear Pack for Comfort and Style")</f>
        <v>GEORGE Men's Plain Cotton Briefs - Black &amp; Grey Underwear Pack for Comfort and Style</v>
      </c>
      <c r="C60" s="16" t="str">
        <f>IFERROR(__xludf.DUMMYFUNCTION("""COMPUTED_VALUE"""),"vt.tiktok.com/ZSH3oSuK7p6Xk-LyhKc/")</f>
        <v>vt.tiktok.com/ZSH3oSuK7p6Xk-LyhKc/</v>
      </c>
      <c r="D60" s="17" t="str">
        <f>IFERROR(__xludf.DUMMYFUNCTION("""COMPUTED_VALUE"""),"FS_MN_UD_050")</f>
        <v>FS_MN_UD_050</v>
      </c>
      <c r="E60" s="12" t="str">
        <f>IFERROR(__xludf.DUMMYFUNCTION("""COMPUTED_VALUE"""),"GEORGE Men's Underwear 
#menunderwear #menwear")</f>
        <v>GEORGE Men's Underwear 
#menunderwear #menwear</v>
      </c>
      <c r="F60" s="3"/>
      <c r="G60" s="3"/>
      <c r="L60" s="8"/>
      <c r="M60" s="8"/>
      <c r="N60" s="8"/>
      <c r="O60" s="8"/>
      <c r="P60" s="8"/>
      <c r="Q60" s="8"/>
    </row>
    <row r="61" ht="114.75" spans="1:17">
      <c r="A61" s="15">
        <f>IFERROR(__xludf.DUMMYFUNCTION("""COMPUTED_VALUE"""),45990)</f>
        <v>45990</v>
      </c>
      <c r="B61" s="12" t="str">
        <f>IFERROR(__xludf.DUMMYFUNCTION("""COMPUTED_VALUE"""),"4pcs Cacti Keno Men's Underwear Organic Cotton Boxer Briefs For Men Classic Men's Underwear Elastic Boxer Breathable Fashion Menswear High Qulity Boxer Briefs M-XXL Affordable")</f>
        <v>4pcs Cacti Keno Men's Underwear Organic Cotton Boxer Briefs For Men Classic Men's Underwear Elastic Boxer Breathable Fashion Menswear High Qulity Boxer Briefs M-XXL Affordable</v>
      </c>
      <c r="C61" s="16" t="str">
        <f>IFERROR(__xludf.DUMMYFUNCTION("""COMPUTED_VALUE"""),"https://vt.tiktok.com/ZSHT59xwRLXj5-Mzx8y/")</f>
        <v>https://vt.tiktok.com/ZSHT59xwRLXj5-Mzx8y/</v>
      </c>
      <c r="D61" s="17" t="str">
        <f>IFERROR(__xludf.DUMMYFUNCTION("""COMPUTED_VALUE"""),"FS_MN_UD_051")</f>
        <v>FS_MN_UD_051</v>
      </c>
      <c r="E61" s="12" t="str">
        <f>IFERROR(__xludf.DUMMYFUNCTION("""COMPUTED_VALUE"""),"Men's Boxer Briefs #menboxer #mensbrief")</f>
        <v>Men's Boxer Briefs #menboxer #mensbrief</v>
      </c>
      <c r="F61" s="3"/>
      <c r="G61" s="3"/>
      <c r="L61" s="8"/>
      <c r="M61" s="8"/>
      <c r="N61" s="8"/>
      <c r="O61" s="8"/>
      <c r="P61" s="8"/>
      <c r="Q61" s="8"/>
    </row>
    <row r="62" ht="102" spans="1:17">
      <c r="A62" s="15">
        <f>IFERROR(__xludf.DUMMYFUNCTION("""COMPUTED_VALUE"""),45993)</f>
        <v>45993</v>
      </c>
      <c r="B62" s="12" t="str">
        <f>IFERROR(__xludf.DUMMYFUNCTION("""COMPUTED_VALUE"""),"4 Pcs Bench-Inspired Men's Striped Underwear, Plus Size Cotton Boxer Briefs, Comfy Stretchy Breathable Shorts for Men, Casual Everyday Trunks")</f>
        <v>4 Pcs Bench-Inspired Men's Striped Underwear, Plus Size Cotton Boxer Briefs, Comfy Stretchy Breathable Shorts for Men, Casual Everyday Trunks</v>
      </c>
      <c r="C62" s="16" t="str">
        <f>IFERROR(__xludf.DUMMYFUNCTION("""COMPUTED_VALUE"""),"https://vt.tiktok.com/ZSHTpDAhJbMY1-C5JNe/")</f>
        <v>https://vt.tiktok.com/ZSHTpDAhJbMY1-C5JNe/</v>
      </c>
      <c r="D62" s="17" t="str">
        <f>IFERROR(__xludf.DUMMYFUNCTION("""COMPUTED_VALUE"""),"FS_MN_UD_052")</f>
        <v>FS_MN_UD_052</v>
      </c>
      <c r="E62" s="12" t="str">
        <f>IFERROR(__xludf.DUMMYFUNCTION("""COMPUTED_VALUE"""),"Men's Boxer Briefs #menboxer #mensbrief")</f>
        <v>Men's Boxer Briefs #menboxer #mensbrief</v>
      </c>
      <c r="F62" s="3"/>
      <c r="G62" s="3"/>
      <c r="L62" s="8"/>
      <c r="M62" s="8"/>
      <c r="N62" s="8"/>
      <c r="O62" s="8"/>
      <c r="P62" s="8"/>
      <c r="Q62" s="8"/>
    </row>
    <row r="63" ht="51" spans="1:17">
      <c r="A63" s="15">
        <f>IFERROR(__xludf.DUMMYFUNCTION("""COMPUTED_VALUE"""),45993)</f>
        <v>45993</v>
      </c>
      <c r="B63" s="12" t="str">
        <f>IFERROR(__xludf.DUMMYFUNCTION("""COMPUTED_VALUE"""),"3pcs Men's Galaxy Boxer Briefs Breathable
Stretch Cotton Lalaki Underwear Set")</f>
        <v>3pcs Men's Galaxy Boxer Briefs Breathable
Stretch Cotton Lalaki Underwear Set</v>
      </c>
      <c r="C63" s="16" t="str">
        <f>IFERROR(__xludf.DUMMYFUNCTION("""COMPUTED_VALUE"""),"vt.tiktok.com/ZSHTpDTprvWuv-8a8jU/")</f>
        <v>vt.tiktok.com/ZSHTpDTprvWuv-8a8jU/</v>
      </c>
      <c r="D63" s="17" t="str">
        <f>IFERROR(__xludf.DUMMYFUNCTION("""COMPUTED_VALUE"""),"FS_MN_UD_053")</f>
        <v>FS_MN_UD_053</v>
      </c>
      <c r="E63" s="12" t="str">
        <f>IFERROR(__xludf.DUMMYFUNCTION("""COMPUTED_VALUE"""),"Men's Boxer Briefs #menboxer #mensbrief")</f>
        <v>Men's Boxer Briefs #menboxer #mensbrief</v>
      </c>
      <c r="F63" s="3"/>
      <c r="G63" s="3"/>
      <c r="L63" s="8"/>
      <c r="M63" s="8"/>
      <c r="N63" s="8"/>
      <c r="O63" s="8"/>
      <c r="P63" s="8"/>
      <c r="Q63" s="8"/>
    </row>
    <row r="64" ht="51" spans="1:17">
      <c r="A64" s="15">
        <f>IFERROR(__xludf.DUMMYFUNCTION("""COMPUTED_VALUE"""),45972)</f>
        <v>45972</v>
      </c>
      <c r="B64" s="12" t="str">
        <f>IFERROR(__xludf.DUMMYFUNCTION("""COMPUTED_VALUE"""),"Stretchable Terno Pambahay Top and shorts for women")</f>
        <v>Stretchable Terno Pambahay Top and shorts for women</v>
      </c>
      <c r="C64" s="16" t="str">
        <f>IFERROR(__xludf.DUMMYFUNCTION("""COMPUTED_VALUE"""),"https://vt.tiktok.com/ZSH3J4MxGvNC4-6AdJL/")</f>
        <v>https://vt.tiktok.com/ZSH3J4MxGvNC4-6AdJL/</v>
      </c>
      <c r="D64" s="17" t="str">
        <f>IFERROR(__xludf.DUMMYFUNCTION("""COMPUTED_VALUE"""),"FS_WM_HW_001")</f>
        <v>FS_WM_HW_001</v>
      </c>
      <c r="E64" s="12" t="str">
        <f>IFERROR(__xludf.DUMMYFUNCTION("""COMPUTED_VALUE"""),"Women's Homewear #sleepwear #homewear")</f>
        <v>Women's Homewear #sleepwear #homewear</v>
      </c>
      <c r="F64" s="3"/>
      <c r="G64" s="3"/>
      <c r="L64" s="8"/>
      <c r="M64" s="8"/>
      <c r="N64" s="8"/>
      <c r="O64" s="8"/>
      <c r="P64" s="8"/>
      <c r="Q64" s="8"/>
    </row>
    <row r="65" ht="63.75" spans="1:17">
      <c r="A65" s="15">
        <f>IFERROR(__xludf.DUMMYFUNCTION("""COMPUTED_VALUE"""),45972)</f>
        <v>45972</v>
      </c>
      <c r="B65" s="12" t="str">
        <f>IFERROR(__xludf.DUMMYFUNCTION("""COMPUTED_VALUE"""),"MOLLY Cotton Spandex Stretchable Terno Short for Women - S-5XL - Womenswear, Clothes Comfort")</f>
        <v>MOLLY Cotton Spandex Stretchable Terno Short for Women - S-5XL - Womenswear, Clothes Comfort</v>
      </c>
      <c r="C65" s="16" t="str">
        <f>IFERROR(__xludf.DUMMYFUNCTION("""COMPUTED_VALUE"""),"https://vt.tiktok.com/ZSH3JVbjMksTn-Q5UAT/")</f>
        <v>https://vt.tiktok.com/ZSH3JVbjMksTn-Q5UAT/</v>
      </c>
      <c r="D65" s="17" t="str">
        <f>IFERROR(__xludf.DUMMYFUNCTION("""COMPUTED_VALUE"""),"FS_WM_HW_002")</f>
        <v>FS_WM_HW_002</v>
      </c>
      <c r="E65" s="12" t="str">
        <f>IFERROR(__xludf.DUMMYFUNCTION("""COMPUTED_VALUE"""),"Women's Homewear #sleepwear #homewear")</f>
        <v>Women's Homewear #sleepwear #homewear</v>
      </c>
      <c r="F65" s="3"/>
      <c r="G65" s="3"/>
      <c r="L65" s="8"/>
      <c r="M65" s="8"/>
      <c r="N65" s="8"/>
      <c r="O65" s="8"/>
      <c r="P65" s="8"/>
      <c r="Q65" s="8"/>
    </row>
    <row r="66" ht="51" spans="1:17">
      <c r="A66" s="15">
        <f>IFERROR(__xludf.DUMMYFUNCTION("""COMPUTED_VALUE"""),45972)</f>
        <v>45972</v>
      </c>
      <c r="B66" s="12" t="str">
        <f>IFERROR(__xludf.DUMMYFUNCTION("""COMPUTED_VALUE"""),"STAY YOUNG #C081 Women's Heart Print Cami Top &amp; Shorts Set White Set Camisole suit")</f>
        <v>STAY YOUNG #C081 Women's Heart Print Cami Top &amp; Shorts Set White Set Camisole suit</v>
      </c>
      <c r="C66" s="16" t="str">
        <f>IFERROR(__xludf.DUMMYFUNCTION("""COMPUTED_VALUE"""),"vt.tiktok.com/ZSH3L7KyxLHbo-rMIwh/")</f>
        <v>vt.tiktok.com/ZSH3L7KyxLHbo-rMIwh/</v>
      </c>
      <c r="D66" s="17" t="str">
        <f>IFERROR(__xludf.DUMMYFUNCTION("""COMPUTED_VALUE"""),"FS_WM_HW_003")</f>
        <v>FS_WM_HW_003</v>
      </c>
      <c r="E66" s="12" t="str">
        <f>IFERROR(__xludf.DUMMYFUNCTION("""COMPUTED_VALUE"""),"Women's Homewear #sleepwear #homewear")</f>
        <v>Women's Homewear #sleepwear #homewear</v>
      </c>
      <c r="F66" s="3"/>
      <c r="G66" s="3"/>
      <c r="L66" s="8"/>
      <c r="M66" s="8"/>
      <c r="N66" s="8"/>
      <c r="O66" s="8"/>
      <c r="P66" s="8"/>
      <c r="Q66" s="8"/>
    </row>
    <row r="67" ht="76.5" spans="1:17">
      <c r="A67" s="15">
        <f>IFERROR(__xludf.DUMMYFUNCTION("""COMPUTED_VALUE"""),45972)</f>
        <v>45972</v>
      </c>
      <c r="B67" s="12" t="str">
        <f>IFERROR(__xludf.DUMMYFUNCTION("""COMPUTED_VALUE"""),"STAY YOUNG #C091 Women's 2 Piece Camisole suit Set Heart Print Lettuce Trim Bow Front Cami Sleep Top Size:S M L XL")</f>
        <v>STAY YOUNG #C091 Women's 2 Piece Camisole suit Set Heart Print Lettuce Trim Bow Front Cami Sleep Top Size:S M L XL</v>
      </c>
      <c r="C67" s="16" t="str">
        <f>IFERROR(__xludf.DUMMYFUNCTION("""COMPUTED_VALUE"""),"https://vt.tiktok.com/ZSH3LveEuoLuQ-19Plt/")</f>
        <v>https://vt.tiktok.com/ZSH3LveEuoLuQ-19Plt/</v>
      </c>
      <c r="D67" s="17" t="str">
        <f>IFERROR(__xludf.DUMMYFUNCTION("""COMPUTED_VALUE"""),"FS_WM_HW_004")</f>
        <v>FS_WM_HW_004</v>
      </c>
      <c r="E67" s="12" t="str">
        <f>IFERROR(__xludf.DUMMYFUNCTION("""COMPUTED_VALUE"""),"Women's Homewear #sleepwear #homewear")</f>
        <v>Women's Homewear #sleepwear #homewear</v>
      </c>
      <c r="F67" s="3"/>
      <c r="G67" s="3"/>
      <c r="L67" s="8"/>
      <c r="M67" s="8"/>
      <c r="N67" s="8"/>
      <c r="O67" s="8"/>
      <c r="P67" s="8"/>
      <c r="Q67" s="8"/>
    </row>
    <row r="68" ht="76.5" spans="1:17">
      <c r="A68" s="15">
        <f>IFERROR(__xludf.DUMMYFUNCTION("""COMPUTED_VALUE"""),45990)</f>
        <v>45990</v>
      </c>
      <c r="B68" s="12" t="str">
        <f>IFERROR(__xludf.DUMMYFUNCTION("""COMPUTED_VALUE"""),"UNIQUE TRENDS Sleeveless Korean women's printed sleepwear spanghetti set short terno #TN7 Loungewear Pajama")</f>
        <v>UNIQUE TRENDS Sleeveless Korean women's printed sleepwear spanghetti set short terno #TN7 Loungewear Pajama</v>
      </c>
      <c r="C68" s="16" t="str">
        <f>IFERROR(__xludf.DUMMYFUNCTION("""COMPUTED_VALUE"""),"https://vt.tiktok.com/ZSHT5fEaA577T-VoWMZ/")</f>
        <v>https://vt.tiktok.com/ZSHT5fEaA577T-VoWMZ/</v>
      </c>
      <c r="D68" s="17" t="str">
        <f>IFERROR(__xludf.DUMMYFUNCTION("""COMPUTED_VALUE"""),"FS_WM_HW_005")</f>
        <v>FS_WM_HW_005</v>
      </c>
      <c r="E68" s="12" t="str">
        <f>IFERROR(__xludf.DUMMYFUNCTION("""COMPUTED_VALUE"""),"Women's Homewear #sleepwear #homewear")</f>
        <v>Women's Homewear #sleepwear #homewear</v>
      </c>
      <c r="F68" s="3"/>
      <c r="G68" s="3"/>
      <c r="L68" s="8"/>
      <c r="M68" s="8"/>
      <c r="N68" s="8"/>
      <c r="O68" s="8"/>
      <c r="P68" s="8"/>
      <c r="Q68" s="8"/>
    </row>
    <row r="69" ht="114.75" spans="1:17">
      <c r="A69" s="15">
        <f>IFERROR(__xludf.DUMMYFUNCTION("""COMPUTED_VALUE"""),45990)</f>
        <v>45990</v>
      </c>
      <c r="B69" s="12" t="str">
        <f>IFERROR(__xludf.DUMMYFUNCTION("""COMPUTED_VALUE"""),"Terno Sando and Shorts for ADULT Cotton Spandex Pajama Loungewear Womenswear Pambahay Nightwear Printed Comfort Lingerie Homewear Pjs Pajama Set Sleeveless Fabric")</f>
        <v>Terno Sando and Shorts for ADULT Cotton Spandex Pajama Loungewear Womenswear Pambahay Nightwear Printed Comfort Lingerie Homewear Pjs Pajama Set Sleeveless Fabric</v>
      </c>
      <c r="C69" s="16" t="str">
        <f>IFERROR(__xludf.DUMMYFUNCTION("""COMPUTED_VALUE"""),"https://vt.tiktok.com/ZSHT5Putxe43R-07bzz/")</f>
        <v>https://vt.tiktok.com/ZSHT5Putxe43R-07bzz/</v>
      </c>
      <c r="D69" s="17" t="str">
        <f>IFERROR(__xludf.DUMMYFUNCTION("""COMPUTED_VALUE"""),"FS_WM_HW_006")</f>
        <v>FS_WM_HW_006</v>
      </c>
      <c r="E69" s="12" t="str">
        <f>IFERROR(__xludf.DUMMYFUNCTION("""COMPUTED_VALUE"""),"Women's Homewear #sleepwear #homewear")</f>
        <v>Women's Homewear #sleepwear #homewear</v>
      </c>
      <c r="F69" s="3"/>
      <c r="G69" s="3"/>
      <c r="L69" s="8"/>
      <c r="M69" s="8"/>
      <c r="N69" s="8"/>
      <c r="O69" s="8"/>
      <c r="P69" s="8"/>
      <c r="Q69" s="8"/>
    </row>
    <row r="70" ht="51" spans="1:17">
      <c r="A70" s="15">
        <f>IFERROR(__xludf.DUMMYFUNCTION("""COMPUTED_VALUE"""),45990)</f>
        <v>45990</v>
      </c>
      <c r="B70" s="12" t="str">
        <f>IFERROR(__xludf.DUMMYFUNCTION("""COMPUTED_VALUE"""),"New Kimberly Padded Terno Printed For Women")</f>
        <v>New Kimberly Padded Terno Printed For Women</v>
      </c>
      <c r="C70" s="16" t="str">
        <f>IFERROR(__xludf.DUMMYFUNCTION("""COMPUTED_VALUE"""),"vt.tiktok.com/ZSHT55dwuCnGK-Lztep/")</f>
        <v>vt.tiktok.com/ZSHT55dwuCnGK-Lztep/</v>
      </c>
      <c r="D70" s="17" t="str">
        <f>IFERROR(__xludf.DUMMYFUNCTION("""COMPUTED_VALUE"""),"FS_WM_HW_007")</f>
        <v>FS_WM_HW_007</v>
      </c>
      <c r="E70" s="12" t="str">
        <f>IFERROR(__xludf.DUMMYFUNCTION("""COMPUTED_VALUE"""),"Women's Homewear #sleepwear #homewear")</f>
        <v>Women's Homewear #sleepwear #homewear</v>
      </c>
      <c r="F70" s="3"/>
      <c r="G70" s="3"/>
      <c r="L70" s="8"/>
      <c r="M70" s="8"/>
      <c r="N70" s="8"/>
      <c r="O70" s="8"/>
      <c r="P70" s="8"/>
      <c r="Q70" s="8"/>
    </row>
    <row r="71" ht="89.25" spans="1:17">
      <c r="A71" s="15">
        <f>IFERROR(__xludf.DUMMYFUNCTION("""COMPUTED_VALUE"""),45990)</f>
        <v>45990</v>
      </c>
      <c r="B71" s="12" t="str">
        <f>IFERROR(__xludf.DUMMYFUNCTION("""COMPUTED_VALUE"""),"Plusize Butterfly Terno For Women Best Fit Large-Semi 4XL Body Frame/Premium Quality Cotton Spandex Fabric/Compy To Wear Super Stretchable")</f>
        <v>Plusize Butterfly Terno For Women Best Fit Large-Semi 4XL Body Frame/Premium Quality Cotton Spandex Fabric/Compy To Wear Super Stretchable</v>
      </c>
      <c r="C71" s="16" t="str">
        <f>IFERROR(__xludf.DUMMYFUNCTION("""COMPUTED_VALUE"""),"https://vt.tiktok.com/ZSHT559Bt8CpE-mHirK/")</f>
        <v>https://vt.tiktok.com/ZSHT559Bt8CpE-mHirK/</v>
      </c>
      <c r="D71" s="17" t="str">
        <f>IFERROR(__xludf.DUMMYFUNCTION("""COMPUTED_VALUE"""),"FS_WM_HW_008")</f>
        <v>FS_WM_HW_008</v>
      </c>
      <c r="E71" s="12" t="str">
        <f>IFERROR(__xludf.DUMMYFUNCTION("""COMPUTED_VALUE"""),"Women's Homewear #sleepwear #homewear")</f>
        <v>Women's Homewear #sleepwear #homewear</v>
      </c>
      <c r="F71" s="3"/>
      <c r="G71" s="3"/>
      <c r="L71" s="8"/>
      <c r="M71" s="8"/>
      <c r="N71" s="8"/>
      <c r="O71" s="8"/>
      <c r="P71" s="8"/>
      <c r="Q71" s="8"/>
    </row>
    <row r="72" ht="89.25" spans="1:17">
      <c r="A72" s="15">
        <f>IFERROR(__xludf.DUMMYFUNCTION("""COMPUTED_VALUE"""),45990)</f>
        <v>45990</v>
      </c>
      <c r="B72" s="12" t="str">
        <f>IFERROR(__xludf.DUMMYFUNCTION("""COMPUTED_VALUE"""),"Best seller Zarina Terno 2 ways to wear -Women's Summer Outfit Set - Womenswear, Suits, Floral, Clothing, Sleeveless, Comfort, Lingerie Bohemianto")</f>
        <v>Best seller Zarina Terno 2 ways to wear -Women's Summer Outfit Set - Womenswear, Suits, Floral, Clothing, Sleeveless, Comfort, Lingerie Bohemianto</v>
      </c>
      <c r="C72" s="16" t="str">
        <f>IFERROR(__xludf.DUMMYFUNCTION("""COMPUTED_VALUE"""),"vt.tiktok.com/ZSHT557cGXpJk-OyHv0/")</f>
        <v>vt.tiktok.com/ZSHT557cGXpJk-OyHv0/</v>
      </c>
      <c r="D72" s="17" t="str">
        <f>IFERROR(__xludf.DUMMYFUNCTION("""COMPUTED_VALUE"""),"FS_WM_HW_009")</f>
        <v>FS_WM_HW_009</v>
      </c>
      <c r="E72" s="12" t="str">
        <f>IFERROR(__xludf.DUMMYFUNCTION("""COMPUTED_VALUE"""),"Women's Homewear #sleepwear #homewear")</f>
        <v>Women's Homewear #sleepwear #homewear</v>
      </c>
      <c r="F72" s="3"/>
      <c r="G72" s="3"/>
      <c r="L72" s="8"/>
      <c r="M72" s="8"/>
      <c r="N72" s="8"/>
      <c r="O72" s="8"/>
      <c r="P72" s="8"/>
      <c r="Q72" s="8"/>
    </row>
    <row r="73" ht="165.75" spans="1:17">
      <c r="A73" s="15">
        <f>IFERROR(__xludf.DUMMYFUNCTION("""COMPUTED_VALUE"""),46017)</f>
        <v>46017</v>
      </c>
      <c r="B73" s="12" t="str">
        <f>IFERROR(__xludf.DUMMYFUNCTION("""COMPUTED_VALUE"""),"【URBAN Ankle Socks】 Minimalist Cotton
Plain Solid Colors Ankle Invisible School Socks
Japanese Style Breathable Casual Ankle Socks Office Socks Unisex Summer Socks Spring Autumn Socks Stretchable Comfortable Colorful
Womenswear Lingerie Women Lady Basi"&amp;"c")</f>
        <v>【URBAN Ankle Socks】 Minimalist Cotton
Plain Solid Colors Ankle Invisible School Socks
Japanese Style Breathable Casual Ankle Socks Office Socks Unisex Summer Socks Spring Autumn Socks Stretchable Comfortable Colorful
Womenswear Lingerie Women Lady Basic</v>
      </c>
      <c r="C73" s="16" t="str">
        <f>IFERROR(__xludf.DUMMYFUNCTION("""COMPUTED_VALUE"""),"vt.tiktok.com/ZSHK4CeXWeCfF-hzTna/")</f>
        <v>vt.tiktok.com/ZSHK4CeXWeCfF-hzTna/</v>
      </c>
      <c r="D73" s="17" t="str">
        <f>IFERROR(__xludf.DUMMYFUNCTION("""COMPUTED_VALUE"""),"FS_WM_SO_001")</f>
        <v>FS_WM_SO_001</v>
      </c>
      <c r="E73" s="12" t="str">
        <f>IFERROR(__xludf.DUMMYFUNCTION("""COMPUTED_VALUE"""),"URBAN Ankle Socks 
#socks #plainsocks")</f>
        <v>URBAN Ankle Socks 
#socks #plainsocks</v>
      </c>
      <c r="F73" s="3"/>
      <c r="G73" s="3"/>
      <c r="L73" s="8"/>
      <c r="M73" s="8"/>
      <c r="N73" s="8"/>
      <c r="O73" s="8"/>
      <c r="P73" s="8"/>
      <c r="Q73" s="8"/>
    </row>
    <row r="74" ht="63.75" spans="1:17">
      <c r="A74" s="15">
        <f>IFERROR(__xludf.DUMMYFUNCTION("""COMPUTED_VALUE"""),46017)</f>
        <v>46017</v>
      </c>
      <c r="B74" s="12" t="str">
        <f>IFERROR(__xludf.DUMMYFUNCTION("""COMPUTED_VALUE"""),"Women's Cute Funny Cat Ins Korean Style Mid-tube Socks Three-dimensional Ball Creative Socks")</f>
        <v>Women's Cute Funny Cat Ins Korean Style Mid-tube Socks Three-dimensional Ball Creative Socks</v>
      </c>
      <c r="C74" s="16" t="str">
        <f>IFERROR(__xludf.DUMMYFUNCTION("""COMPUTED_VALUE"""),"vt.tiktok.com/ZSHK4C9JYBLVo-Y7Vko/")</f>
        <v>vt.tiktok.com/ZSHK4C9JYBLVo-Y7Vko/</v>
      </c>
      <c r="D74" s="17" t="str">
        <f>IFERROR(__xludf.DUMMYFUNCTION("""COMPUTED_VALUE"""),"FS_WM_SO_002")</f>
        <v>FS_WM_SO_002</v>
      </c>
      <c r="E74" s="12" t="str">
        <f>IFERROR(__xludf.DUMMYFUNCTION("""COMPUTED_VALUE"""),"Women's Cute Funny Cat Socks
#womensocks #socks")</f>
        <v>Women's Cute Funny Cat Socks
#womensocks #socks</v>
      </c>
      <c r="F74" s="3"/>
      <c r="G74" s="3"/>
      <c r="L74" s="8"/>
      <c r="M74" s="8"/>
      <c r="N74" s="8"/>
      <c r="O74" s="8"/>
      <c r="P74" s="8"/>
      <c r="Q74" s="8"/>
    </row>
    <row r="75" ht="76.5" spans="1:17">
      <c r="A75" s="15">
        <f>IFERROR(__xludf.DUMMYFUNCTION("""COMPUTED_VALUE"""),46017)</f>
        <v>46017</v>
      </c>
      <c r="B75" s="12" t="str">
        <f>IFERROR(__xludf.DUMMYFUNCTION("""COMPUTED_VALUE"""),"Ice Silk Boat Socks for Women Thick Sponge Bottom Sweat Absorption Shockproof Anti Slip Silicone High Heel Invisible Socks")</f>
        <v>Ice Silk Boat Socks for Women Thick Sponge Bottom Sweat Absorption Shockproof Anti Slip Silicone High Heel Invisible Socks</v>
      </c>
      <c r="C75" s="16" t="str">
        <f>IFERROR(__xludf.DUMMYFUNCTION("""COMPUTED_VALUE"""),"vt.tiktok.com/ZSHK4Co1DAQYg-maN0X/")</f>
        <v>vt.tiktok.com/ZSHK4Co1DAQYg-maN0X/</v>
      </c>
      <c r="D75" s="17" t="str">
        <f>IFERROR(__xludf.DUMMYFUNCTION("""COMPUTED_VALUE"""),"FS_WM_SO_003")</f>
        <v>FS_WM_SO_003</v>
      </c>
      <c r="E75" s="12" t="str">
        <f>IFERROR(__xludf.DUMMYFUNCTION("""COMPUTED_VALUE"""),"Ice Silk Boat Socks 
#socks #womensocks")</f>
        <v>Ice Silk Boat Socks 
#socks #womensocks</v>
      </c>
      <c r="F75" s="3"/>
      <c r="G75" s="3"/>
      <c r="L75" s="8"/>
      <c r="M75" s="8"/>
      <c r="N75" s="8"/>
      <c r="O75" s="8"/>
      <c r="P75" s="8"/>
      <c r="Q75" s="8"/>
    </row>
    <row r="76" ht="51" spans="1:17">
      <c r="A76" s="15">
        <f>IFERROR(__xludf.DUMMYFUNCTION("""COMPUTED_VALUE"""),46017)</f>
        <v>46017</v>
      </c>
      <c r="B76" s="12" t="str">
        <f>IFERROR(__xludf.DUMMYFUNCTION("""COMPUTED_VALUE"""),"Cute Japanese Bear design colorful Socks")</f>
        <v>Cute Japanese Bear design colorful Socks</v>
      </c>
      <c r="C76" s="16" t="str">
        <f>IFERROR(__xludf.DUMMYFUNCTION("""COMPUTED_VALUE"""),"vt.tiktok.com/ZSHK4X9tXpVcC-QY0VJ/")</f>
        <v>vt.tiktok.com/ZSHK4X9tXpVcC-QY0VJ/</v>
      </c>
      <c r="D76" s="17" t="str">
        <f>IFERROR(__xludf.DUMMYFUNCTION("""COMPUTED_VALUE"""),"FS_WM_SO_005")</f>
        <v>FS_WM_SO_005</v>
      </c>
      <c r="E76" s="12" t="str">
        <f>IFERROR(__xludf.DUMMYFUNCTION("""COMPUTED_VALUE"""),"Bear Design Socks
#socks #cottonsocks")</f>
        <v>Bear Design Socks
#socks #cottonsocks</v>
      </c>
      <c r="F76" s="3"/>
      <c r="G76" s="3"/>
      <c r="L76" s="8"/>
      <c r="M76" s="8"/>
      <c r="N76" s="8"/>
      <c r="O76" s="8"/>
      <c r="P76" s="8"/>
      <c r="Q76" s="8"/>
    </row>
    <row r="77" ht="63.75" spans="1:17">
      <c r="A77" s="15">
        <f>IFERROR(__xludf.DUMMYFUNCTION("""COMPUTED_VALUE"""),46017)</f>
        <v>46017</v>
      </c>
      <c r="B77" s="12" t="str">
        <f>IFERROR(__xludf.DUMMYFUNCTION("""COMPUTED_VALUE"""),"TH Pure Cotton Tricolor Deodorant Sports Men's Socks Ankle/Mid-tube/Tall-tube Socks (5 Pairs)")</f>
        <v>TH Pure Cotton Tricolor Deodorant Sports Men's Socks Ankle/Mid-tube/Tall-tube Socks (5 Pairs)</v>
      </c>
      <c r="C77" s="16" t="str">
        <f>IFERROR(__xludf.DUMMYFUNCTION("""COMPUTED_VALUE"""),"vt.tiktok.com/ZSHK445LE2tjY-oc9OL/")</f>
        <v>vt.tiktok.com/ZSHK445LE2tjY-oc9OL/</v>
      </c>
      <c r="D77" s="17" t="str">
        <f>IFERROR(__xludf.DUMMYFUNCTION("""COMPUTED_VALUE"""),"FS_WM_SO_006")</f>
        <v>FS_WM_SO_006</v>
      </c>
      <c r="E77" s="12" t="str">
        <f>IFERROR(__xludf.DUMMYFUNCTION("""COMPUTED_VALUE"""),"TH Pure Cotton Socks #plainsocks #cottonsocks")</f>
        <v>TH Pure Cotton Socks #plainsocks #cottonsocks</v>
      </c>
      <c r="F77" s="3"/>
      <c r="G77" s="3"/>
      <c r="L77" s="8"/>
      <c r="M77" s="8"/>
      <c r="N77" s="8"/>
      <c r="O77" s="8"/>
      <c r="P77" s="8"/>
      <c r="Q77" s="8"/>
    </row>
    <row r="78" ht="114.75" spans="1:17">
      <c r="A78" s="15">
        <f>IFERROR(__xludf.DUMMYFUNCTION("""COMPUTED_VALUE"""),45973)</f>
        <v>45973</v>
      </c>
      <c r="B78" s="12" t="str">
        <f>IFERROR(__xludf.DUMMYFUNCTION("""COMPUTED_VALUE"""),"Women's #01 Front Hook High Waist girdle panty Seamless Safety Shorts shapewear Underwear Shaping Knickers Nylon Spandex Womenswear Lady Comfort Compression Innerwear Fabric")</f>
        <v>Women's #01 Front Hook High Waist girdle panty Seamless Safety Shorts shapewear Underwear Shaping Knickers Nylon Spandex Womenswear Lady Comfort Compression Innerwear Fabric</v>
      </c>
      <c r="C78" s="16" t="str">
        <f>IFERROR(__xludf.DUMMYFUNCTION("""COMPUTED_VALUE"""),"vt.tiktok.com/ZSH38UPg76gop-IRXJV/")</f>
        <v>vt.tiktok.com/ZSH38UPg76gop-IRXJV/</v>
      </c>
      <c r="D78" s="17" t="str">
        <f>IFERROR(__xludf.DUMMYFUNCTION("""COMPUTED_VALUE"""),"FS_WM_SW_001")</f>
        <v>FS_WM_SW_001</v>
      </c>
      <c r="E78" s="12" t="str">
        <f>IFERROR(__xludf.DUMMYFUNCTION("""COMPUTED_VALUE"""),"Women's Front Hook High Waist Shapewear #shapewear #womenunderwear")</f>
        <v>Women's Front Hook High Waist Shapewear #shapewear #womenunderwear</v>
      </c>
      <c r="F78" s="3"/>
      <c r="G78" s="3"/>
      <c r="L78" s="8"/>
      <c r="M78" s="8"/>
      <c r="N78" s="8"/>
      <c r="O78" s="8"/>
      <c r="P78" s="8"/>
      <c r="Q78" s="8"/>
    </row>
    <row r="79" ht="89.25" spans="1:17">
      <c r="A79" s="15">
        <f>IFERROR(__xludf.DUMMYFUNCTION("""COMPUTED_VALUE"""),45973)</f>
        <v>45973</v>
      </c>
      <c r="B79" s="12" t="str">
        <f>IFERROR(__xludf.DUMMYFUNCTION("""COMPUTED_VALUE"""),"Body Shaping Corset for Women Waist Control and Tummy Lift Hip Jumpsuit Plus Size Open Tummy Shaping Underwear Body Shaping Corset")</f>
        <v>Body Shaping Corset for Women Waist Control and Tummy Lift Hip Jumpsuit Plus Size Open Tummy Shaping Underwear Body Shaping Corset</v>
      </c>
      <c r="C79" s="16" t="str">
        <f>IFERROR(__xludf.DUMMYFUNCTION("""COMPUTED_VALUE"""),"vt.tiktok.com/ZSH38Qc19FYGL-wBWXN/")</f>
        <v>vt.tiktok.com/ZSH38Qc19FYGL-wBWXN/</v>
      </c>
      <c r="D79" s="17" t="str">
        <f>IFERROR(__xludf.DUMMYFUNCTION("""COMPUTED_VALUE"""),"FS_WM_SW_002")</f>
        <v>FS_WM_SW_002</v>
      </c>
      <c r="E79" s="12" t="str">
        <f>IFERROR(__xludf.DUMMYFUNCTION("""COMPUTED_VALUE"""),"Body Shaping Corset #shapewear #comfortroom")</f>
        <v>Body Shaping Corset #shapewear #comfortroom</v>
      </c>
      <c r="F79" s="3"/>
      <c r="G79" s="3"/>
      <c r="L79" s="8"/>
      <c r="M79" s="8"/>
      <c r="N79" s="8"/>
      <c r="O79" s="8"/>
      <c r="P79" s="8"/>
      <c r="Q79" s="8"/>
    </row>
    <row r="80" ht="51" spans="1:17">
      <c r="A80" s="15">
        <f>IFERROR(__xludf.DUMMYFUNCTION("""COMPUTED_VALUE"""),45973)</f>
        <v>45973</v>
      </c>
      <c r="B80" s="12" t="str">
        <f>IFERROR(__xludf.DUMMYFUNCTION("""COMPUTED_VALUE"""),"women waist belt body shape WomenWaist Trainer Cincher Belt Fitness Body Shaper")</f>
        <v>women waist belt body shape WomenWaist Trainer Cincher Belt Fitness Body Shaper</v>
      </c>
      <c r="C80" s="16" t="str">
        <f>IFERROR(__xludf.DUMMYFUNCTION("""COMPUTED_VALUE"""),"vt.tiktok.com/ZSH38Xe1c5F55-eACEO/")</f>
        <v>vt.tiktok.com/ZSH38Xe1c5F55-eACEO/</v>
      </c>
      <c r="D80" s="17" t="str">
        <f>IFERROR(__xludf.DUMMYFUNCTION("""COMPUTED_VALUE"""),"FS_WM_SW_003")</f>
        <v>FS_WM_SW_003</v>
      </c>
      <c r="E80" s="12" t="str">
        <f>IFERROR(__xludf.DUMMYFUNCTION("""COMPUTED_VALUE"""),"Fitness Body Shaper #shapewear #womenunderwear")</f>
        <v>Fitness Body Shaper #shapewear #womenunderwear</v>
      </c>
      <c r="F80" s="3"/>
      <c r="G80" s="3"/>
      <c r="L80" s="8"/>
      <c r="M80" s="8"/>
      <c r="N80" s="8"/>
      <c r="O80" s="8"/>
      <c r="P80" s="8"/>
      <c r="Q80" s="8"/>
    </row>
    <row r="81" ht="63.75" spans="1:17">
      <c r="A81" s="15">
        <f>IFERROR(__xludf.DUMMYFUNCTION("""COMPUTED_VALUE"""),45973)</f>
        <v>45973</v>
      </c>
      <c r="B81" s="12" t="str">
        <f>IFERROR(__xludf.DUMMYFUNCTION("""COMPUTED_VALUE"""),"High waisted boxer pants for women with hip lift and shaping waist shapewear Lingerie Compression")</f>
        <v>High waisted boxer pants for women with hip lift and shaping waist shapewear Lingerie Compression</v>
      </c>
      <c r="C81" s="16" t="str">
        <f>IFERROR(__xludf.DUMMYFUNCTION("""COMPUTED_VALUE"""),"vt.tiktok.com/ZSH38XyyKjf2x-xKt85/")</f>
        <v>vt.tiktok.com/ZSH38XyyKjf2x-xKt85/</v>
      </c>
      <c r="D81" s="17" t="str">
        <f>IFERROR(__xludf.DUMMYFUNCTION("""COMPUTED_VALUE"""),"FS_WM_SW_004")</f>
        <v>FS_WM_SW_004</v>
      </c>
      <c r="E81" s="12" t="str">
        <f>IFERROR(__xludf.DUMMYFUNCTION("""COMPUTED_VALUE"""),"High waisted boxer pants #womenunderwear #shapewear")</f>
        <v>High waisted boxer pants #womenunderwear #shapewear</v>
      </c>
      <c r="F81" s="3"/>
      <c r="G81" s="3"/>
      <c r="L81" s="8"/>
      <c r="M81" s="8"/>
      <c r="N81" s="8"/>
      <c r="O81" s="8"/>
      <c r="P81" s="8"/>
      <c r="Q81" s="8"/>
    </row>
    <row r="82" ht="76.5" spans="1:17">
      <c r="A82" s="15">
        <f>IFERROR(__xludf.DUMMYFUNCTION("""COMPUTED_VALUE"""),45973)</f>
        <v>45973</v>
      </c>
      <c r="B82" s="12" t="str">
        <f>IFERROR(__xludf.DUMMYFUNCTION("""COMPUTED_VALUE"""),"Corset High Waist Shapewear Seamless Hip Lifting Pants For Tummy 612 Nylon Spandex Womenswear Girls Comfort Fabric")</f>
        <v>Corset High Waist Shapewear Seamless Hip Lifting Pants For Tummy 612 Nylon Spandex Womenswear Girls Comfort Fabric</v>
      </c>
      <c r="C82" s="16" t="str">
        <f>IFERROR(__xludf.DUMMYFUNCTION("""COMPUTED_VALUE"""),"vt.tiktok.com/ZSH38XsB1w4hK-5ipmQ/")</f>
        <v>vt.tiktok.com/ZSH38XsB1w4hK-5ipmQ/</v>
      </c>
      <c r="D82" s="17" t="str">
        <f>IFERROR(__xludf.DUMMYFUNCTION("""COMPUTED_VALUE"""),"FS_WM_SW_005")</f>
        <v>FS_WM_SW_005</v>
      </c>
      <c r="E82" s="12" t="str">
        <f>IFERROR(__xludf.DUMMYFUNCTION("""COMPUTED_VALUE"""),"Corset High Waist Shapewear  #shapewear #womenunderwear")</f>
        <v>Corset High Waist Shapewear  #shapewear #womenunderwear</v>
      </c>
      <c r="F82" s="3"/>
      <c r="G82" s="3"/>
      <c r="L82" s="8"/>
      <c r="M82" s="8"/>
      <c r="N82" s="8"/>
      <c r="O82" s="8"/>
      <c r="P82" s="8"/>
      <c r="Q82" s="8"/>
    </row>
    <row r="83" ht="89.25" spans="1:17">
      <c r="A83" s="15">
        <f>IFERROR(__xludf.DUMMYFUNCTION("""COMPUTED_VALUE"""),45973)</f>
        <v>45973</v>
      </c>
      <c r="B83" s="12" t="str">
        <f>IFERROR(__xludf.DUMMYFUNCTION("""COMPUTED_VALUE"""),"Seamless Butt Lifter Hip Enhancement Panties Padding Natural Women's Butt Boosting Hip Shaping Briefs Breathable Comfortable Underwear M-4XL")</f>
        <v>Seamless Butt Lifter Hip Enhancement Panties Padding Natural Women's Butt Boosting Hip Shaping Briefs Breathable Comfortable Underwear M-4XL</v>
      </c>
      <c r="C83" s="16" t="str">
        <f>IFERROR(__xludf.DUMMYFUNCTION("""COMPUTED_VALUE"""),"https://vt.tiktok.com/ZSH384sQXEEUV-HtM4c/")</f>
        <v>https://vt.tiktok.com/ZSH384sQXEEUV-HtM4c/</v>
      </c>
      <c r="D83" s="17" t="str">
        <f>IFERROR(__xludf.DUMMYFUNCTION("""COMPUTED_VALUE"""),"FS_WM_SW_006")</f>
        <v>FS_WM_SW_006</v>
      </c>
      <c r="E83" s="12" t="str">
        <f>IFERROR(__xludf.DUMMYFUNCTION("""COMPUTED_VALUE"""),"Seamless Butt Lifter Panties #shapewear #womenunderwear")</f>
        <v>Seamless Butt Lifter Panties #shapewear #womenunderwear</v>
      </c>
      <c r="F83" s="3"/>
      <c r="G83" s="3"/>
      <c r="L83" s="8"/>
      <c r="M83" s="8"/>
      <c r="N83" s="8"/>
      <c r="O83" s="8"/>
      <c r="P83" s="8"/>
      <c r="Q83" s="8"/>
    </row>
    <row r="84" ht="102" spans="1:17">
      <c r="A84" s="15">
        <f>IFERROR(__xludf.DUMMYFUNCTION("""COMPUTED_VALUE"""),45973)</f>
        <v>45973</v>
      </c>
      <c r="B84" s="12" t="str">
        <f>IFERROR(__xludf.DUMMYFUNCTION("""COMPUTED_VALUE"""),"High waist Traceless Tummy Control Pants Booty Punchy Butt-lift Pants Girdling Natural Butt Cushion Beauty Buttock Enhance Peach Rump Women Seamless Pants")</f>
        <v>High waist Traceless Tummy Control Pants Booty Punchy Butt-lift Pants Girdling Natural Butt Cushion Beauty Buttock Enhance Peach Rump Women Seamless Pants</v>
      </c>
      <c r="C84" s="16" t="str">
        <f>IFERROR(__xludf.DUMMYFUNCTION("""COMPUTED_VALUE"""),"https://vt.tiktok.com/ZSH38VpSh8uoE-PRULf/")</f>
        <v>https://vt.tiktok.com/ZSH38VpSh8uoE-PRULf/</v>
      </c>
      <c r="D84" s="17" t="str">
        <f>IFERROR(__xludf.DUMMYFUNCTION("""COMPUTED_VALUE"""),"FS_WM_SW_007")</f>
        <v>FS_WM_SW_007</v>
      </c>
      <c r="E84" s="12" t="str">
        <f>IFERROR(__xludf.DUMMYFUNCTION("""COMPUTED_VALUE"""),"FINETOO Shaper Pants #shapewear #finetoo")</f>
        <v>FINETOO Shaper Pants #shapewear #finetoo</v>
      </c>
      <c r="F84" s="3"/>
      <c r="G84" s="3"/>
      <c r="L84" s="8"/>
      <c r="M84" s="8"/>
      <c r="N84" s="8"/>
      <c r="O84" s="8"/>
      <c r="P84" s="8"/>
      <c r="Q84" s="8"/>
    </row>
    <row r="85" ht="63.75" spans="1:17">
      <c r="A85" s="15">
        <f>IFERROR(__xludf.DUMMYFUNCTION("""COMPUTED_VALUE"""),45973)</f>
        <v>45973</v>
      </c>
      <c r="B85" s="12" t="str">
        <f>IFERROR(__xludf.DUMMYFUNCTION("""COMPUTED_VALUE"""),"Rhian shaper Stretch Panty for women seamless underwear mid waist Boyshorts yoga short Safety pants")</f>
        <v>Rhian shaper Stretch Panty for women seamless underwear mid waist Boyshorts yoga short Safety pants</v>
      </c>
      <c r="C85" s="16" t="str">
        <f>IFERROR(__xludf.DUMMYFUNCTION("""COMPUTED_VALUE"""),"vt.tiktok.com/ZSH3LGf2CHAAA-0yEOk/")</f>
        <v>vt.tiktok.com/ZSH3LGf2CHAAA-0yEOk/</v>
      </c>
      <c r="D85" s="17" t="str">
        <f>IFERROR(__xludf.DUMMYFUNCTION("""COMPUTED_VALUE"""),"FS_WM_SW_008")</f>
        <v>FS_WM_SW_008</v>
      </c>
      <c r="E85" s="12" t="str">
        <f>IFERROR(__xludf.DUMMYFUNCTION("""COMPUTED_VALUE"""),"Rhian Shaper Pants #rhian #womenunderwear")</f>
        <v>Rhian Shaper Pants #rhian #womenunderwear</v>
      </c>
      <c r="F85" s="3"/>
      <c r="G85" s="3"/>
      <c r="L85" s="8"/>
      <c r="M85" s="8"/>
      <c r="N85" s="8"/>
      <c r="O85" s="8"/>
      <c r="P85" s="8"/>
      <c r="Q85" s="8"/>
    </row>
    <row r="86" ht="51" spans="1:17">
      <c r="A86" s="15">
        <f>IFERROR(__xludf.DUMMYFUNCTION("""COMPUTED_VALUE"""),45932)</f>
        <v>45932</v>
      </c>
      <c r="B86" s="12" t="str">
        <f>IFERROR(__xludf.DUMMYFUNCTION("""COMPUTED_VALUE"""),"One Love 3Pcs/Set Mid-Waist Pure Cotton Women Panties")</f>
        <v>One Love 3Pcs/Set Mid-Waist Pure Cotton Women Panties</v>
      </c>
      <c r="C86" s="16" t="str">
        <f>IFERROR(__xludf.DUMMYFUNCTION("""COMPUTED_VALUE"""),"https://vt.tiktok.com/ZSH7jRGVewH8M-oUVgO/")</f>
        <v>https://vt.tiktok.com/ZSH7jRGVewH8M-oUVgO/</v>
      </c>
      <c r="D86" s="17" t="str">
        <f>IFERROR(__xludf.DUMMYFUNCTION("""COMPUTED_VALUE"""),"FS_WM_UD_001")</f>
        <v>FS_WM_UD_001</v>
      </c>
      <c r="E86" s="12" t="str">
        <f>IFERROR(__xludf.DUMMYFUNCTION("""COMPUTED_VALUE"""),"Women's Cotton Underwear #womenunderwear #cottonpanty")</f>
        <v>Women's Cotton Underwear #womenunderwear #cottonpanty</v>
      </c>
      <c r="F86" s="3"/>
      <c r="G86" s="3"/>
      <c r="L86" s="8"/>
      <c r="M86" s="8"/>
      <c r="N86" s="8"/>
      <c r="O86" s="8"/>
      <c r="P86" s="8"/>
      <c r="Q86" s="8"/>
    </row>
    <row r="87" ht="51" spans="1:17">
      <c r="A87" s="15">
        <f>IFERROR(__xludf.DUMMYFUNCTION("""COMPUTED_VALUE"""),45932)</f>
        <v>45932</v>
      </c>
      <c r="B87" s="12" t="str">
        <f>IFERROR(__xludf.DUMMYFUNCTION("""COMPUTED_VALUE"""),"6 Pcs Silk Seamless Panty,Simple 7A Mulberry Silk Antibacterial Bottom")</f>
        <v>6 Pcs Silk Seamless Panty,Simple 7A Mulberry Silk Antibacterial Bottom</v>
      </c>
      <c r="C87" s="16" t="str">
        <f>IFERROR(__xludf.DUMMYFUNCTION("""COMPUTED_VALUE"""),"
https://vt.tiktok.com/ZSH7jdk1bM5LH-NYZzZ/")</f>
        <v>
https://vt.tiktok.com/ZSH7jdk1bM5LH-NYZzZ/</v>
      </c>
      <c r="D87" s="17" t="str">
        <f>IFERROR(__xludf.DUMMYFUNCTION("""COMPUTED_VALUE"""),"FS_WM_UD_002")</f>
        <v>FS_WM_UD_002</v>
      </c>
      <c r="E87" s="12" t="str">
        <f>IFERROR(__xludf.DUMMYFUNCTION("""COMPUTED_VALUE"""),"Women's Ice Silk Seamless Panty #seamlesspanty #womenunderwear")</f>
        <v>Women's Ice Silk Seamless Panty #seamlesspanty #womenunderwear</v>
      </c>
      <c r="F87" s="3"/>
      <c r="G87" s="3"/>
      <c r="L87" s="8"/>
      <c r="M87" s="8"/>
      <c r="N87" s="8"/>
      <c r="O87" s="8"/>
      <c r="P87" s="8"/>
      <c r="Q87" s="8"/>
    </row>
    <row r="88" ht="38.25" spans="1:17">
      <c r="A88" s="15">
        <f>IFERROR(__xludf.DUMMYFUNCTION("""COMPUTED_VALUE"""),45932)</f>
        <v>45932</v>
      </c>
      <c r="B88" s="12" t="str">
        <f>IFERROR(__xludf.DUMMYFUNCTION("""COMPUTED_VALUE"""),"WIS V Shape Cotton Bikini Panty for Women")</f>
        <v>WIS V Shape Cotton Bikini Panty for Women</v>
      </c>
      <c r="C88" s="16" t="str">
        <f>IFERROR(__xludf.DUMMYFUNCTION("""COMPUTED_VALUE"""),"https://vt.tiktok.com/ZSH7jRc5Xm2Fe-o9MO0/")</f>
        <v>https://vt.tiktok.com/ZSH7jRc5Xm2Fe-o9MO0/</v>
      </c>
      <c r="D88" s="17" t="str">
        <f>IFERROR(__xludf.DUMMYFUNCTION("""COMPUTED_VALUE"""),"FS_WM_UD_003")</f>
        <v>FS_WM_UD_003</v>
      </c>
      <c r="E88" s="12" t="str">
        <f>IFERROR(__xludf.DUMMYFUNCTION("""COMPUTED_VALUE"""),"WIS V Shape panty #WIS #womenunderwear")</f>
        <v>WIS V Shape panty #WIS #womenunderwear</v>
      </c>
      <c r="F88" s="3"/>
      <c r="G88" s="3"/>
      <c r="L88" s="8"/>
      <c r="M88" s="8"/>
      <c r="N88" s="8"/>
      <c r="O88" s="8"/>
      <c r="P88" s="8"/>
      <c r="Q88" s="8"/>
    </row>
    <row r="89" ht="76.5" spans="1:17">
      <c r="A89" s="15">
        <f>IFERROR(__xludf.DUMMYFUNCTION("""COMPUTED_VALUE"""),45932)</f>
        <v>45932</v>
      </c>
      <c r="B89" s="12" t="str">
        <f>IFERROR(__xludf.DUMMYFUNCTION("""COMPUTED_VALUE"""),"7 Pcs Underwear Pants High Waist Shaping Seamless High-End Moxa Leaf Antibacterial Maintenance Bottom Women's Briefs")</f>
        <v>7 Pcs Underwear Pants High Waist Shaping Seamless High-End Moxa Leaf Antibacterial Maintenance Bottom Women's Briefs</v>
      </c>
      <c r="C89" s="16" t="str">
        <f>IFERROR(__xludf.DUMMYFUNCTION("""COMPUTED_VALUE"""),"https://vt.tiktok.com/ZSH7j8BTD6cjh-qjffv/")</f>
        <v>https://vt.tiktok.com/ZSH7j8BTD6cjh-qjffv/</v>
      </c>
      <c r="D89" s="17" t="str">
        <f>IFERROR(__xludf.DUMMYFUNCTION("""COMPUTED_VALUE"""),"FS_WM_UD_004")</f>
        <v>FS_WM_UD_004</v>
      </c>
      <c r="E89" s="12" t="str">
        <f>IFERROR(__xludf.DUMMYFUNCTION("""COMPUTED_VALUE"""),"Women's High Waist Panty #womenunderwear #womenpanty")</f>
        <v>Women's High Waist Panty #womenunderwear #womenpanty</v>
      </c>
      <c r="F89" s="3"/>
      <c r="G89" s="3"/>
      <c r="L89" s="8"/>
      <c r="M89" s="8"/>
      <c r="N89" s="8"/>
      <c r="O89" s="8"/>
      <c r="P89" s="8"/>
      <c r="Q89" s="8"/>
    </row>
    <row r="90" ht="63.75" spans="1:17">
      <c r="A90" s="15">
        <f>IFERROR(__xludf.DUMMYFUNCTION("""COMPUTED_VALUE"""),45932)</f>
        <v>45932</v>
      </c>
      <c r="B90" s="12" t="str">
        <f>IFERROR(__xludf.DUMMYFUNCTION("""COMPUTED_VALUE"""),"Moonbaybay [5Pcs] Women's Cute Cloud Print Mid Rise Sports Panties, Women's Cotton Panties")</f>
        <v>Moonbaybay [5Pcs] Women's Cute Cloud Print Mid Rise Sports Panties, Women's Cotton Panties</v>
      </c>
      <c r="C90" s="16" t="str">
        <f>IFERROR(__xludf.DUMMYFUNCTION("""COMPUTED_VALUE"""),"https://vt.tiktok.com/ZSH7j8NsAWcAe-rhOHz/")</f>
        <v>https://vt.tiktok.com/ZSH7j8NsAWcAe-rhOHz/</v>
      </c>
      <c r="D90" s="17" t="str">
        <f>IFERROR(__xludf.DUMMYFUNCTION("""COMPUTED_VALUE"""),"FS_WM_UD_005")</f>
        <v>FS_WM_UD_005</v>
      </c>
      <c r="E90" s="12" t="str">
        <f>IFERROR(__xludf.DUMMYFUNCTION("""COMPUTED_VALUE"""),"Moonbaybay Women's Cotton Panty #cottonpanty #womenunderwear")</f>
        <v>Moonbaybay Women's Cotton Panty #cottonpanty #womenunderwear</v>
      </c>
      <c r="F90" s="3"/>
      <c r="G90" s="3"/>
      <c r="L90" s="8"/>
      <c r="M90" s="8"/>
      <c r="N90" s="8"/>
      <c r="O90" s="8"/>
      <c r="P90" s="8"/>
      <c r="Q90" s="8"/>
    </row>
    <row r="91" ht="51" spans="1:17">
      <c r="A91" s="15">
        <f>IFERROR(__xludf.DUMMYFUNCTION("""COMPUTED_VALUE"""),45932)</f>
        <v>45932</v>
      </c>
      <c r="B91" s="12" t="str">
        <f>IFERROR(__xludf.DUMMYFUNCTION("""COMPUTED_VALUE"""),"3Pcs Lace Boxer Panties Sexy Breathable Comfortable High Quality Underwear For Women")</f>
        <v>3Pcs Lace Boxer Panties Sexy Breathable Comfortable High Quality Underwear For Women</v>
      </c>
      <c r="C91" s="16" t="str">
        <f>IFERROR(__xludf.DUMMYFUNCTION("""COMPUTED_VALUE"""),"https://vt.tiktok.com/ZSH7jdgt5BDF8-lgv8n/")</f>
        <v>https://vt.tiktok.com/ZSH7jdgt5BDF8-lgv8n/</v>
      </c>
      <c r="D91" s="17" t="str">
        <f>IFERROR(__xludf.DUMMYFUNCTION("""COMPUTED_VALUE"""),"FS_WM_UD_006")</f>
        <v>FS_WM_UD_006</v>
      </c>
      <c r="E91" s="12" t="str">
        <f>IFERROR(__xludf.DUMMYFUNCTION("""COMPUTED_VALUE"""),"Women's Lace Boxer #womenunderwear #womenpanty")</f>
        <v>Women's Lace Boxer #womenunderwear #womenpanty</v>
      </c>
      <c r="F91" s="3"/>
      <c r="G91" s="3"/>
      <c r="L91" s="8"/>
      <c r="M91" s="8"/>
      <c r="N91" s="8"/>
      <c r="O91" s="8"/>
      <c r="P91" s="8"/>
      <c r="Q91" s="8"/>
    </row>
    <row r="92" ht="76.5" spans="1:17">
      <c r="A92" s="15">
        <f>IFERROR(__xludf.DUMMYFUNCTION("""COMPUTED_VALUE"""),45932)</f>
        <v>45932</v>
      </c>
      <c r="B92" s="12" t="str">
        <f>IFERROR(__xludf.DUMMYFUNCTION("""COMPUTED_VALUE"""),"4 Pcs Athletic Short Shaping Stretch Women's Pants Seamless High Waist Underwear Girls Shorts PLUS SIZE")</f>
        <v>4 Pcs Athletic Short Shaping Stretch Women's Pants Seamless High Waist Underwear Girls Shorts PLUS SIZE</v>
      </c>
      <c r="C92" s="16" t="str">
        <f>IFERROR(__xludf.DUMMYFUNCTION("""COMPUTED_VALUE"""),"https://vt.tiktok.com/ZSH7j8U9Nr3Pn-Sygl3/")</f>
        <v>https://vt.tiktok.com/ZSH7j8U9Nr3Pn-Sygl3/</v>
      </c>
      <c r="D92" s="17" t="str">
        <f>IFERROR(__xludf.DUMMYFUNCTION("""COMPUTED_VALUE"""),"FS_WM_UD_007")</f>
        <v>FS_WM_UD_007</v>
      </c>
      <c r="E92" s="12" t="str">
        <f>IFERROR(__xludf.DUMMYFUNCTION("""COMPUTED_VALUE"""),"Women's High Waist panty #womenunderwear #womenpanty")</f>
        <v>Women's High Waist panty #womenunderwear #womenpanty</v>
      </c>
      <c r="F92" s="3"/>
      <c r="G92" s="3"/>
      <c r="L92" s="8"/>
      <c r="M92" s="8"/>
      <c r="N92" s="8"/>
      <c r="O92" s="8"/>
      <c r="P92" s="8"/>
      <c r="Q92" s="8"/>
    </row>
    <row r="93" ht="76.5" spans="1:17">
      <c r="A93" s="15">
        <f>IFERROR(__xludf.DUMMYFUNCTION("""COMPUTED_VALUE"""),45932)</f>
        <v>45932</v>
      </c>
      <c r="B93" s="12" t="str">
        <f>IFERROR(__xludf.DUMMYFUNCTION("""COMPUTED_VALUE"""),"BUY 6, TAKE 1 WIS Elastic Band Sexy Panty For Women Cotton Lingerie Womenswear Comfort Lady Bridal Basic Minimalist")</f>
        <v>BUY 6, TAKE 1 WIS Elastic Band Sexy Panty For Women Cotton Lingerie Womenswear Comfort Lady Bridal Basic Minimalist</v>
      </c>
      <c r="C93" s="16" t="str">
        <f>IFERROR(__xludf.DUMMYFUNCTION("""COMPUTED_VALUE"""),"https://vt.tiktok.com/ZSH7jRoq5Ere3-O9cgk/")</f>
        <v>https://vt.tiktok.com/ZSH7jRoq5Ere3-O9cgk/</v>
      </c>
      <c r="D93" s="17" t="str">
        <f>IFERROR(__xludf.DUMMYFUNCTION("""COMPUTED_VALUE"""),"FS_WM_UD_008")</f>
        <v>FS_WM_UD_008</v>
      </c>
      <c r="E93" s="12" t="str">
        <f>IFERROR(__xludf.DUMMYFUNCTION("""COMPUTED_VALUE"""),"WIS Cotton panty #WIS #womenunderwear")</f>
        <v>WIS Cotton panty #WIS #womenunderwear</v>
      </c>
      <c r="F93" s="3"/>
      <c r="G93" s="3"/>
      <c r="L93" s="8"/>
      <c r="M93" s="8"/>
      <c r="N93" s="8"/>
      <c r="O93" s="8"/>
      <c r="P93" s="8"/>
      <c r="Q93" s="8"/>
    </row>
    <row r="94" ht="63.75" spans="1:17">
      <c r="A94" s="15">
        <f>IFERROR(__xludf.DUMMYFUNCTION("""COMPUTED_VALUE"""),45932)</f>
        <v>45932</v>
      </c>
      <c r="B94" s="12" t="str">
        <f>IFERROR(__xludf.DUMMYFUNCTION("""COMPUTED_VALUE"""),"BUY 4 TAKE 1 FINETOO Women's Cotton Underwear clean girl Medium-Waist Breathable")</f>
        <v>BUY 4 TAKE 1 FINETOO Women's Cotton Underwear clean girl Medium-Waist Breathable</v>
      </c>
      <c r="C94" s="16" t="str">
        <f>IFERROR(__xludf.DUMMYFUNCTION("""COMPUTED_VALUE"""),"https://vt.tiktok.com/ZSH7jdx2nhHbP-MLuWu/")</f>
        <v>https://vt.tiktok.com/ZSH7jdx2nhHbP-MLuWu/</v>
      </c>
      <c r="D94" s="17" t="str">
        <f>IFERROR(__xludf.DUMMYFUNCTION("""COMPUTED_VALUE"""),"FS_WM_UD_009")</f>
        <v>FS_WM_UD_009</v>
      </c>
      <c r="E94" s="12" t="str">
        <f>IFERROR(__xludf.DUMMYFUNCTION("""COMPUTED_VALUE"""),"FINETOO Cotton Panty #womenpanty #finetoo")</f>
        <v>FINETOO Cotton Panty #womenpanty #finetoo</v>
      </c>
      <c r="F94" s="3"/>
      <c r="G94" s="3"/>
      <c r="L94" s="8"/>
      <c r="M94" s="8"/>
      <c r="N94" s="8"/>
      <c r="O94" s="8"/>
      <c r="P94" s="8"/>
      <c r="Q94" s="8"/>
    </row>
    <row r="95" ht="89.25" spans="1:17">
      <c r="A95" s="15">
        <f>IFERROR(__xludf.DUMMYFUNCTION("""COMPUTED_VALUE"""),45932)</f>
        <v>45932</v>
      </c>
      <c r="B95" s="12" t="str">
        <f>IFERROR(__xludf.DUMMYFUNCTION("""COMPUTED_VALUE"""),"5PCS/Set KOREAN STYLE CUTE comfortable Soft Women's High Elastic Boxed Seamless Bowknot Briefs For 40-75kg Panty")</f>
        <v>5PCS/Set KOREAN STYLE CUTE comfortable Soft Women's High Elastic Boxed Seamless Bowknot Briefs For 40-75kg Panty</v>
      </c>
      <c r="C95" s="16" t="str">
        <f>IFERROR(__xludf.DUMMYFUNCTION("""COMPUTED_VALUE"""),"https://vt.tiktok.com/ZSH7j8uoQRHFR-3rqtB/")</f>
        <v>https://vt.tiktok.com/ZSH7j8uoQRHFR-3rqtB/</v>
      </c>
      <c r="D95" s="17" t="str">
        <f>IFERROR(__xludf.DUMMYFUNCTION("""COMPUTED_VALUE"""),"FS_WM_UD_010")</f>
        <v>FS_WM_UD_010</v>
      </c>
      <c r="E95" s="12" t="str">
        <f>IFERROR(__xludf.DUMMYFUNCTION("""COMPUTED_VALUE"""),"Women's High Waist panty #womenunderwear #womenpanty")</f>
        <v>Women's High Waist panty #womenunderwear #womenpanty</v>
      </c>
      <c r="F95" s="3"/>
      <c r="G95" s="3"/>
      <c r="L95" s="8"/>
      <c r="M95" s="8"/>
      <c r="N95" s="8"/>
      <c r="O95" s="8"/>
      <c r="P95" s="8"/>
      <c r="Q95" s="8"/>
    </row>
    <row r="96" ht="63.75" spans="1:17">
      <c r="A96" s="15">
        <f>IFERROR(__xludf.DUMMYFUNCTION("""COMPUTED_VALUE"""),45938)</f>
        <v>45938</v>
      </c>
      <c r="B96" s="12" t="str">
        <f>IFERROR(__xludf.DUMMYFUNCTION("""COMPUTED_VALUE"""),"FINETOO Pure Cotton Panties High-Quality Minimalist Underwear Mid-Waist Comfortable Beathable Innerwear")</f>
        <v>FINETOO Pure Cotton Panties High-Quality Minimalist Underwear Mid-Waist Comfortable Beathable Innerwear</v>
      </c>
      <c r="C96" s="16" t="str">
        <f>IFERROR(__xludf.DUMMYFUNCTION("""COMPUTED_VALUE"""),"https://vt.tiktok.com/ZSH7LCcYRu7Tq-6zTDf/")</f>
        <v>https://vt.tiktok.com/ZSH7LCcYRu7Tq-6zTDf/</v>
      </c>
      <c r="D96" s="17" t="str">
        <f>IFERROR(__xludf.DUMMYFUNCTION("""COMPUTED_VALUE"""),"FS_WM_UD_011")</f>
        <v>FS_WM_UD_011</v>
      </c>
      <c r="E96" s="12" t="str">
        <f>IFERROR(__xludf.DUMMYFUNCTION("""COMPUTED_VALUE"""),"FINETOO Cotton Panty #womenpanty #finetoo")</f>
        <v>FINETOO Cotton Panty #womenpanty #finetoo</v>
      </c>
      <c r="F96" s="3"/>
      <c r="G96" s="3"/>
      <c r="L96" s="8"/>
      <c r="M96" s="8"/>
      <c r="N96" s="8"/>
      <c r="O96" s="8"/>
      <c r="P96" s="8"/>
      <c r="Q96" s="8"/>
    </row>
    <row r="97" ht="51" spans="1:17">
      <c r="A97" s="15">
        <f>IFERROR(__xludf.DUMMYFUNCTION("""COMPUTED_VALUE"""),45938)</f>
        <v>45938</v>
      </c>
      <c r="B97" s="12" t="str">
        <f>IFERROR(__xludf.DUMMYFUNCTION("""COMPUTED_VALUE"""),"6Pcs/12Pcs Seamless Panties for Women Sexy Underwear V Design Waist Briefs B08Set")</f>
        <v>6Pcs/12Pcs Seamless Panties for Women Sexy Underwear V Design Waist Briefs B08Set</v>
      </c>
      <c r="C97" s="16" t="str">
        <f>IFERROR(__xludf.DUMMYFUNCTION("""COMPUTED_VALUE"""),"https://vt.tiktok.com/ZSH7LXmkCJy6p-Nj8sC/")</f>
        <v>https://vt.tiktok.com/ZSH7LXmkCJy6p-Nj8sC/</v>
      </c>
      <c r="D97" s="17" t="str">
        <f>IFERROR(__xludf.DUMMYFUNCTION("""COMPUTED_VALUE"""),"FS_WM_UD_012")</f>
        <v>FS_WM_UD_012</v>
      </c>
      <c r="E97" s="12" t="str">
        <f>IFERROR(__xludf.DUMMYFUNCTION("""COMPUTED_VALUE"""),"Women's Cotton Underwear #womenunderwear #cottonpanty")</f>
        <v>Women's Cotton Underwear #womenunderwear #cottonpanty</v>
      </c>
      <c r="F97" s="3"/>
      <c r="G97" s="3"/>
      <c r="L97" s="8"/>
      <c r="M97" s="8"/>
      <c r="N97" s="8"/>
      <c r="O97" s="8"/>
      <c r="P97" s="8"/>
      <c r="Q97" s="8"/>
    </row>
    <row r="98" ht="76.5" spans="1:17">
      <c r="A98" s="15">
        <f>IFERROR(__xludf.DUMMYFUNCTION("""COMPUTED_VALUE"""),45938)</f>
        <v>45938</v>
      </c>
      <c r="B98" s="12" t="str">
        <f>IFERROR(__xludf.DUMMYFUNCTION("""COMPUTED_VALUE"""),"FINETOO Cotton Splicing Lace Panties M-3XL Low Waist Webbing Underwear Fashion Comfortable Brazilian Panties 6PCS")</f>
        <v>FINETOO Cotton Splicing Lace Panties M-3XL Low Waist Webbing Underwear Fashion Comfortable Brazilian Panties 6PCS</v>
      </c>
      <c r="C98" s="16" t="str">
        <f>IFERROR(__xludf.DUMMYFUNCTION("""COMPUTED_VALUE"""),"https://vt.tiktok.com/ZSH7LqNAjd135-fITrE/")</f>
        <v>https://vt.tiktok.com/ZSH7LqNAjd135-fITrE/</v>
      </c>
      <c r="D98" s="17" t="str">
        <f>IFERROR(__xludf.DUMMYFUNCTION("""COMPUTED_VALUE"""),"FS_WM_UD_014")</f>
        <v>FS_WM_UD_014</v>
      </c>
      <c r="E98" s="12" t="str">
        <f>IFERROR(__xludf.DUMMYFUNCTION("""COMPUTED_VALUE"""),"FINETOO Cotton Panty #womenpanty #finetoo")</f>
        <v>FINETOO Cotton Panty #womenpanty #finetoo</v>
      </c>
      <c r="F98" s="3"/>
      <c r="G98" s="3"/>
      <c r="L98" s="8"/>
      <c r="M98" s="8"/>
      <c r="N98" s="8"/>
      <c r="O98" s="8"/>
      <c r="P98" s="8"/>
      <c r="Q98" s="8"/>
    </row>
    <row r="99" ht="63.75" spans="1:17">
      <c r="A99" s="15">
        <f>IFERROR(__xludf.DUMMYFUNCTION("""COMPUTED_VALUE"""),45938)</f>
        <v>45938</v>
      </c>
      <c r="B99" s="12" t="str">
        <f>IFERROR(__xludf.DUMMYFUNCTION("""COMPUTED_VALUE"""),"Sexy Lace Briefs Low-Waist Cotton Lingerie For Women High Quailty Womenswear Breathable And Soft Briefs")</f>
        <v>Sexy Lace Briefs Low-Waist Cotton Lingerie For Women High Quailty Womenswear Breathable And Soft Briefs</v>
      </c>
      <c r="C99" s="16" t="str">
        <f>IFERROR(__xludf.DUMMYFUNCTION("""COMPUTED_VALUE"""),"https://vt.tiktok.com/ZSH7Lqagw49EV-l0KDf/")</f>
        <v>https://vt.tiktok.com/ZSH7Lqagw49EV-l0KDf/</v>
      </c>
      <c r="D99" s="17" t="str">
        <f>IFERROR(__xludf.DUMMYFUNCTION("""COMPUTED_VALUE"""),"FS_WM_UD_015")</f>
        <v>FS_WM_UD_015</v>
      </c>
      <c r="E99" s="12" t="str">
        <f>IFERROR(__xludf.DUMMYFUNCTION("""COMPUTED_VALUE"""),"Women's Cotton Underwear #womenunderwear #cottonpanty")</f>
        <v>Women's Cotton Underwear #womenunderwear #cottonpanty</v>
      </c>
      <c r="F99" s="3"/>
      <c r="G99" s="3"/>
      <c r="L99" s="8"/>
      <c r="M99" s="8"/>
      <c r="N99" s="8"/>
      <c r="O99" s="8"/>
      <c r="P99" s="8"/>
      <c r="Q99" s="8"/>
    </row>
    <row r="100" ht="51" spans="1:17">
      <c r="A100" s="15">
        <f>IFERROR(__xludf.DUMMYFUNCTION("""COMPUTED_VALUE"""),45938)</f>
        <v>45938</v>
      </c>
      <c r="B100" s="12" t="str">
        <f>IFERROR(__xludf.DUMMYFUNCTION("""COMPUTED_VALUE"""),"Underwear For Women Pure Cotton Antibacterial korean StyleSafety")</f>
        <v>Underwear For Women Pure Cotton Antibacterial korean StyleSafety</v>
      </c>
      <c r="C100" s="16" t="str">
        <f>IFERROR(__xludf.DUMMYFUNCTION("""COMPUTED_VALUE"""),"https://vt.tiktok.com/ZSH7Lb6HUaABM-KAmiZ/")</f>
        <v>https://vt.tiktok.com/ZSH7Lb6HUaABM-KAmiZ/</v>
      </c>
      <c r="D100" s="17" t="str">
        <f>IFERROR(__xludf.DUMMYFUNCTION("""COMPUTED_VALUE"""),"FS_WM_UD_016")</f>
        <v>FS_WM_UD_016</v>
      </c>
      <c r="E100" s="12" t="str">
        <f>IFERROR(__xludf.DUMMYFUNCTION("""COMPUTED_VALUE"""),"Women's Cotton Underwear #womenunderwear #cottonpanty")</f>
        <v>Women's Cotton Underwear #womenunderwear #cottonpanty</v>
      </c>
      <c r="F100" s="3"/>
      <c r="G100" s="3"/>
      <c r="L100" s="8"/>
      <c r="M100" s="8"/>
      <c r="N100" s="8"/>
      <c r="O100" s="8"/>
      <c r="P100" s="8"/>
      <c r="Q100" s="8"/>
    </row>
    <row r="101" ht="102" spans="1:17">
      <c r="A101" s="15">
        <f>IFERROR(__xludf.DUMMYFUNCTION("""COMPUTED_VALUE"""),45938)</f>
        <v>45938</v>
      </c>
      <c r="B101" s="12" t="str">
        <f>IFERROR(__xludf.DUMMYFUNCTION("""COMPUTED_VALUE"""),"6/12pcs Random Colors Panties Women Cotton Underwear Candy Color Contracted Panties Pure Color Female Womenswear Comfort Bridal Innerwear Multicolor Print")</f>
        <v>6/12pcs Random Colors Panties Women Cotton Underwear Candy Color Contracted Panties Pure Color Female Womenswear Comfort Bridal Innerwear Multicolor Print</v>
      </c>
      <c r="C101" s="16" t="str">
        <f>IFERROR(__xludf.DUMMYFUNCTION("""COMPUTED_VALUE"""),"https://vt.tiktok.com/ZSH7LbqJSB2g5-Vyskk/")</f>
        <v>https://vt.tiktok.com/ZSH7LbqJSB2g5-Vyskk/</v>
      </c>
      <c r="D101" s="17" t="str">
        <f>IFERROR(__xludf.DUMMYFUNCTION("""COMPUTED_VALUE"""),"FS_WM_UD_017")</f>
        <v>FS_WM_UD_017</v>
      </c>
      <c r="E101" s="12" t="str">
        <f>IFERROR(__xludf.DUMMYFUNCTION("""COMPUTED_VALUE"""),"Women's Cotton Underwear #womenunderwear #cottonpanty")</f>
        <v>Women's Cotton Underwear #womenunderwear #cottonpanty</v>
      </c>
      <c r="F101" s="3"/>
      <c r="G101" s="3"/>
      <c r="L101" s="8"/>
      <c r="M101" s="8"/>
      <c r="N101" s="8"/>
      <c r="O101" s="8"/>
      <c r="P101" s="8"/>
      <c r="Q101" s="8"/>
    </row>
    <row r="102" ht="76.5" spans="1:17">
      <c r="A102" s="15">
        <f>IFERROR(__xludf.DUMMYFUNCTION("""COMPUTED_VALUE"""),45938)</f>
        <v>45938</v>
      </c>
      <c r="B102" s="12" t="str">
        <f>IFERROR(__xludf.DUMMYFUNCTION("""COMPUTED_VALUE"""),"BUY 5 TAKE 1 FINETOO Lace Panties Sexy Low Waist Underwear 6pcs Low Waist Briefs Comfortable and Soft Lingerie")</f>
        <v>BUY 5 TAKE 1 FINETOO Lace Panties Sexy Low Waist Underwear 6pcs Low Waist Briefs Comfortable and Soft Lingerie</v>
      </c>
      <c r="C102" s="16" t="str">
        <f>IFERROR(__xludf.DUMMYFUNCTION("""COMPUTED_VALUE"""),"https://vt.tiktok.com/ZSH7brpawpm7j-IrON2/")</f>
        <v>https://vt.tiktok.com/ZSH7brpawpm7j-IrON2/</v>
      </c>
      <c r="D102" s="17" t="str">
        <f>IFERROR(__xludf.DUMMYFUNCTION("""COMPUTED_VALUE"""),"FS_WM_UD_018")</f>
        <v>FS_WM_UD_018</v>
      </c>
      <c r="E102" s="12" t="str">
        <f>IFERROR(__xludf.DUMMYFUNCTION("""COMPUTED_VALUE"""),"FINETOO Lace Panty #finetoo #lacepanty")</f>
        <v>FINETOO Lace Panty #finetoo #lacepanty</v>
      </c>
      <c r="F102" s="3"/>
      <c r="G102" s="3"/>
      <c r="L102" s="8"/>
      <c r="M102" s="8"/>
      <c r="N102" s="8"/>
      <c r="O102" s="8"/>
      <c r="P102" s="8"/>
      <c r="Q102" s="8"/>
    </row>
    <row r="103" ht="76.5" spans="1:17">
      <c r="A103" s="15">
        <f>IFERROR(__xludf.DUMMYFUNCTION("""COMPUTED_VALUE"""),45943)</f>
        <v>45943</v>
      </c>
      <c r="B103" s="12" t="str">
        <f>IFERROR(__xludf.DUMMYFUNCTION("""COMPUTED_VALUE"""),"BUY 3 TAKE 1 FINETOO High-Waist Cotton Panty For Women Premium Quality Comfy Underwear Breathable Mininmalist Innerwear")</f>
        <v>BUY 3 TAKE 1 FINETOO High-Waist Cotton Panty For Women Premium Quality Comfy Underwear Breathable Mininmalist Innerwear</v>
      </c>
      <c r="C103" s="16" t="str">
        <f>IFERROR(__xludf.DUMMYFUNCTION("""COMPUTED_VALUE"""),"https://vt.tiktok.com/ZSH7bhT7V7XxB-b3QEV/")</f>
        <v>https://vt.tiktok.com/ZSH7bhT7V7XxB-b3QEV/</v>
      </c>
      <c r="D103" s="17" t="str">
        <f>IFERROR(__xludf.DUMMYFUNCTION("""COMPUTED_VALUE"""),"FS_WM_UD_020")</f>
        <v>FS_WM_UD_020</v>
      </c>
      <c r="E103" s="12" t="str">
        <f>IFERROR(__xludf.DUMMYFUNCTION("""COMPUTED_VALUE"""),"FINETOO Cotton Panty #womenpanty #finetoo")</f>
        <v>FINETOO Cotton Panty #womenpanty #finetoo</v>
      </c>
      <c r="F103" s="3"/>
      <c r="G103" s="3"/>
      <c r="L103" s="8"/>
      <c r="M103" s="8"/>
      <c r="N103" s="8"/>
      <c r="O103" s="8"/>
      <c r="P103" s="8"/>
      <c r="Q103" s="8"/>
    </row>
    <row r="104" ht="76.5" spans="1:17">
      <c r="A104" s="15">
        <f>IFERROR(__xludf.DUMMYFUNCTION("""COMPUTED_VALUE"""),45943)</f>
        <v>45943</v>
      </c>
      <c r="B104" s="12" t="str">
        <f>IFERROR(__xludf.DUMMYFUNCTION("""COMPUTED_VALUE"""),"BUY 3 TAKE 1 FINETOO Mid-Waist Cotton Panty For Women Fashionable Lace Edging Design Underwear High-Quality Soft Material Innerwear")</f>
        <v>BUY 3 TAKE 1 FINETOO Mid-Waist Cotton Panty For Women Fashionable Lace Edging Design Underwear High-Quality Soft Material Innerwear</v>
      </c>
      <c r="C104" s="16" t="str">
        <f>IFERROR(__xludf.DUMMYFUNCTION("""COMPUTED_VALUE"""),"https://vt.tiktok.com/ZSH7bkBYtAHvU-971Ji/")</f>
        <v>https://vt.tiktok.com/ZSH7bkBYtAHvU-971Ji/</v>
      </c>
      <c r="D104" s="17" t="str">
        <f>IFERROR(__xludf.DUMMYFUNCTION("""COMPUTED_VALUE"""),"FS_WM_UD_021")</f>
        <v>FS_WM_UD_021</v>
      </c>
      <c r="E104" s="12" t="str">
        <f>IFERROR(__xludf.DUMMYFUNCTION("""COMPUTED_VALUE"""),"FINETOO Cotton Panty #womenpanty #finetoo")</f>
        <v>FINETOO Cotton Panty #womenpanty #finetoo</v>
      </c>
      <c r="F104" s="3"/>
      <c r="G104" s="3"/>
      <c r="L104" s="8"/>
      <c r="M104" s="8"/>
      <c r="N104" s="8"/>
      <c r="O104" s="8"/>
      <c r="P104" s="8"/>
      <c r="Q104" s="8"/>
    </row>
    <row r="105" ht="102" spans="1:17">
      <c r="A105" s="15">
        <f>IFERROR(__xludf.DUMMYFUNCTION("""COMPUTED_VALUE"""),45943)</f>
        <v>45943</v>
      </c>
      <c r="B105" s="12" t="str">
        <f>IFERROR(__xludf.DUMMYFUNCTION("""COMPUTED_VALUE"""),"BUY 4 TAKE 3 Seamless Cotton Thin Style Briefs Mid-Waist Soft Underwear Fashionable Waist Contrasting Design In Macaron Color Scheme Womenswear")</f>
        <v>BUY 4 TAKE 3 Seamless Cotton Thin Style Briefs Mid-Waist Soft Underwear Fashionable Waist Contrasting Design In Macaron Color Scheme Womenswear</v>
      </c>
      <c r="C105" s="16" t="str">
        <f>IFERROR(__xludf.DUMMYFUNCTION("""COMPUTED_VALUE"""),"https://vt.tiktok.com/ZSH7bSpFgKP69-obV3u/")</f>
        <v>https://vt.tiktok.com/ZSH7bSpFgKP69-obV3u/</v>
      </c>
      <c r="D105" s="17" t="str">
        <f>IFERROR(__xludf.DUMMYFUNCTION("""COMPUTED_VALUE"""),"FS_WM_UD_022")</f>
        <v>FS_WM_UD_022</v>
      </c>
      <c r="E105" s="12" t="str">
        <f>IFERROR(__xludf.DUMMYFUNCTION("""COMPUTED_VALUE"""),"Women Seamless Underwear ")</f>
        <v>Women Seamless Underwear </v>
      </c>
      <c r="F105" s="3"/>
      <c r="G105" s="3"/>
      <c r="L105" s="8"/>
      <c r="M105" s="8"/>
      <c r="N105" s="8"/>
      <c r="O105" s="8"/>
      <c r="P105" s="8"/>
      <c r="Q105" s="8"/>
    </row>
    <row r="106" ht="76.5" spans="1:17">
      <c r="A106" s="15">
        <f>IFERROR(__xludf.DUMMYFUNCTION("""COMPUTED_VALUE"""),45943)</f>
        <v>45943</v>
      </c>
      <c r="B106" s="12" t="str">
        <f>IFERROR(__xludf.DUMMYFUNCTION("""COMPUTED_VALUE"""),"BUY 3 TAKE 1 FINETOO High-Waist Cotton Panty S-2XL Fashionable Minimalist Underwear Soft Material Breathable Underwear For Women")</f>
        <v>BUY 3 TAKE 1 FINETOO High-Waist Cotton Panty S-2XL Fashionable Minimalist Underwear Soft Material Breathable Underwear For Women</v>
      </c>
      <c r="C106" s="16" t="str">
        <f>IFERROR(__xludf.DUMMYFUNCTION("""COMPUTED_VALUE"""),"https://vt.tiktok.com/ZSH7bARYwNcpg-4PQEd/")</f>
        <v>https://vt.tiktok.com/ZSH7bARYwNcpg-4PQEd/</v>
      </c>
      <c r="D106" s="17" t="str">
        <f>IFERROR(__xludf.DUMMYFUNCTION("""COMPUTED_VALUE"""),"FS_WM_UD_023")</f>
        <v>FS_WM_UD_023</v>
      </c>
      <c r="E106" s="12" t="str">
        <f>IFERROR(__xludf.DUMMYFUNCTION("""COMPUTED_VALUE"""),"FINETOO Cotton Panty #womenpanty #finetoo")</f>
        <v>FINETOO Cotton Panty #womenpanty #finetoo</v>
      </c>
      <c r="F106" s="3"/>
      <c r="G106" s="3"/>
      <c r="L106" s="8"/>
      <c r="M106" s="8"/>
      <c r="N106" s="8"/>
      <c r="O106" s="8"/>
      <c r="P106" s="8"/>
      <c r="Q106" s="8"/>
    </row>
    <row r="107" ht="76.5" spans="1:17">
      <c r="A107" s="15">
        <f>IFERROR(__xludf.DUMMYFUNCTION("""COMPUTED_VALUE"""),45943)</f>
        <v>45943</v>
      </c>
      <c r="B107" s="12" t="str">
        <f>IFERROR(__xludf.DUMMYFUNCTION("""COMPUTED_VALUE"""),"BUY 5 TAKE 1 FINETOO Pure Cotton Briefs Low-Waist Fashional Womenswear High-Quality Comfortable Minimalist Panties")</f>
        <v>BUY 5 TAKE 1 FINETOO Pure Cotton Briefs Low-Waist Fashional Womenswear High-Quality Comfortable Minimalist Panties</v>
      </c>
      <c r="C107" s="16" t="str">
        <f>IFERROR(__xludf.DUMMYFUNCTION("""COMPUTED_VALUE"""),"https://vt.tiktok.com/ZSH7bDogPxyUb-Kj4Vy/")</f>
        <v>https://vt.tiktok.com/ZSH7bDogPxyUb-Kj4Vy/</v>
      </c>
      <c r="D107" s="17" t="str">
        <f>IFERROR(__xludf.DUMMYFUNCTION("""COMPUTED_VALUE"""),"FS_WM_UD_024")</f>
        <v>FS_WM_UD_024</v>
      </c>
      <c r="E107" s="12" t="str">
        <f>IFERROR(__xludf.DUMMYFUNCTION("""COMPUTED_VALUE"""),"FINETOO Cotton Panty #womenpanty #finetoo")</f>
        <v>FINETOO Cotton Panty #womenpanty #finetoo</v>
      </c>
      <c r="F107" s="3"/>
      <c r="G107" s="3"/>
      <c r="L107" s="8"/>
      <c r="M107" s="8"/>
      <c r="N107" s="8"/>
      <c r="O107" s="8"/>
      <c r="P107" s="8"/>
      <c r="Q107" s="8"/>
    </row>
    <row r="108" ht="76.5" spans="1:17">
      <c r="A108" s="15">
        <f>IFERROR(__xludf.DUMMYFUNCTION("""COMPUTED_VALUE"""),45943)</f>
        <v>45943</v>
      </c>
      <c r="B108" s="12" t="str">
        <f>IFERROR(__xludf.DUMMYFUNCTION("""COMPUTED_VALUE"""),"BUY 5 TAKE 1 Ice Silk Fashion Underwear Mid-Waist Minimalist Panties Thin Style Seamless Breathable Summer Innerwear")</f>
        <v>BUY 5 TAKE 1 Ice Silk Fashion Underwear Mid-Waist Minimalist Panties Thin Style Seamless Breathable Summer Innerwear</v>
      </c>
      <c r="C108" s="16" t="str">
        <f>IFERROR(__xludf.DUMMYFUNCTION("""COMPUTED_VALUE"""),"https://vt.tiktok.com/ZSH7bUasHcRMg-P9KzA/")</f>
        <v>https://vt.tiktok.com/ZSH7bUasHcRMg-P9KzA/</v>
      </c>
      <c r="D108" s="17" t="str">
        <f>IFERROR(__xludf.DUMMYFUNCTION("""COMPUTED_VALUE"""),"FS_WM_UD_025")</f>
        <v>FS_WM_UD_025</v>
      </c>
      <c r="E108" s="12" t="str">
        <f>IFERROR(__xludf.DUMMYFUNCTION("""COMPUTED_VALUE"""),"Women's Ice Silk Underwear #womenunderwear #underwear")</f>
        <v>Women's Ice Silk Underwear #womenunderwear #underwear</v>
      </c>
      <c r="F108" s="3"/>
      <c r="G108" s="3"/>
      <c r="L108" s="8"/>
      <c r="M108" s="8"/>
      <c r="N108" s="8"/>
      <c r="O108" s="8"/>
      <c r="P108" s="8"/>
      <c r="Q108" s="8"/>
    </row>
    <row r="109" ht="76.5" spans="1:17">
      <c r="A109" s="15">
        <f>IFERROR(__xludf.DUMMYFUNCTION("""COMPUTED_VALUE"""),45943)</f>
        <v>45943</v>
      </c>
      <c r="B109" s="12" t="str">
        <f>IFERROR(__xludf.DUMMYFUNCTION("""COMPUTED_VALUE"""),"6pcs Ice Silk Seamless Panties Female Strawberry Maiden Sexy Peach Hip 3D Loose Soft Pants Nude Feel Classic Briefs")</f>
        <v>6pcs Ice Silk Seamless Panties Female Strawberry Maiden Sexy Peach Hip 3D Loose Soft Pants Nude Feel Classic Briefs</v>
      </c>
      <c r="C109" s="16" t="str">
        <f>IFERROR(__xludf.DUMMYFUNCTION("""COMPUTED_VALUE"""),"https://vt.tiktok.com/ZSH7by5HutXHf-4nPUB/")</f>
        <v>https://vt.tiktok.com/ZSH7by5HutXHf-4nPUB/</v>
      </c>
      <c r="D109" s="17" t="str">
        <f>IFERROR(__xludf.DUMMYFUNCTION("""COMPUTED_VALUE"""),"FS_WM_UD_026")</f>
        <v>FS_WM_UD_026</v>
      </c>
      <c r="E109" s="12" t="str">
        <f>IFERROR(__xludf.DUMMYFUNCTION("""COMPUTED_VALUE"""),"Women's Ice Silk Seamless Panty #seamlesspanty #womenunderwear")</f>
        <v>Women's Ice Silk Seamless Panty #seamlesspanty #womenunderwear</v>
      </c>
      <c r="F109" s="3"/>
      <c r="G109" s="3"/>
      <c r="L109" s="8"/>
      <c r="M109" s="8"/>
      <c r="N109" s="8"/>
      <c r="O109" s="8"/>
      <c r="P109" s="8"/>
      <c r="Q109" s="8"/>
    </row>
    <row r="110" ht="63.75" spans="1:17">
      <c r="A110" s="15">
        <f>IFERROR(__xludf.DUMMYFUNCTION("""COMPUTED_VALUE"""),45943)</f>
        <v>45943</v>
      </c>
      <c r="B110" s="12" t="str">
        <f>IFERROR(__xludf.DUMMYFUNCTION("""COMPUTED_VALUE"""),"AELLO. 5pcs Women's Mid-Waist Panties Assorted Colors Antibacterial &amp; Comfortable Stretchy")</f>
        <v>AELLO. 5pcs Women's Mid-Waist Panties Assorted Colors Antibacterial &amp; Comfortable Stretchy</v>
      </c>
      <c r="C110" s="16" t="str">
        <f>IFERROR(__xludf.DUMMYFUNCTION("""COMPUTED_VALUE"""),"https://vt.tiktok.com/ZSH7bfMsqQubN-rBYVy/")</f>
        <v>https://vt.tiktok.com/ZSH7bfMsqQubN-rBYVy/</v>
      </c>
      <c r="D110" s="17" t="str">
        <f>IFERROR(__xludf.DUMMYFUNCTION("""COMPUTED_VALUE"""),"FS_WM_UD_027")</f>
        <v>FS_WM_UD_027</v>
      </c>
      <c r="E110" s="12" t="str">
        <f>IFERROR(__xludf.DUMMYFUNCTION("""COMPUTED_VALUE"""),"Women's Cotton Underwear #womenunderwear #cottonpanty")</f>
        <v>Women's Cotton Underwear #womenunderwear #cottonpanty</v>
      </c>
      <c r="F110" s="3"/>
      <c r="G110" s="3"/>
      <c r="L110" s="8"/>
      <c r="M110" s="8"/>
      <c r="N110" s="8"/>
      <c r="O110" s="8"/>
      <c r="P110" s="8"/>
      <c r="Q110" s="8"/>
    </row>
    <row r="111" ht="63.75" spans="1:17">
      <c r="A111" s="15">
        <f>IFERROR(__xludf.DUMMYFUNCTION("""COMPUTED_VALUE"""),45943)</f>
        <v>45943</v>
      </c>
      <c r="B111" s="12" t="str">
        <f>IFERROR(__xludf.DUMMYFUNCTION("""COMPUTED_VALUE"""),"Cotton soft and skin-friendly seamless underwear comfortable and breathable women's briefs")</f>
        <v>Cotton soft and skin-friendly seamless underwear comfortable and breathable women's briefs</v>
      </c>
      <c r="C111" s="16" t="str">
        <f>IFERROR(__xludf.DUMMYFUNCTION("""COMPUTED_VALUE"""),"https://vt.tiktok.com/ZSH7vfCmGa4NA-v6A4b/")</f>
        <v>https://vt.tiktok.com/ZSH7vfCmGa4NA-v6A4b/</v>
      </c>
      <c r="D111" s="17" t="str">
        <f>IFERROR(__xludf.DUMMYFUNCTION("""COMPUTED_VALUE"""),"FS_WM_UD_028")</f>
        <v>FS_WM_UD_028</v>
      </c>
      <c r="E111" s="12" t="str">
        <f>IFERROR(__xludf.DUMMYFUNCTION("""COMPUTED_VALUE"""),"Women's Ice Silk Seamless Panty #seamlesspanty #womenunderwear")</f>
        <v>Women's Ice Silk Seamless Panty #seamlesspanty #womenunderwear</v>
      </c>
      <c r="F111" s="3"/>
      <c r="G111" s="3"/>
      <c r="L111" s="8"/>
      <c r="M111" s="8"/>
      <c r="N111" s="8"/>
      <c r="O111" s="8"/>
      <c r="P111" s="8"/>
      <c r="Q111" s="8"/>
    </row>
    <row r="112" ht="76.5" spans="1:17">
      <c r="A112" s="15">
        <f>IFERROR(__xludf.DUMMYFUNCTION("""COMPUTED_VALUE"""),45943)</f>
        <v>45943</v>
      </c>
      <c r="B112" s="12" t="str">
        <f>IFERROR(__xludf.DUMMYFUNCTION("""COMPUTED_VALUE"""),"6Pcs Set of Mid-Waist Pure Assorted Colors Cotton Women's Underwear Breathable Underwear Natural High Elastic Cotton Underwear")</f>
        <v>6Pcs Set of Mid-Waist Pure Assorted Colors Cotton Women's Underwear Breathable Underwear Natural High Elastic Cotton Underwear</v>
      </c>
      <c r="C112" s="16" t="str">
        <f>IFERROR(__xludf.DUMMYFUNCTION("""COMPUTED_VALUE"""),"https://vt.tiktok.com/ZSH7b5nTemYfY-9W1tq/")</f>
        <v>https://vt.tiktok.com/ZSH7b5nTemYfY-9W1tq/</v>
      </c>
      <c r="D112" s="17" t="str">
        <f>IFERROR(__xludf.DUMMYFUNCTION("""COMPUTED_VALUE"""),"FS_WM_UD_029")</f>
        <v>FS_WM_UD_029</v>
      </c>
      <c r="E112" s="12" t="str">
        <f>IFERROR(__xludf.DUMMYFUNCTION("""COMPUTED_VALUE"""),"Women's High Waist panty #womenunderwear #womenpanty")</f>
        <v>Women's High Waist panty #womenunderwear #womenpanty</v>
      </c>
      <c r="F112" s="3"/>
      <c r="G112" s="3"/>
      <c r="L112" s="8"/>
      <c r="M112" s="8"/>
      <c r="N112" s="8"/>
      <c r="O112" s="8"/>
      <c r="P112" s="8"/>
      <c r="Q112" s="8"/>
    </row>
    <row r="113" ht="76.5" spans="1:17">
      <c r="A113" s="15">
        <f>IFERROR(__xludf.DUMMYFUNCTION("""COMPUTED_VALUE"""),45943)</f>
        <v>45943</v>
      </c>
      <c r="B113" s="12" t="str">
        <f>IFERROR(__xludf.DUMMYFUNCTION("""COMPUTED_VALUE"""),"BUY 2 GET 1 #3PCS High waist Short Sports Belly Tight Yoga Seamless Running Fitness Shorts For Women")</f>
        <v>BUY 2 GET 1 #3PCS High waist Short Sports Belly Tight Yoga Seamless Running Fitness Shorts For Women</v>
      </c>
      <c r="C113" s="16" t="str">
        <f>IFERROR(__xludf.DUMMYFUNCTION("""COMPUTED_VALUE"""),"https://vt.tiktok.com/ZSH7bmb78Kc3r-0rHGS/")</f>
        <v>https://vt.tiktok.com/ZSH7bmb78Kc3r-0rHGS/</v>
      </c>
      <c r="D113" s="17" t="str">
        <f>IFERROR(__xludf.DUMMYFUNCTION("""COMPUTED_VALUE"""),"FS_WM_UD_030")</f>
        <v>FS_WM_UD_030</v>
      </c>
      <c r="E113" s="12" t="str">
        <f>IFERROR(__xludf.DUMMYFUNCTION("""COMPUTED_VALUE"""),"Women's High Waist pant #womenunderwear #womenpanty")</f>
        <v>Women's High Waist pant #womenunderwear #womenpanty</v>
      </c>
      <c r="F113" s="3"/>
      <c r="G113" s="3"/>
      <c r="L113" s="8"/>
      <c r="M113" s="8"/>
      <c r="N113" s="8"/>
      <c r="O113" s="8"/>
      <c r="P113" s="8"/>
      <c r="Q113" s="8"/>
    </row>
    <row r="114" ht="89.25" spans="1:17">
      <c r="A114" s="15">
        <f>IFERROR(__xludf.DUMMYFUNCTION("""COMPUTED_VALUE"""),45943)</f>
        <v>45943</v>
      </c>
      <c r="B114" s="12" t="str">
        <f>IFERROR(__xludf.DUMMYFUNCTION("""COMPUTED_VALUE"""),"5pcs Women's Panty mid-Waist Sweet Bow Lace edge Ribbed Panties For Women Pure Cotton Crotch Breathable cute M-XL 【C62】
Sold by AKIK DU")</f>
        <v>5pcs Women's Panty mid-Waist Sweet Bow Lace edge Ribbed Panties For Women Pure Cotton Crotch Breathable cute M-XL 【C62】
Sold by AKIK DU</v>
      </c>
      <c r="C114" s="16" t="str">
        <f>IFERROR(__xludf.DUMMYFUNCTION("""COMPUTED_VALUE"""),"https://vt.tiktok.com/ZSH7buAaBFMeX-TXDKA/")</f>
        <v>https://vt.tiktok.com/ZSH7buAaBFMeX-TXDKA/</v>
      </c>
      <c r="D114" s="17" t="str">
        <f>IFERROR(__xludf.DUMMYFUNCTION("""COMPUTED_VALUE"""),"FS_WM_UD_031")</f>
        <v>FS_WM_UD_031</v>
      </c>
      <c r="E114" s="12" t="str">
        <f>IFERROR(__xludf.DUMMYFUNCTION("""COMPUTED_VALUE"""),"Women's Cotton Underwear #womenunderwear #cottonpanty")</f>
        <v>Women's Cotton Underwear #womenunderwear #cottonpanty</v>
      </c>
      <c r="F114" s="3"/>
      <c r="G114" s="3"/>
      <c r="L114" s="8"/>
      <c r="M114" s="8"/>
      <c r="N114" s="8"/>
      <c r="O114" s="8"/>
      <c r="P114" s="8"/>
      <c r="Q114" s="8"/>
    </row>
    <row r="115" ht="102" spans="1:17">
      <c r="A115" s="15">
        <f>IFERROR(__xludf.DUMMYFUNCTION("""COMPUTED_VALUE"""),45950)</f>
        <v>45950</v>
      </c>
      <c r="B115" s="12" t="str">
        <f>IFERROR(__xludf.DUMMYFUNCTION("""COMPUTED_VALUE"""),"12/6/3PCS CH-&amp;N Ladies Boxer Brief Fitted Cotton Spandex Good Elastic Breathable Comfortable Everyday Wear Lingerie for Women Summer Style Basic Minimalist")</f>
        <v>12/6/3PCS CH-&amp;N Ladies Boxer Brief Fitted Cotton Spandex Good Elastic Breathable Comfortable Everyday Wear Lingerie for Women Summer Style Basic Minimalist</v>
      </c>
      <c r="C115" s="16" t="str">
        <f>IFERROR(__xludf.DUMMYFUNCTION("""COMPUTED_VALUE"""),"https://vt.tiktok.com/ZSHvMbfAvWbER-wwuNp/")</f>
        <v>https://vt.tiktok.com/ZSHvMbfAvWbER-wwuNp/</v>
      </c>
      <c r="D115" s="17" t="str">
        <f>IFERROR(__xludf.DUMMYFUNCTION("""COMPUTED_VALUE"""),"FS_WM_UD_032")</f>
        <v>FS_WM_UD_032</v>
      </c>
      <c r="E115" s="12" t="str">
        <f>IFERROR(__xludf.DUMMYFUNCTION("""COMPUTED_VALUE"""),"Women's Cotton Underwear #womenunderwear #cottonpanty")</f>
        <v>Women's Cotton Underwear #womenunderwear #cottonpanty</v>
      </c>
      <c r="F115" s="3"/>
      <c r="G115" s="3"/>
      <c r="L115" s="8"/>
      <c r="M115" s="8"/>
      <c r="N115" s="8"/>
      <c r="O115" s="8"/>
      <c r="P115" s="8"/>
      <c r="Q115" s="8"/>
    </row>
    <row r="116" ht="63.75" spans="1:17">
      <c r="A116" s="15">
        <f>IFERROR(__xludf.DUMMYFUNCTION("""COMPUTED_VALUE"""),45950)</f>
        <v>45950</v>
      </c>
      <c r="B116" s="12" t="str">
        <f>IFERROR(__xludf.DUMMYFUNCTION("""COMPUTED_VALUE"""),"4-piece set mid-waist pure cotton women's underwear breathable underwear natural high elastic cotton underwear")</f>
        <v>4-piece set mid-waist pure cotton women's underwear breathable underwear natural high elastic cotton underwear</v>
      </c>
      <c r="C116" s="16" t="str">
        <f>IFERROR(__xludf.DUMMYFUNCTION("""COMPUTED_VALUE"""),"https://vt.tiktok.com/ZSHvrN6oBDF9S-Pe5lI/")</f>
        <v>https://vt.tiktok.com/ZSHvrN6oBDF9S-Pe5lI/</v>
      </c>
      <c r="D116" s="17" t="str">
        <f>IFERROR(__xludf.DUMMYFUNCTION("""COMPUTED_VALUE"""),"FS_WM_UD_033")</f>
        <v>FS_WM_UD_033</v>
      </c>
      <c r="E116" s="12" t="str">
        <f>IFERROR(__xludf.DUMMYFUNCTION("""COMPUTED_VALUE"""),"Moonbaybay Women's Cotton Panty #cottonpanty #womenunderwear")</f>
        <v>Moonbaybay Women's Cotton Panty #cottonpanty #womenunderwear</v>
      </c>
      <c r="F116" s="3"/>
      <c r="G116" s="3"/>
      <c r="L116" s="8"/>
      <c r="M116" s="8"/>
      <c r="N116" s="8"/>
      <c r="O116" s="8"/>
      <c r="P116" s="8"/>
      <c r="Q116" s="8"/>
    </row>
    <row r="117" ht="51" spans="1:17">
      <c r="A117" s="15">
        <f>IFERROR(__xludf.DUMMYFUNCTION("""COMPUTED_VALUE"""),45952)</f>
        <v>45952</v>
      </c>
      <c r="B117" s="12" t="str">
        <f>IFERROR(__xludf.DUMMYFUNCTION("""COMPUTED_VALUE"""),"Traceless comfortable fashion sexy lace women's panties")</f>
        <v>Traceless comfortable fashion sexy lace women's panties</v>
      </c>
      <c r="C117" s="16" t="str">
        <f>IFERROR(__xludf.DUMMYFUNCTION("""COMPUTED_VALUE"""),"https://vt.tiktok.com/ZSHvyyxneDPuM-Pm0GL/")</f>
        <v>https://vt.tiktok.com/ZSHvyyxneDPuM-Pm0GL/</v>
      </c>
      <c r="D117" s="17" t="str">
        <f>IFERROR(__xludf.DUMMYFUNCTION("""COMPUTED_VALUE"""),"FS_WM_UD_034")</f>
        <v>FS_WM_UD_034</v>
      </c>
      <c r="E117" s="12" t="str">
        <f>IFERROR(__xludf.DUMMYFUNCTION("""COMPUTED_VALUE"""),"Women's High Waist panty #womenunderwear #womenpanty")</f>
        <v>Women's High Waist panty #womenunderwear #womenpanty</v>
      </c>
      <c r="F117" s="3"/>
      <c r="G117" s="3"/>
      <c r="L117" s="8"/>
      <c r="M117" s="8"/>
      <c r="N117" s="8"/>
      <c r="O117" s="8"/>
      <c r="P117" s="8"/>
      <c r="Q117" s="8"/>
    </row>
    <row r="118" ht="63.75" spans="1:17">
      <c r="A118" s="15">
        <f>IFERROR(__xludf.DUMMYFUNCTION("""COMPUTED_VALUE"""),45952)</f>
        <v>45952</v>
      </c>
      <c r="B118" s="12" t="str">
        <f>IFERROR(__xludf.DUMMYFUNCTION("""COMPUTED_VALUE"""),"12 pieces Panty For Women Fashion Boutique Women Korean fashionable women's mid waist ")</f>
        <v>12 pieces Panty For Women Fashion Boutique Women Korean fashionable women's mid waist </v>
      </c>
      <c r="C118" s="16" t="str">
        <f>IFERROR(__xludf.DUMMYFUNCTION("""COMPUTED_VALUE"""),"https://vt.tiktok.com/ZSHvyPrqoBYC7-vlZ6F/")</f>
        <v>https://vt.tiktok.com/ZSHvyPrqoBYC7-vlZ6F/</v>
      </c>
      <c r="D118" s="17" t="str">
        <f>IFERROR(__xludf.DUMMYFUNCTION("""COMPUTED_VALUE"""),"FS_WM_UD_035")</f>
        <v>FS_WM_UD_035</v>
      </c>
      <c r="E118" s="12" t="str">
        <f>IFERROR(__xludf.DUMMYFUNCTION("""COMPUTED_VALUE"""),"Women's Cotton Underwear #womenunderwear #cottonpanty")</f>
        <v>Women's Cotton Underwear #womenunderwear #cottonpanty</v>
      </c>
      <c r="F118" s="3"/>
      <c r="G118" s="3"/>
      <c r="L118" s="8"/>
      <c r="M118" s="8"/>
      <c r="N118" s="8"/>
      <c r="O118" s="8"/>
      <c r="P118" s="8"/>
      <c r="Q118" s="8"/>
    </row>
    <row r="119" ht="63.75" spans="1:17">
      <c r="A119" s="15">
        <f>IFERROR(__xludf.DUMMYFUNCTION("""COMPUTED_VALUE"""),45952)</f>
        <v>45952</v>
      </c>
      <c r="B119" s="12" t="str">
        <f>IFERROR(__xludf.DUMMYFUNCTION("""COMPUTED_VALUE"""),"6/12 Pcs Set Cotton Panty Solid Color Seamless M-XXL Size Plus Underwear for Women C01")</f>
        <v>6/12 Pcs Set Cotton Panty Solid Color Seamless M-XXL Size Plus Underwear for Women C01</v>
      </c>
      <c r="C119" s="16" t="str">
        <f>IFERROR(__xludf.DUMMYFUNCTION("""COMPUTED_VALUE"""),"https://vt.tiktok.com/ZSHvy9wqM8s7B-YTx6i/")</f>
        <v>https://vt.tiktok.com/ZSHvy9wqM8s7B-YTx6i/</v>
      </c>
      <c r="D119" s="17" t="str">
        <f>IFERROR(__xludf.DUMMYFUNCTION("""COMPUTED_VALUE"""),"FS_WM_UD_036")</f>
        <v>FS_WM_UD_036</v>
      </c>
      <c r="E119" s="12" t="str">
        <f>IFERROR(__xludf.DUMMYFUNCTION("""COMPUTED_VALUE"""),"Women's Cotton Underwear #womenunderwear #cottonpanty")</f>
        <v>Women's Cotton Underwear #womenunderwear #cottonpanty</v>
      </c>
      <c r="F119" s="3"/>
      <c r="G119" s="3"/>
      <c r="L119" s="8"/>
      <c r="M119" s="8"/>
      <c r="N119" s="8"/>
      <c r="O119" s="8"/>
      <c r="P119" s="8"/>
      <c r="Q119" s="8"/>
    </row>
    <row r="120" ht="76.5" spans="1:17">
      <c r="A120" s="15">
        <f>IFERROR(__xludf.DUMMYFUNCTION("""COMPUTED_VALUE"""),45952)</f>
        <v>45952</v>
      </c>
      <c r="B120" s="12" t="str">
        <f>IFERROR(__xludf.DUMMYFUNCTION("""COMPUTED_VALUE"""),"Women's Cotton Boxer Briefs Fashionable and Comfortable Seamless Underwear Panty Womenswear Two Pieces")</f>
        <v>Women's Cotton Boxer Briefs Fashionable and Comfortable Seamless Underwear Panty Womenswear Two Pieces</v>
      </c>
      <c r="C120" s="16" t="str">
        <f>IFERROR(__xludf.DUMMYFUNCTION("""COMPUTED_VALUE"""),"https://vt.tiktok.com/ZSHvyQkjJnE7t-t6S3k/")</f>
        <v>https://vt.tiktok.com/ZSHvyQkjJnE7t-t6S3k/</v>
      </c>
      <c r="D120" s="17" t="str">
        <f>IFERROR(__xludf.DUMMYFUNCTION("""COMPUTED_VALUE"""),"FS_WM_UD_037")</f>
        <v>FS_WM_UD_037</v>
      </c>
      <c r="E120" s="12" t="str">
        <f>IFERROR(__xludf.DUMMYFUNCTION("""COMPUTED_VALUE"""),"Women's Cotton Underwear #womenunderwear #cottonpanty")</f>
        <v>Women's Cotton Underwear #womenunderwear #cottonpanty</v>
      </c>
      <c r="F120" s="3"/>
      <c r="G120" s="3"/>
      <c r="L120" s="8"/>
      <c r="M120" s="8"/>
      <c r="N120" s="8"/>
      <c r="O120" s="8"/>
      <c r="P120" s="8"/>
      <c r="Q120" s="8"/>
    </row>
    <row r="121" ht="63.75" spans="1:17">
      <c r="A121" s="15">
        <f>IFERROR(__xludf.DUMMYFUNCTION("""COMPUTED_VALUE"""),45954)</f>
        <v>45954</v>
      </c>
      <c r="B121" s="12" t="str">
        <f>IFERROR(__xludf.DUMMYFUNCTION("""COMPUTED_VALUE"""),"Cotton Floral Print Style Panties Fashionable High-Quality Briefs Breathable Comfortable Women's Underwear")</f>
        <v>Cotton Floral Print Style Panties Fashionable High-Quality Briefs Breathable Comfortable Women's Underwear</v>
      </c>
      <c r="C121" s="16" t="str">
        <f>IFERROR(__xludf.DUMMYFUNCTION("""COMPUTED_VALUE"""),"https://vt.tiktok.com/ZSHvQdWqnXj8B-Fy4mS/")</f>
        <v>https://vt.tiktok.com/ZSHvQdWqnXj8B-Fy4mS/</v>
      </c>
      <c r="D121" s="17" t="str">
        <f>IFERROR(__xludf.DUMMYFUNCTION("""COMPUTED_VALUE"""),"FS_WM_UD_038")</f>
        <v>FS_WM_UD_038</v>
      </c>
      <c r="E121" s="12" t="str">
        <f>IFERROR(__xludf.DUMMYFUNCTION("""COMPUTED_VALUE"""),"Women's Cotton Underwear #womenunderwear #cottonpanty")</f>
        <v>Women's Cotton Underwear #womenunderwear #cottonpanty</v>
      </c>
      <c r="F121" s="3"/>
      <c r="G121" s="3"/>
      <c r="L121" s="8"/>
      <c r="M121" s="8"/>
      <c r="N121" s="8"/>
      <c r="O121" s="8"/>
      <c r="P121" s="8"/>
      <c r="Q121" s="8"/>
    </row>
    <row r="122" ht="102" spans="1:17">
      <c r="A122" s="15">
        <f>IFERROR(__xludf.DUMMYFUNCTION("""COMPUTED_VALUE"""),45954)</f>
        <v>45954</v>
      </c>
      <c r="B122" s="12" t="str">
        <f>IFERROR(__xludf.DUMMYFUNCTION("""COMPUTED_VALUE"""),"Christmas Limited Edition Themed Underwear Seamless Briefs Wave Edge Design Pants Holiday Limit Fashion Womenswear Comfortable High Quality Lingerie XS-XL")</f>
        <v>Christmas Limited Edition Themed Underwear Seamless Briefs Wave Edge Design Pants Holiday Limit Fashion Womenswear Comfortable High Quality Lingerie XS-XL</v>
      </c>
      <c r="C122" s="16" t="str">
        <f>IFERROR(__xludf.DUMMYFUNCTION("""COMPUTED_VALUE"""),"https://vt.tiktok.com/ZSHvQNumocHF8-VevS1/")</f>
        <v>https://vt.tiktok.com/ZSHvQNumocHF8-VevS1/</v>
      </c>
      <c r="D122" s="17" t="str">
        <f>IFERROR(__xludf.DUMMYFUNCTION("""COMPUTED_VALUE"""),"FS_WM_UD_039")</f>
        <v>FS_WM_UD_039</v>
      </c>
      <c r="E122" s="12" t="str">
        <f>IFERROR(__xludf.DUMMYFUNCTION("""COMPUTED_VALUE"""),"Christmas Panty #womenunderwear #christmasgift")</f>
        <v>Christmas Panty #womenunderwear #christmasgift</v>
      </c>
      <c r="F122" s="3"/>
      <c r="G122" s="3"/>
      <c r="L122" s="8"/>
      <c r="M122" s="8"/>
      <c r="N122" s="8"/>
      <c r="O122" s="8"/>
      <c r="P122" s="8"/>
      <c r="Q122" s="8"/>
    </row>
    <row r="123" ht="89.25" spans="1:17">
      <c r="A123" s="15">
        <f>IFERROR(__xludf.DUMMYFUNCTION("""COMPUTED_VALUE"""),45955)</f>
        <v>45955</v>
      </c>
      <c r="B123" s="12" t="str">
        <f>IFERROR(__xludf.DUMMYFUNCTION("""COMPUTED_VALUE"""),"100A Antibacterial Lactic Acid Pants High Stretch, Comfortable and Breathable Mid Rise Women's Briefs, Chocolate Gift Box Panties")</f>
        <v>100A Antibacterial Lactic Acid Pants High Stretch, Comfortable and Breathable Mid Rise Women's Briefs, Chocolate Gift Box Panties</v>
      </c>
      <c r="C123" s="16" t="str">
        <f>IFERROR(__xludf.DUMMYFUNCTION("""COMPUTED_VALUE"""),"https://vt.tiktok.com/ZSHv4AUgHTJST-3YVdb/")</f>
        <v>https://vt.tiktok.com/ZSHv4AUgHTJST-3YVdb/</v>
      </c>
      <c r="D123" s="17" t="str">
        <f>IFERROR(__xludf.DUMMYFUNCTION("""COMPUTED_VALUE"""),"FS_WM_UD_040")</f>
        <v>FS_WM_UD_040</v>
      </c>
      <c r="E123" s="12" t="str">
        <f>IFERROR(__xludf.DUMMYFUNCTION("""COMPUTED_VALUE"""),"Chocolate Gift Box Underwear #womenunderwear #gift")</f>
        <v>Chocolate Gift Box Underwear #womenunderwear #gift</v>
      </c>
      <c r="F123" s="3"/>
      <c r="G123" s="3"/>
      <c r="L123" s="8"/>
      <c r="M123" s="8"/>
      <c r="N123" s="8"/>
      <c r="O123" s="8"/>
      <c r="P123" s="8"/>
      <c r="Q123" s="8"/>
    </row>
    <row r="124" ht="63.75" spans="1:17">
      <c r="A124" s="15">
        <f>IFERROR(__xludf.DUMMYFUNCTION("""COMPUTED_VALUE"""),45955)</f>
        <v>45955</v>
      </c>
      <c r="B124" s="12" t="str">
        <f>IFERROR(__xludf.DUMMYFUNCTION("""COMPUTED_VALUE"""),"6pcs Seamless cotton underwear for girls pure cotton, antibacterial, full cotton, medium-high waist")</f>
        <v>6pcs Seamless cotton underwear for girls pure cotton, antibacterial, full cotton, medium-high waist</v>
      </c>
      <c r="C124" s="16" t="str">
        <f>IFERROR(__xludf.DUMMYFUNCTION("""COMPUTED_VALUE"""),"https://vt.tiktok.com/ZSHvVpjb757MA-sRvLs/")</f>
        <v>https://vt.tiktok.com/ZSHvVpjb757MA-sRvLs/</v>
      </c>
      <c r="D124" s="17" t="str">
        <f>IFERROR(__xludf.DUMMYFUNCTION("""COMPUTED_VALUE"""),"FS_WM_UD_042")</f>
        <v>FS_WM_UD_042</v>
      </c>
      <c r="E124" s="12" t="str">
        <f>IFERROR(__xludf.DUMMYFUNCTION("""COMPUTED_VALUE"""),"Women's Cotton Underwear #womenunderwear #cottonpanty")</f>
        <v>Women's Cotton Underwear #womenunderwear #cottonpanty</v>
      </c>
      <c r="F124" s="3"/>
      <c r="G124" s="3"/>
      <c r="L124" s="8"/>
      <c r="M124" s="8"/>
      <c r="N124" s="8"/>
      <c r="O124" s="8"/>
      <c r="P124" s="8"/>
      <c r="Q124" s="8"/>
    </row>
    <row r="125" ht="102" spans="1:17">
      <c r="A125" s="15">
        <f>IFERROR(__xludf.DUMMYFUNCTION("""COMPUTED_VALUE"""),45957)</f>
        <v>45957</v>
      </c>
      <c r="B125" s="12" t="str">
        <f>IFERROR(__xludf.DUMMYFUNCTION("""COMPUTED_VALUE"""),"COD 12/6PCS set Women's underwear High quality ice silk Fabric panties Random Colors breathable seamless panty for Women Bridal Womenswear Soft Fit Aesthetic Style")</f>
        <v>COD 12/6PCS set Women's underwear High quality ice silk Fabric panties Random Colors breathable seamless panty for Women Bridal Womenswear Soft Fit Aesthetic Style</v>
      </c>
      <c r="C125" s="16" t="str">
        <f>IFERROR(__xludf.DUMMYFUNCTION("""COMPUTED_VALUE"""),"https://vt.tiktok.com/ZSHvW4xnNbWcN-eiI2u/")</f>
        <v>https://vt.tiktok.com/ZSHvW4xnNbWcN-eiI2u/</v>
      </c>
      <c r="D125" s="17" t="str">
        <f>IFERROR(__xludf.DUMMYFUNCTION("""COMPUTED_VALUE"""),"FS_WM_UD_043")</f>
        <v>FS_WM_UD_043</v>
      </c>
      <c r="E125" s="12" t="str">
        <f>IFERROR(__xludf.DUMMYFUNCTION("""COMPUTED_VALUE"""),"Women's Ice Silk Seamless Panty #seamlesspanty #womenunderwear")</f>
        <v>Women's Ice Silk Seamless Panty #seamlesspanty #womenunderwear</v>
      </c>
      <c r="F125" s="3"/>
      <c r="G125" s="3"/>
      <c r="L125" s="8"/>
      <c r="M125" s="8"/>
      <c r="N125" s="8"/>
      <c r="O125" s="8"/>
      <c r="P125" s="8"/>
      <c r="Q125" s="8"/>
    </row>
    <row r="126" ht="127.5" spans="1:17">
      <c r="A126" s="15">
        <f>IFERROR(__xludf.DUMMYFUNCTION("""COMPUTED_VALUE"""),45957)</f>
        <v>45957</v>
      </c>
      <c r="B126" s="12" t="str">
        <f>IFERROR(__xludf.DUMMYFUNCTION("""COMPUTED_VALUE"""),"COD 12pcs Ladies Panty Seamless ice silk Underwear 6piece Panties For Women high quality Antibacterial cotton crotch Briefs Bridal Basic Minimalist Womenswear Innerwear Assorted Random Color Lingerie")</f>
        <v>COD 12pcs Ladies Panty Seamless ice silk Underwear 6piece Panties For Women high quality Antibacterial cotton crotch Briefs Bridal Basic Minimalist Womenswear Innerwear Assorted Random Color Lingerie</v>
      </c>
      <c r="C126" s="16" t="str">
        <f>IFERROR(__xludf.DUMMYFUNCTION("""COMPUTED_VALUE"""),"https://vt.tiktok.com/ZSHvWV73WPLv1-CBOGO/")</f>
        <v>https://vt.tiktok.com/ZSHvWV73WPLv1-CBOGO/</v>
      </c>
      <c r="D126" s="17" t="str">
        <f>IFERROR(__xludf.DUMMYFUNCTION("""COMPUTED_VALUE"""),"FS_WM_UD_044")</f>
        <v>FS_WM_UD_044</v>
      </c>
      <c r="E126" s="12" t="str">
        <f>IFERROR(__xludf.DUMMYFUNCTION("""COMPUTED_VALUE"""),"Women's Ice Silk Seamless Panty #seamlesspanty #womenunderwear")</f>
        <v>Women's Ice Silk Seamless Panty #seamlesspanty #womenunderwear</v>
      </c>
      <c r="F126" s="3"/>
      <c r="G126" s="3"/>
      <c r="L126" s="8"/>
      <c r="M126" s="8"/>
      <c r="N126" s="8"/>
      <c r="O126" s="8"/>
      <c r="P126" s="8"/>
      <c r="Q126" s="8"/>
    </row>
    <row r="127" ht="76.5" spans="1:17">
      <c r="A127" s="15">
        <f>IFERROR(__xludf.DUMMYFUNCTION("""COMPUTED_VALUE"""),45963)</f>
        <v>45963</v>
      </c>
      <c r="B127" s="12" t="str">
        <f>IFERROR(__xludf.DUMMYFUNCTION("""COMPUTED_VALUE"""),"5PCS/1 Box Antibacterial Hip Lifting Stretch Panty Bow Design Panties Seamless Panty for Women")</f>
        <v>5PCS/1 Box Antibacterial Hip Lifting Stretch Panty Bow Design Panties Seamless Panty for Women</v>
      </c>
      <c r="C127" s="16" t="str">
        <f>IFERROR(__xludf.DUMMYFUNCTION("""COMPUTED_VALUE"""),"https://vt.tiktok.com/ZSHcBkut8oD4s-Gknv1/")</f>
        <v>https://vt.tiktok.com/ZSHcBkut8oD4s-Gknv1/</v>
      </c>
      <c r="D127" s="17" t="str">
        <f>IFERROR(__xludf.DUMMYFUNCTION("""COMPUTED_VALUE"""),"FS_WM_UD_045")</f>
        <v>FS_WM_UD_045</v>
      </c>
      <c r="E127" s="12" t="str">
        <f>IFERROR(__xludf.DUMMYFUNCTION("""COMPUTED_VALUE"""),"Women's Cotton Underwear #womenunderwear #cottonpanty")</f>
        <v>Women's Cotton Underwear #womenunderwear #cottonpanty</v>
      </c>
      <c r="F127" s="3"/>
      <c r="G127" s="3"/>
      <c r="L127" s="8"/>
      <c r="M127" s="8"/>
      <c r="N127" s="8"/>
      <c r="O127" s="8"/>
      <c r="P127" s="8"/>
      <c r="Q127" s="8"/>
    </row>
    <row r="128" ht="127.5" spans="1:17">
      <c r="A128" s="15">
        <f>IFERROR(__xludf.DUMMYFUNCTION("""COMPUTED_VALUE"""),45963)</f>
        <v>45963</v>
      </c>
      <c r="B128" s="12" t="str">
        <f>IFERROR(__xludf.DUMMYFUNCTION("""COMPUTED_VALUE"""),"Women's Set Of 6PCS/12PCS Briefs Panties Cute Girl's Students Panty Comfort Underwears Seamless Breathable Pure Cotton Lingerie Ladies Underpants Womenswear Light Innerwear")</f>
        <v>Women's Set Of 6PCS/12PCS Briefs Panties Cute Girl's Students Panty Comfort Underwears Seamless Breathable Pure Cotton Lingerie Ladies Underpants Womenswear Light Innerwear</v>
      </c>
      <c r="C128" s="16" t="str">
        <f>IFERROR(__xludf.DUMMYFUNCTION("""COMPUTED_VALUE"""),"https://vt.tiktok.com/ZSHcBkKrUMxYT-kwzd5/")</f>
        <v>https://vt.tiktok.com/ZSHcBkKrUMxYT-kwzd5/</v>
      </c>
      <c r="D128" s="17" t="str">
        <f>IFERROR(__xludf.DUMMYFUNCTION("""COMPUTED_VALUE"""),"FS_WM_UD_046")</f>
        <v>FS_WM_UD_046</v>
      </c>
      <c r="E128" s="12" t="str">
        <f>IFERROR(__xludf.DUMMYFUNCTION("""COMPUTED_VALUE"""),"Women's Cotton Underwear #womenunderwear #cottonpanty")</f>
        <v>Women's Cotton Underwear #womenunderwear #cottonpanty</v>
      </c>
      <c r="F128" s="3"/>
      <c r="G128" s="3"/>
      <c r="L128" s="8"/>
      <c r="M128" s="8"/>
      <c r="N128" s="8"/>
      <c r="O128" s="8"/>
      <c r="P128" s="8"/>
      <c r="Q128" s="8"/>
    </row>
    <row r="129" ht="51" spans="1:17">
      <c r="A129" s="15">
        <f>IFERROR(__xludf.DUMMYFUNCTION("""COMPUTED_VALUE"""),45969)</f>
        <v>45969</v>
      </c>
      <c r="B129" s="12" t="str">
        <f>IFERROR(__xludf.DUMMYFUNCTION("""COMPUTED_VALUE"""),"MICHI BOYLEG PANTY SHORTS UNDIES Womenswear")</f>
        <v>MICHI BOYLEG PANTY SHORTS UNDIES Womenswear</v>
      </c>
      <c r="C129" s="16" t="str">
        <f>IFERROR(__xludf.DUMMYFUNCTION("""COMPUTED_VALUE"""),"vt.tiktok.com/ZSHctuG8ugvr3-aDiFB/")</f>
        <v>vt.tiktok.com/ZSHctuG8ugvr3-aDiFB/</v>
      </c>
      <c r="D129" s="17" t="str">
        <f>IFERROR(__xludf.DUMMYFUNCTION("""COMPUTED_VALUE"""),"FS_WM_UD_047")</f>
        <v>FS_WM_UD_047</v>
      </c>
      <c r="E129" s="12" t="str">
        <f>IFERROR(__xludf.DUMMYFUNCTION("""COMPUTED_VALUE"""),"Women's Boyleg panty #womenboxer #womenpant")</f>
        <v>Women's Boyleg panty #womenboxer #womenpant</v>
      </c>
      <c r="F129" s="3"/>
      <c r="G129" s="3"/>
      <c r="L129" s="8"/>
      <c r="M129" s="8"/>
      <c r="N129" s="8"/>
      <c r="O129" s="8"/>
      <c r="P129" s="8"/>
      <c r="Q129" s="8"/>
    </row>
    <row r="130" ht="76.5" spans="1:17">
      <c r="A130" s="15">
        <f>IFERROR(__xludf.DUMMYFUNCTION("""COMPUTED_VALUE"""),45969)</f>
        <v>45969</v>
      </c>
      <c r="B130" s="12" t="str">
        <f>IFERROR(__xludf.DUMMYFUNCTION("""COMPUTED_VALUE"""),"10A Antibacterial Long-staple Cotton Women's Pure Cotton Underwear Plus Size Seamless High Waist Extended Crotch Boxer Briefs")</f>
        <v>10A Antibacterial Long-staple Cotton Women's Pure Cotton Underwear Plus Size Seamless High Waist Extended Crotch Boxer Briefs</v>
      </c>
      <c r="C130" s="16" t="str">
        <f>IFERROR(__xludf.DUMMYFUNCTION("""COMPUTED_VALUE"""),"https://vt.tiktok.com/ZSHctHq5w5m5q-ahkRM/")</f>
        <v>https://vt.tiktok.com/ZSHctHq5w5m5q-ahkRM/</v>
      </c>
      <c r="D130" s="17" t="str">
        <f>IFERROR(__xludf.DUMMYFUNCTION("""COMPUTED_VALUE"""),"FS_WM_UD_048")</f>
        <v>FS_WM_UD_048</v>
      </c>
      <c r="E130" s="12" t="str">
        <f>IFERROR(__xludf.DUMMYFUNCTION("""COMPUTED_VALUE"""),"Women's High Waist panty #womenunderwear #womenpanty")</f>
        <v>Women's High Waist panty #womenunderwear #womenpanty</v>
      </c>
      <c r="F130" s="3"/>
      <c r="G130" s="3"/>
      <c r="L130" s="8"/>
      <c r="M130" s="8"/>
      <c r="N130" s="8"/>
      <c r="O130" s="8"/>
      <c r="P130" s="8"/>
      <c r="Q130" s="8"/>
    </row>
    <row r="131" ht="51" spans="1:17">
      <c r="A131" s="15">
        <f>IFERROR(__xludf.DUMMYFUNCTION("""COMPUTED_VALUE"""),45969)</f>
        <v>45969</v>
      </c>
      <c r="B131" s="12" t="str">
        <f>IFERROR(__xludf.DUMMYFUNCTION("""COMPUTED_VALUE"""),"BUY 2 TAKE 1 FINETOO Cotton Boxer Panties Low-Waist Comfotable Underwear ")</f>
        <v>BUY 2 TAKE 1 FINETOO Cotton Boxer Panties Low-Waist Comfotable Underwear </v>
      </c>
      <c r="C131" s="16" t="str">
        <f>IFERROR(__xludf.DUMMYFUNCTION("""COMPUTED_VALUE"""),"vt.tiktok.com/ZSHct9en1VjSj-gjtmo/")</f>
        <v>vt.tiktok.com/ZSHct9en1VjSj-gjtmo/</v>
      </c>
      <c r="D131" s="17" t="str">
        <f>IFERROR(__xludf.DUMMYFUNCTION("""COMPUTED_VALUE"""),"FS_WM_UD_049")</f>
        <v>FS_WM_UD_049</v>
      </c>
      <c r="E131" s="12" t="str">
        <f>IFERROR(__xludf.DUMMYFUNCTION("""COMPUTED_VALUE"""),"Finetoo Women's High Waist panty #womenunderwear #finetoo")</f>
        <v>Finetoo Women's High Waist panty #womenunderwear #finetoo</v>
      </c>
      <c r="F131" s="3"/>
      <c r="G131" s="3"/>
      <c r="L131" s="8"/>
      <c r="M131" s="8"/>
      <c r="N131" s="8"/>
      <c r="O131" s="8"/>
      <c r="P131" s="8"/>
      <c r="Q131" s="8"/>
    </row>
    <row r="132" ht="38.25" spans="1:17">
      <c r="A132" s="15">
        <f>IFERROR(__xludf.DUMMYFUNCTION("""COMPUTED_VALUE"""),45969)</f>
        <v>45969</v>
      </c>
      <c r="B132" s="12" t="str">
        <f>IFERROR(__xludf.DUMMYFUNCTION("""COMPUTED_VALUE"""),"FINETOO Fashion Boxer Underwear Sexy Lace Panties ")</f>
        <v>FINETOO Fashion Boxer Underwear Sexy Lace Panties </v>
      </c>
      <c r="C132" s="16" t="str">
        <f>IFERROR(__xludf.DUMMYFUNCTION("""COMPUTED_VALUE"""),"https://vt.tiktok.com/ZSHct9Pdasvyg-MDbDW/")</f>
        <v>https://vt.tiktok.com/ZSHct9Pdasvyg-MDbDW/</v>
      </c>
      <c r="D132" s="17" t="str">
        <f>IFERROR(__xludf.DUMMYFUNCTION("""COMPUTED_VALUE"""),"FS_WM_UD_050")</f>
        <v>FS_WM_UD_050</v>
      </c>
      <c r="E132" s="12" t="str">
        <f>IFERROR(__xludf.DUMMYFUNCTION("""COMPUTED_VALUE"""),"FINETOO Lace Boxer #finetoo #womenboxer")</f>
        <v>FINETOO Lace Boxer #finetoo #womenboxer</v>
      </c>
      <c r="F132" s="3"/>
      <c r="G132" s="3"/>
      <c r="L132" s="8"/>
      <c r="M132" s="8"/>
      <c r="N132" s="8"/>
      <c r="O132" s="8"/>
      <c r="P132" s="8"/>
      <c r="Q132" s="8"/>
    </row>
    <row r="133" ht="89.25" spans="1:17">
      <c r="A133" s="15">
        <f>IFERROR(__xludf.DUMMYFUNCTION("""COMPUTED_VALUE"""),45969)</f>
        <v>45969</v>
      </c>
      <c r="B133" s="12" t="str">
        <f>IFERROR(__xludf.DUMMYFUNCTION("""COMPUTED_VALUE"""),"FINETOO S-3XL Women High Waist Panties Seamless Underwear Comfortable Panty Ladies Soft Briefs High-Rise Panties Female Panty Lingerie")</f>
        <v>FINETOO S-3XL Women High Waist Panties Seamless Underwear Comfortable Panty Ladies Soft Briefs High-Rise Panties Female Panty Lingerie</v>
      </c>
      <c r="C133" s="16" t="str">
        <f>IFERROR(__xludf.DUMMYFUNCTION("""COMPUTED_VALUE"""),"vt.tiktok.com/ZSHct9t3QcPY3-q21go/")</f>
        <v>vt.tiktok.com/ZSHct9t3QcPY3-q21go/</v>
      </c>
      <c r="D133" s="17" t="str">
        <f>IFERROR(__xludf.DUMMYFUNCTION("""COMPUTED_VALUE"""),"FS_WM_UD_051")</f>
        <v>FS_WM_UD_051</v>
      </c>
      <c r="E133" s="12" t="str">
        <f>IFERROR(__xludf.DUMMYFUNCTION("""COMPUTED_VALUE"""),"FINETOO High Waist Underwear #finetoo #highwaistunderwear")</f>
        <v>FINETOO High Waist Underwear #finetoo #highwaistunderwear</v>
      </c>
      <c r="F133" s="3"/>
      <c r="G133" s="3"/>
      <c r="L133" s="8"/>
      <c r="M133" s="8"/>
      <c r="N133" s="8"/>
      <c r="O133" s="8"/>
      <c r="P133" s="8"/>
      <c r="Q133" s="8"/>
    </row>
    <row r="134" ht="51" spans="1:17">
      <c r="A134" s="15">
        <f>IFERROR(__xludf.DUMMYFUNCTION("""COMPUTED_VALUE"""),45969)</f>
        <v>45969</v>
      </c>
      <c r="B134" s="12" t="str">
        <f>IFERROR(__xludf.DUMMYFUNCTION("""COMPUTED_VALUE"""),"BUY 5 GET 1 SORELLA hipster panty pack AH3 nude neutral colors Cotton")</f>
        <v>BUY 5 GET 1 SORELLA hipster panty pack AH3 nude neutral colors Cotton</v>
      </c>
      <c r="C134" s="16" t="str">
        <f>IFERROR(__xludf.DUMMYFUNCTION("""COMPUTED_VALUE"""),"https://vt.tiktok.com/ZSHctQjw23DvS-mOJjn/")</f>
        <v>https://vt.tiktok.com/ZSHctQjw23DvS-mOJjn/</v>
      </c>
      <c r="D134" s="17" t="str">
        <f>IFERROR(__xludf.DUMMYFUNCTION("""COMPUTED_VALUE"""),"FS_WM_UD_052")</f>
        <v>FS_WM_UD_052</v>
      </c>
      <c r="E134" s="12" t="str">
        <f>IFERROR(__xludf.DUMMYFUNCTION("""COMPUTED_VALUE"""),"SORELLA Underwear #womenunderwear #sorellaunderwear")</f>
        <v>SORELLA Underwear #womenunderwear #sorellaunderwear</v>
      </c>
      <c r="F134" s="3"/>
      <c r="G134" s="3"/>
      <c r="L134" s="8"/>
      <c r="M134" s="8"/>
      <c r="N134" s="8"/>
      <c r="O134" s="8"/>
      <c r="P134" s="8"/>
      <c r="Q134" s="8"/>
    </row>
    <row r="135" ht="76.5" spans="1:17">
      <c r="A135" s="15">
        <f>IFERROR(__xludf.DUMMYFUNCTION("""COMPUTED_VALUE"""),45969)</f>
        <v>45969</v>
      </c>
      <c r="B135" s="12" t="str">
        <f>IFERROR(__xludf.DUMMYFUNCTION("""COMPUTED_VALUE"""),"3pcs/set CactiKeno women's panties cotton underwear high quality girls panties fashion stretch underwear M L XL Womenswear Original")</f>
        <v>3pcs/set CactiKeno women's panties cotton underwear high quality girls panties fashion stretch underwear M L XL Womenswear Original</v>
      </c>
      <c r="C135" s="16" t="str">
        <f>IFERROR(__xludf.DUMMYFUNCTION("""COMPUTED_VALUE"""),"vt.tiktok.com/ZSHctQsDwurmC-uWqoR/")</f>
        <v>vt.tiktok.com/ZSHctQsDwurmC-uWqoR/</v>
      </c>
      <c r="D135" s="17" t="str">
        <f>IFERROR(__xludf.DUMMYFUNCTION("""COMPUTED_VALUE"""),"FS_WM_UD_053")</f>
        <v>FS_WM_UD_053</v>
      </c>
      <c r="E135" s="12" t="str">
        <f>IFERROR(__xludf.DUMMYFUNCTION("""COMPUTED_VALUE"""),"CactiKeno Women's Underwear #womenunderwear #cactikeno")</f>
        <v>CactiKeno Women's Underwear #womenunderwear #cactikeno</v>
      </c>
      <c r="F135" s="3"/>
      <c r="G135" s="3"/>
      <c r="L135" s="8"/>
      <c r="M135" s="8"/>
      <c r="N135" s="8"/>
      <c r="O135" s="8"/>
      <c r="P135" s="8"/>
      <c r="Q135" s="8"/>
    </row>
    <row r="136" ht="89.25" spans="1:17">
      <c r="A136" s="15">
        <f>IFERROR(__xludf.DUMMYFUNCTION("""COMPUTED_VALUE"""),45969)</f>
        <v>45969</v>
      </c>
      <c r="B136" s="12" t="str">
        <f>IFERROR(__xludf.DUMMYFUNCTION("""COMPUTED_VALUE"""),"STAY YOUNG #PTS538 High Waist Panties for Women - Basic, Sexy, and Comfortable Underwear - Womenswear, Shapewear")</f>
        <v>STAY YOUNG #PTS538 High Waist Panties for Women - Basic, Sexy, and Comfortable Underwear - Womenswear, Shapewear</v>
      </c>
      <c r="C136" s="16" t="str">
        <f>IFERROR(__xludf.DUMMYFUNCTION("""COMPUTED_VALUE"""),"vt.tiktok.com/ZSHct4HfwCghm-fmzX8/")</f>
        <v>vt.tiktok.com/ZSHct4HfwCghm-fmzX8/</v>
      </c>
      <c r="D136" s="17" t="str">
        <f>IFERROR(__xludf.DUMMYFUNCTION("""COMPUTED_VALUE"""),"FS_WM_UD_054")</f>
        <v>FS_WM_UD_054</v>
      </c>
      <c r="E136" s="12" t="str">
        <f>IFERROR(__xludf.DUMMYFUNCTION("""COMPUTED_VALUE"""),"Women's High Waist panty #womenunderwear #womenpanty")</f>
        <v>Women's High Waist panty #womenunderwear #womenpanty</v>
      </c>
      <c r="F136" s="3"/>
      <c r="G136" s="3"/>
      <c r="L136" s="8"/>
      <c r="M136" s="8"/>
      <c r="N136" s="8"/>
      <c r="O136" s="8"/>
      <c r="P136" s="8"/>
      <c r="Q136" s="8"/>
    </row>
    <row r="137" ht="63.75" spans="1:17">
      <c r="A137" s="15">
        <f>IFERROR(__xludf.DUMMYFUNCTION("""COMPUTED_VALUE"""),45969)</f>
        <v>45969</v>
      </c>
      <c r="B137" s="12" t="str">
        <f>IFERROR(__xludf.DUMMYFUNCTION("""COMPUTED_VALUE"""),"NEW ARRIVAL TRENDY BOYLEG PANTY FOR ADULT SIZE SMALL-2XL(3 FOR 117/6pcs for 234) Cotton")</f>
        <v>NEW ARRIVAL TRENDY BOYLEG PANTY FOR ADULT SIZE SMALL-2XL(3 FOR 117/6pcs for 234) Cotton</v>
      </c>
      <c r="C137" s="16" t="str">
        <f>IFERROR(__xludf.DUMMYFUNCTION("""COMPUTED_VALUE"""),"https://vt.tiktok.com/ZSHctVsJK4C4W-yqaGE/")</f>
        <v>https://vt.tiktok.com/ZSHctVsJK4C4W-yqaGE/</v>
      </c>
      <c r="D137" s="17" t="str">
        <f>IFERROR(__xludf.DUMMYFUNCTION("""COMPUTED_VALUE"""),"FS_WM_UD_055")</f>
        <v>FS_WM_UD_055</v>
      </c>
      <c r="E137" s="12" t="str">
        <f>IFERROR(__xludf.DUMMYFUNCTION("""COMPUTED_VALUE"""),"Women's Boyleg panty #womenboxer #womenpant")</f>
        <v>Women's Boyleg panty #womenboxer #womenpant</v>
      </c>
      <c r="F137" s="3"/>
      <c r="G137" s="3"/>
      <c r="L137" s="8"/>
      <c r="M137" s="8"/>
      <c r="N137" s="8"/>
      <c r="O137" s="8"/>
      <c r="P137" s="8"/>
      <c r="Q137" s="8"/>
    </row>
    <row r="138" ht="89.25" spans="1:17">
      <c r="A138" s="15">
        <f>IFERROR(__xludf.DUMMYFUNCTION("""COMPUTED_VALUE"""),45969)</f>
        <v>45969</v>
      </c>
      <c r="B138" s="12" t="str">
        <f>IFERROR(__xludf.DUMMYFUNCTION("""COMPUTED_VALUE"""),"Babae Ultra Malambot na Cotton Shorts Fashion Breathable Briefs Walk Out Fitness Underwear Girl Malawak na Edge Sports Flat Corner Shorts")</f>
        <v>Babae Ultra Malambot na Cotton Shorts Fashion Breathable Briefs Walk Out Fitness Underwear Girl Malawak na Edge Sports Flat Corner Shorts</v>
      </c>
      <c r="C138" s="16" t="str">
        <f>IFERROR(__xludf.DUMMYFUNCTION("""COMPUTED_VALUE"""),"https://vt.tiktok.com/ZSHctqFGKrVod-ao81l/")</f>
        <v>https://vt.tiktok.com/ZSHctqFGKrVod-ao81l/</v>
      </c>
      <c r="D138" s="17" t="str">
        <f>IFERROR(__xludf.DUMMYFUNCTION("""COMPUTED_VALUE"""),"FS_WM_UD_056")</f>
        <v>FS_WM_UD_056</v>
      </c>
      <c r="E138" s="12" t="str">
        <f>IFERROR(__xludf.DUMMYFUNCTION("""COMPUTED_VALUE"""),"Women's Boyleg panty #womenboxer #womenpant")</f>
        <v>Women's Boyleg panty #womenboxer #womenpant</v>
      </c>
      <c r="F138" s="3"/>
      <c r="G138" s="3"/>
      <c r="L138" s="8"/>
      <c r="M138" s="8"/>
      <c r="N138" s="8"/>
      <c r="O138" s="8"/>
      <c r="P138" s="8"/>
      <c r="Q138" s="8"/>
    </row>
    <row r="139" ht="76.5" spans="1:17">
      <c r="A139" s="15">
        <f>IFERROR(__xludf.DUMMYFUNCTION("""COMPUTED_VALUE"""),45973)</f>
        <v>45973</v>
      </c>
      <c r="B139" s="12" t="str">
        <f>IFERROR(__xludf.DUMMYFUNCTION("""COMPUTED_VALUE"""),"FINETOO Cotton Panties Low-Rise Bikini Underwear Women Letter Belt Underpants Ladies Comfortable Briefs Female Panties")</f>
        <v>FINETOO Cotton Panties Low-Rise Bikini Underwear Women Letter Belt Underpants Ladies Comfortable Briefs Female Panties</v>
      </c>
      <c r="C139" s="16" t="str">
        <f>IFERROR(__xludf.DUMMYFUNCTION("""COMPUTED_VALUE"""),"vt.tiktok.com/ZSH3LcdpupTF8-T7uGn/")</f>
        <v>vt.tiktok.com/ZSH3LcdpupTF8-T7uGn/</v>
      </c>
      <c r="D139" s="17" t="str">
        <f>IFERROR(__xludf.DUMMYFUNCTION("""COMPUTED_VALUE"""),"FS_WM_UD_057")</f>
        <v>FS_WM_UD_057</v>
      </c>
      <c r="E139" s="12" t="str">
        <f>IFERROR(__xludf.DUMMYFUNCTION("""COMPUTED_VALUE"""),"FINETOO Women's Underwear #finetoo #womenunderwear ")</f>
        <v>FINETOO Women's Underwear #finetoo #womenunderwear </v>
      </c>
      <c r="F139" s="3"/>
      <c r="G139" s="3"/>
      <c r="L139" s="8"/>
      <c r="M139" s="8"/>
      <c r="N139" s="8"/>
      <c r="O139" s="8"/>
      <c r="P139" s="8"/>
      <c r="Q139" s="8"/>
    </row>
    <row r="140" ht="102" spans="1:17">
      <c r="A140" s="15">
        <f>IFERROR(__xludf.DUMMYFUNCTION("""COMPUTED_VALUE"""),45973)</f>
        <v>45973</v>
      </c>
      <c r="B140" s="12" t="str">
        <f>IFERROR(__xludf.DUMMYFUNCTION("""COMPUTED_VALUE"""),"FINETOO 1pc Low Waist Seamless Panties Sexy Female Briefs Ice Silk Panties Seamless Underwear Hip Lift Underpants Webbing Lingerie
5 Colors")</f>
        <v>FINETOO 1pc Low Waist Seamless Panties Sexy Female Briefs Ice Silk Panties Seamless Underwear Hip Lift Underpants Webbing Lingerie
5 Colors</v>
      </c>
      <c r="C140" s="16" t="str">
        <f>IFERROR(__xludf.DUMMYFUNCTION("""COMPUTED_VALUE"""),"vt.tiktok.com/ZSH3LcgSdghc7-0Pxgh/")</f>
        <v>vt.tiktok.com/ZSH3LcgSdghc7-0Pxgh/</v>
      </c>
      <c r="D140" s="17" t="str">
        <f>IFERROR(__xludf.DUMMYFUNCTION("""COMPUTED_VALUE"""),"FS_WM_UD_058")</f>
        <v>FS_WM_UD_058</v>
      </c>
      <c r="E140" s="12" t="str">
        <f>IFERROR(__xludf.DUMMYFUNCTION("""COMPUTED_VALUE"""),"FINETOO Women's Underwear #finetoo #womenunderwear ")</f>
        <v>FINETOO Women's Underwear #finetoo #womenunderwear </v>
      </c>
      <c r="F140" s="3"/>
      <c r="G140" s="3"/>
      <c r="L140" s="8"/>
      <c r="M140" s="8"/>
      <c r="N140" s="8"/>
      <c r="O140" s="8"/>
      <c r="P140" s="8"/>
      <c r="Q140" s="8"/>
    </row>
    <row r="141" ht="63.75" spans="1:17">
      <c r="A141" s="15">
        <f>IFERROR(__xludf.DUMMYFUNCTION("""COMPUTED_VALUE"""),45973)</f>
        <v>45973</v>
      </c>
      <c r="B141" s="12" t="str">
        <f>IFERROR(__xludf.DUMMYFUNCTION("""COMPUTED_VALUE"""),"Caden Komore brand CK women's boxer cotton underwear, high quality, breathable and comfortable")</f>
        <v>Caden Komore brand CK women's boxer cotton underwear, high quality, breathable and comfortable</v>
      </c>
      <c r="C141" s="16" t="str">
        <f>IFERROR(__xludf.DUMMYFUNCTION("""COMPUTED_VALUE"""),"https://vt.tiktok.com/ZSH7NBpQbDSxX-f19tn/")</f>
        <v>https://vt.tiktok.com/ZSH7NBpQbDSxX-f19tn/</v>
      </c>
      <c r="D141" s="17" t="str">
        <f>IFERROR(__xludf.DUMMYFUNCTION("""COMPUTED_VALUE"""),"FS_WM_UD_059")</f>
        <v>FS_WM_UD_059</v>
      </c>
      <c r="E141" s="12" t="str">
        <f>IFERROR(__xludf.DUMMYFUNCTION("""COMPUTED_VALUE"""),"Caden Komore Women's Boyleg panty #womenboxer #womenpant")</f>
        <v>Caden Komore Women's Boyleg panty #womenboxer #womenpant</v>
      </c>
      <c r="F141" s="3"/>
      <c r="G141" s="3"/>
      <c r="L141" s="8"/>
      <c r="M141" s="8"/>
      <c r="N141" s="8"/>
      <c r="O141" s="8"/>
      <c r="P141" s="8"/>
      <c r="Q141" s="8"/>
    </row>
    <row r="142" ht="51" spans="1:17">
      <c r="A142" s="15">
        <f>IFERROR(__xludf.DUMMYFUNCTION("""COMPUTED_VALUE"""),45980)</f>
        <v>45980</v>
      </c>
      <c r="B142" s="12" t="str">
        <f>IFERROR(__xludf.DUMMYFUNCTION("""COMPUTED_VALUE"""),"10pcs &amp; 5pcs High Waist Panty Assorted Colors Elastic Stretch Plain")</f>
        <v>10pcs &amp; 5pcs High Waist Panty Assorted Colors Elastic Stretch Plain</v>
      </c>
      <c r="C142" s="16" t="str">
        <f>IFERROR(__xludf.DUMMYFUNCTION("""COMPUTED_VALUE"""),"vt.tiktok.com/ZSH3qg6eL4Mea-sJG93/")</f>
        <v>vt.tiktok.com/ZSH3qg6eL4Mea-sJG93/</v>
      </c>
      <c r="D142" s="17" t="str">
        <f>IFERROR(__xludf.DUMMYFUNCTION("""COMPUTED_VALUE"""),"FS_WM_UD_060")</f>
        <v>FS_WM_UD_060</v>
      </c>
      <c r="E142" s="12" t="str">
        <f>IFERROR(__xludf.DUMMYFUNCTION("""COMPUTED_VALUE"""),"Women's High Waist panty #womenunderwear #womenpanty")</f>
        <v>Women's High Waist panty #womenunderwear #womenpanty</v>
      </c>
      <c r="F142" s="3"/>
      <c r="G142" s="3"/>
      <c r="L142" s="8"/>
      <c r="M142" s="8"/>
      <c r="N142" s="8"/>
      <c r="O142" s="8"/>
      <c r="P142" s="8"/>
      <c r="Q142" s="8"/>
    </row>
    <row r="143" ht="63.75" spans="1:17">
      <c r="A143" s="15">
        <f>IFERROR(__xludf.DUMMYFUNCTION("""COMPUTED_VALUE"""),45980)</f>
        <v>45980</v>
      </c>
      <c r="B143" s="12" t="str">
        <f>IFERROR(__xludf.DUMMYFUNCTION("""COMPUTED_VALUE"""),"12PCS High-waisted Seamless Panty Bikini For Women 6 colors, Stretch Yoga Sports Underwear")</f>
        <v>12PCS High-waisted Seamless Panty Bikini For Women 6 colors, Stretch Yoga Sports Underwear</v>
      </c>
      <c r="C143" s="16" t="str">
        <f>IFERROR(__xludf.DUMMYFUNCTION("""COMPUTED_VALUE"""),"vt.tiktok.com/ZSH3qggba2MgN-w4O4I/")</f>
        <v>vt.tiktok.com/ZSH3qggba2MgN-w4O4I/</v>
      </c>
      <c r="D143" s="17" t="str">
        <f>IFERROR(__xludf.DUMMYFUNCTION("""COMPUTED_VALUE"""),"FS_WM_UD_061")</f>
        <v>FS_WM_UD_061</v>
      </c>
      <c r="E143" s="12" t="str">
        <f>IFERROR(__xludf.DUMMYFUNCTION("""COMPUTED_VALUE"""),"Women's High Waist panty #womenunderwear #womenpanty")</f>
        <v>Women's High Waist panty #womenunderwear #womenpanty</v>
      </c>
      <c r="F143" s="3"/>
      <c r="G143" s="3"/>
      <c r="L143" s="8"/>
      <c r="M143" s="8"/>
      <c r="N143" s="8"/>
      <c r="O143" s="8"/>
      <c r="P143" s="8"/>
      <c r="Q143" s="8"/>
    </row>
    <row r="144" ht="102" spans="1:17">
      <c r="A144" s="15">
        <f>IFERROR(__xludf.DUMMYFUNCTION("""COMPUTED_VALUE"""),45980)</f>
        <v>45980</v>
      </c>
      <c r="B144" s="12" t="str">
        <f>IFERROR(__xludf.DUMMYFUNCTION("""COMPUTED_VALUE"""),"BUY 3 TAKE 2 FINETOO Sexy Low-Waist Lace-Trimmed Cotton Panties Fashionable Crossover Waistband Design Underwear Comfortable Skin-Friendly Fabric Briefs")</f>
        <v>BUY 3 TAKE 2 FINETOO Sexy Low-Waist Lace-Trimmed Cotton Panties Fashionable Crossover Waistband Design Underwear Comfortable Skin-Friendly Fabric Briefs</v>
      </c>
      <c r="C144" s="16" t="str">
        <f>IFERROR(__xludf.DUMMYFUNCTION("""COMPUTED_VALUE"""),"vt.tiktok.com/ZSH3qpmB7urXd-xJ7oT/")</f>
        <v>vt.tiktok.com/ZSH3qpmB7urXd-xJ7oT/</v>
      </c>
      <c r="D144" s="17" t="str">
        <f>IFERROR(__xludf.DUMMYFUNCTION("""COMPUTED_VALUE"""),"FS_WM_UD_062")</f>
        <v>FS_WM_UD_062</v>
      </c>
      <c r="E144" s="12" t="str">
        <f>IFERROR(__xludf.DUMMYFUNCTION("""COMPUTED_VALUE"""),"FINETOO Women's Underwear #finetoo #womenunderwear ")</f>
        <v>FINETOO Women's Underwear #finetoo #womenunderwear </v>
      </c>
      <c r="F144" s="3"/>
      <c r="G144" s="3"/>
      <c r="L144" s="8"/>
      <c r="M144" s="8"/>
      <c r="N144" s="8"/>
      <c r="O144" s="8"/>
      <c r="P144" s="8"/>
      <c r="Q144" s="8"/>
    </row>
    <row r="145" ht="76.5" spans="1:17">
      <c r="A145" s="15">
        <f>IFERROR(__xludf.DUMMYFUNCTION("""COMPUTED_VALUE"""),45981)</f>
        <v>45981</v>
      </c>
      <c r="B145" s="12" t="str">
        <f>IFERROR(__xludf.DUMMYFUNCTION("""COMPUTED_VALUE"""),"Umiwear Premium Seamless Panty Antibacterial Panties Womenswear Sexy Panties High Cut Bikini Lingerie")</f>
        <v>Umiwear Premium Seamless Panty Antibacterial Panties Womenswear Sexy Panties High Cut Bikini Lingerie</v>
      </c>
      <c r="C145" s="16" t="str">
        <f>IFERROR(__xludf.DUMMYFUNCTION("""COMPUTED_VALUE"""),"https://vt.tiktok.com/ZSH3pKGDMpHba-phL5s/")</f>
        <v>https://vt.tiktok.com/ZSH3pKGDMpHba-phL5s/</v>
      </c>
      <c r="D145" s="17" t="str">
        <f>IFERROR(__xludf.DUMMYFUNCTION("""COMPUTED_VALUE"""),"FS_WM_UD_063")</f>
        <v>FS_WM_UD_063</v>
      </c>
      <c r="E145" s="12" t="str">
        <f>IFERROR(__xludf.DUMMYFUNCTION("""COMPUTED_VALUE"""),"Women's Ice Silk Seamless Panty #seamlesspanty #womenunderwear")</f>
        <v>Women's Ice Silk Seamless Panty #seamlesspanty #womenunderwear</v>
      </c>
      <c r="F145" s="3"/>
      <c r="G145" s="3"/>
      <c r="L145" s="8"/>
      <c r="M145" s="8"/>
      <c r="N145" s="8"/>
      <c r="O145" s="8"/>
      <c r="P145" s="8"/>
      <c r="Q145" s="8"/>
    </row>
    <row r="146" ht="63.75" spans="1:17">
      <c r="A146" s="15">
        <f>IFERROR(__xludf.DUMMYFUNCTION("""COMPUTED_VALUE"""),45981)</f>
        <v>45981</v>
      </c>
      <c r="B146" s="12" t="str">
        <f>IFERROR(__xludf.DUMMYFUNCTION("""COMPUTED_VALUE"""),"Rhian Plus size M-XXXL Hipsters Stretch mid waist Panties for women plus size seamless Full Panty")</f>
        <v>Rhian Plus size M-XXXL Hipsters Stretch mid waist Panties for women plus size seamless Full Panty</v>
      </c>
      <c r="C146" s="16" t="str">
        <f>IFERROR(__xludf.DUMMYFUNCTION("""COMPUTED_VALUE"""),"https://vt.tiktok.com/ZSH3pEmTX7KeT-WjBMM/")</f>
        <v>https://vt.tiktok.com/ZSH3pEmTX7KeT-WjBMM/</v>
      </c>
      <c r="D146" s="17" t="str">
        <f>IFERROR(__xludf.DUMMYFUNCTION("""COMPUTED_VALUE"""),"FS_WM_UD_064")</f>
        <v>FS_WM_UD_064</v>
      </c>
      <c r="E146" s="12" t="str">
        <f>IFERROR(__xludf.DUMMYFUNCTION("""COMPUTED_VALUE"""),"Rhian Plus Size Underwear #womenunderwear #rhian")</f>
        <v>Rhian Plus Size Underwear #womenunderwear #rhian</v>
      </c>
      <c r="F146" s="3"/>
      <c r="G146" s="3"/>
      <c r="L146" s="8"/>
      <c r="M146" s="8"/>
      <c r="N146" s="8"/>
      <c r="O146" s="8"/>
      <c r="P146" s="8"/>
      <c r="Q146" s="8"/>
    </row>
    <row r="147" ht="63.75" spans="1:17">
      <c r="A147" s="15">
        <f>IFERROR(__xludf.DUMMYFUNCTION("""COMPUTED_VALUE"""),45981)</f>
        <v>45981</v>
      </c>
      <c r="B147" s="12" t="str">
        <f>IFERROR(__xludf.DUMMYFUNCTION("""COMPUTED_VALUE"""),"Rhian Plussize Seamless Panties Women's Soft Underwear Briefs lady's panty Hipster Boxer boyshorts")</f>
        <v>Rhian Plussize Seamless Panties Women's Soft Underwear Briefs lady's panty Hipster Boxer boyshorts</v>
      </c>
      <c r="C147" s="16" t="str">
        <f>IFERROR(__xludf.DUMMYFUNCTION("""COMPUTED_VALUE"""),"https://vt.tiktok.com/ZSH3poJgdULPn-JT6Hk/")</f>
        <v>https://vt.tiktok.com/ZSH3poJgdULPn-JT6Hk/</v>
      </c>
      <c r="D147" s="17" t="str">
        <f>IFERROR(__xludf.DUMMYFUNCTION("""COMPUTED_VALUE"""),"FS_WM_UD_065")</f>
        <v>FS_WM_UD_065</v>
      </c>
      <c r="E147" s="12" t="str">
        <f>IFERROR(__xludf.DUMMYFUNCTION("""COMPUTED_VALUE"""),"Rhian Plus Size Underwear #womenunderwear #rhian")</f>
        <v>Rhian Plus Size Underwear #womenunderwear #rhian</v>
      </c>
      <c r="F147" s="3"/>
      <c r="G147" s="3"/>
      <c r="L147" s="8"/>
      <c r="M147" s="8"/>
      <c r="N147" s="8"/>
      <c r="O147" s="8"/>
      <c r="P147" s="8"/>
      <c r="Q147" s="8"/>
    </row>
    <row r="148" ht="51" spans="1:17">
      <c r="A148" s="15">
        <f>IFERROR(__xludf.DUMMYFUNCTION("""COMPUTED_VALUE"""),45981)</f>
        <v>45981</v>
      </c>
      <c r="B148" s="12" t="str">
        <f>IFERROR(__xludf.DUMMYFUNCTION("""COMPUTED_VALUE"""),"Rhian high waist sexy panty for ladys cotton women briefs plus size bikini underwear Lingerie")</f>
        <v>Rhian high waist sexy panty for ladys cotton women briefs plus size bikini underwear Lingerie</v>
      </c>
      <c r="C148" s="16" t="str">
        <f>IFERROR(__xludf.DUMMYFUNCTION("""COMPUTED_VALUE"""),"vt.tiktok.com/ZSH3pokEgqW9b-n8GbM/")</f>
        <v>vt.tiktok.com/ZSH3pokEgqW9b-n8GbM/</v>
      </c>
      <c r="D148" s="17" t="str">
        <f>IFERROR(__xludf.DUMMYFUNCTION("""COMPUTED_VALUE"""),"FS_WM_UD_066")</f>
        <v>FS_WM_UD_066</v>
      </c>
      <c r="E148" s="12" t="str">
        <f>IFERROR(__xludf.DUMMYFUNCTION("""COMPUTED_VALUE"""),"Rhian High Waist Underwear #womenunderwear #rhian")</f>
        <v>Rhian High Waist Underwear #womenunderwear #rhian</v>
      </c>
      <c r="F148" s="3"/>
      <c r="G148" s="3"/>
      <c r="L148" s="8"/>
      <c r="M148" s="8"/>
      <c r="N148" s="8"/>
      <c r="O148" s="8"/>
      <c r="P148" s="8"/>
      <c r="Q148" s="8"/>
    </row>
    <row r="149" ht="63.75" spans="1:17">
      <c r="A149" s="15">
        <f>IFERROR(__xludf.DUMMYFUNCTION("""COMPUTED_VALUE"""),45981)</f>
        <v>45981</v>
      </c>
      <c r="B149" s="12" t="str">
        <f>IFERROR(__xludf.DUMMYFUNCTION("""COMPUTED_VALUE"""),"Rhian sexy lace panty boyleg for women plussize highwaist panty underwear for women full panty short")</f>
        <v>Rhian sexy lace panty boyleg for women plussize highwaist panty underwear for women full panty short</v>
      </c>
      <c r="C149" s="16" t="str">
        <f>IFERROR(__xludf.DUMMYFUNCTION("""COMPUTED_VALUE"""),"vt.tiktok.com/ZSH3sJ4xjSSf6-UniiU/")</f>
        <v>vt.tiktok.com/ZSH3sJ4xjSSf6-UniiU/</v>
      </c>
      <c r="D149" s="17" t="str">
        <f>IFERROR(__xludf.DUMMYFUNCTION("""COMPUTED_VALUE"""),"FS_WM_UD_067")</f>
        <v>FS_WM_UD_067</v>
      </c>
      <c r="E149" s="12" t="str">
        <f>IFERROR(__xludf.DUMMYFUNCTION("""COMPUTED_VALUE"""),"Rhian Lace Underwear #womenunderwear #rhian")</f>
        <v>Rhian Lace Underwear #womenunderwear #rhian</v>
      </c>
      <c r="F149" s="3"/>
      <c r="G149" s="3"/>
      <c r="L149" s="8"/>
      <c r="M149" s="8"/>
      <c r="N149" s="8"/>
      <c r="O149" s="8"/>
      <c r="P149" s="8"/>
      <c r="Q149" s="8"/>
    </row>
    <row r="150" ht="102" spans="1:17">
      <c r="A150" s="15">
        <f>IFERROR(__xludf.DUMMYFUNCTION("""COMPUTED_VALUE"""),45981)</f>
        <v>45981</v>
      </c>
      <c r="B150" s="12" t="str">
        <f>IFERROR(__xludf.DUMMYFUNCTION("""COMPUTED_VALUE"""),"3PCS Cacti Keno Women's Underwear Cotton Panties Soft Striped Seamless Underwear Briefs Solid Underpants Comfort High Quality Womenswear Innerwear M-2XL")</f>
        <v>3PCS Cacti Keno Women's Underwear Cotton Panties Soft Striped Seamless Underwear Briefs Solid Underpants Comfort High Quality Womenswear Innerwear M-2XL</v>
      </c>
      <c r="C150" s="16" t="str">
        <f>IFERROR(__xludf.DUMMYFUNCTION("""COMPUTED_VALUE"""),"https://vt.tiktok.com/ZSH3W91h45XQV-JecZp/")</f>
        <v>https://vt.tiktok.com/ZSH3W91h45XQV-JecZp/</v>
      </c>
      <c r="D150" s="17" t="str">
        <f>IFERROR(__xludf.DUMMYFUNCTION("""COMPUTED_VALUE"""),"FS_WM_UD_068")</f>
        <v>FS_WM_UD_068</v>
      </c>
      <c r="E150" s="12" t="str">
        <f>IFERROR(__xludf.DUMMYFUNCTION("""COMPUTED_VALUE"""),"CactiKeno Cotton Underwear #cactikenounderwear #cottonunderwear")</f>
        <v>CactiKeno Cotton Underwear #cactikenounderwear #cottonunderwear</v>
      </c>
      <c r="F150" s="3"/>
      <c r="G150" s="3"/>
      <c r="L150" s="8"/>
      <c r="M150" s="8"/>
      <c r="N150" s="8"/>
      <c r="O150" s="8"/>
      <c r="P150" s="8"/>
      <c r="Q150" s="8"/>
    </row>
    <row r="151" ht="76.5" spans="1:17">
      <c r="A151" s="15">
        <f>IFERROR(__xludf.DUMMYFUNCTION("""COMPUTED_VALUE"""),45981)</f>
        <v>45981</v>
      </c>
      <c r="B151" s="12" t="str">
        <f>IFERROR(__xludf.DUMMYFUNCTION("""COMPUTED_VALUE"""),"BUY 3 TAKE 1 FINETOO Boxer Seamless Cotton Panties For Women High-Quality Breathable Briefs Super Comfy Soft Material Innerwear")</f>
        <v>BUY 3 TAKE 1 FINETOO Boxer Seamless Cotton Panties For Women High-Quality Breathable Briefs Super Comfy Soft Material Innerwear</v>
      </c>
      <c r="C151" s="16" t="str">
        <f>IFERROR(__xludf.DUMMYFUNCTION("""COMPUTED_VALUE"""),"vt.tiktok.com/ZSHTF8uWQhsvP-3Eb3r/")</f>
        <v>vt.tiktok.com/ZSHTF8uWQhsvP-3Eb3r/</v>
      </c>
      <c r="D151" s="17" t="str">
        <f>IFERROR(__xludf.DUMMYFUNCTION("""COMPUTED_VALUE"""),"FS_WM_UD_069")</f>
        <v>FS_WM_UD_069</v>
      </c>
      <c r="E151" s="12" t="str">
        <f>IFERROR(__xludf.DUMMYFUNCTION("""COMPUTED_VALUE"""),"FINETOO Cotton Boxer #finetoo #cottonunderwear")</f>
        <v>FINETOO Cotton Boxer #finetoo #cottonunderwear</v>
      </c>
      <c r="F151" s="3"/>
      <c r="G151" s="3"/>
      <c r="L151" s="8"/>
      <c r="M151" s="8"/>
      <c r="N151" s="8"/>
      <c r="O151" s="8"/>
      <c r="P151" s="8"/>
      <c r="Q151" s="8"/>
    </row>
    <row r="152" ht="76.5" spans="1:17">
      <c r="A152" s="15">
        <f>IFERROR(__xludf.DUMMYFUNCTION("""COMPUTED_VALUE"""),45989)</f>
        <v>45989</v>
      </c>
      <c r="B152" s="12" t="str">
        <f>IFERROR(__xludf.DUMMYFUNCTION("""COMPUTED_VALUE"""),"FINETOO Sexy Thongs Women Cotton G-string Panties Letter Bikini Underwear Girls Cross Belt Low-rise Underpants Lingerie")</f>
        <v>FINETOO Sexy Thongs Women Cotton G-string Panties Letter Bikini Underwear Girls Cross Belt Low-rise Underpants Lingerie</v>
      </c>
      <c r="C152" s="16" t="str">
        <f>IFERROR(__xludf.DUMMYFUNCTION("""COMPUTED_VALUE"""),"https://vt.tiktok.com/ZSHTy7f9TC4BU-rilXz/")</f>
        <v>https://vt.tiktok.com/ZSHTy7f9TC4BU-rilXz/</v>
      </c>
      <c r="D152" s="17" t="str">
        <f>IFERROR(__xludf.DUMMYFUNCTION("""COMPUTED_VALUE"""),"FS_WM_UD_070")</f>
        <v>FS_WM_UD_070</v>
      </c>
      <c r="E152" s="12" t="str">
        <f>IFERROR(__xludf.DUMMYFUNCTION("""COMPUTED_VALUE"""),"FINETOO Women's Underwear #finetoo #womenunderwear ")</f>
        <v>FINETOO Women's Underwear #finetoo #womenunderwear </v>
      </c>
      <c r="F152" s="3"/>
      <c r="G152" s="3"/>
      <c r="L152" s="8"/>
      <c r="M152" s="8"/>
      <c r="N152" s="8"/>
      <c r="O152" s="8"/>
      <c r="P152" s="8"/>
      <c r="Q152" s="8"/>
    </row>
    <row r="153" ht="89.25" spans="1:17">
      <c r="A153" s="15">
        <f>IFERROR(__xludf.DUMMYFUNCTION("""COMPUTED_VALUE"""),45989)</f>
        <v>45989</v>
      </c>
      <c r="B153" s="12" t="str">
        <f>IFERROR(__xludf.DUMMYFUNCTION("""COMPUTED_VALUE"""),"BUY 3 TAKE 2 FINETOO Sexy Low-rise Lace Panties Breathable Fabric Underwear Skin-Friendly Material With Cloud-Like Softness Briefs")</f>
        <v>BUY 3 TAKE 2 FINETOO Sexy Low-rise Lace Panties Breathable Fabric Underwear Skin-Friendly Material With Cloud-Like Softness Briefs</v>
      </c>
      <c r="C153" s="16" t="str">
        <f>IFERROR(__xludf.DUMMYFUNCTION("""COMPUTED_VALUE"""),"https://vt.tiktok.com/ZSHTy7p35HgUD-1tESd/")</f>
        <v>https://vt.tiktok.com/ZSHTy7p35HgUD-1tESd/</v>
      </c>
      <c r="D153" s="17" t="str">
        <f>IFERROR(__xludf.DUMMYFUNCTION("""COMPUTED_VALUE"""),"FS_WM_UD_071")</f>
        <v>FS_WM_UD_071</v>
      </c>
      <c r="E153" s="12" t="str">
        <f>IFERROR(__xludf.DUMMYFUNCTION("""COMPUTED_VALUE"""),"FINETOO Women's Underwear #finetoo #womenunderwear ")</f>
        <v>FINETOO Women's Underwear #finetoo #womenunderwear </v>
      </c>
      <c r="F153" s="3"/>
      <c r="G153" s="3"/>
      <c r="L153" s="8"/>
      <c r="M153" s="8"/>
      <c r="N153" s="8"/>
      <c r="O153" s="8"/>
      <c r="P153" s="8"/>
      <c r="Q153" s="8"/>
    </row>
    <row r="154" ht="76.5" spans="1:17">
      <c r="A154" s="15">
        <f>IFERROR(__xludf.DUMMYFUNCTION("""COMPUTED_VALUE"""),45989)</f>
        <v>45989</v>
      </c>
      <c r="B154" s="12" t="str">
        <f>IFERROR(__xludf.DUMMYFUNCTION("""COMPUTED_VALUE"""),"BUY 6, TAKE 1 WIS Cotton Minimalist Hip Lift Low Waist Bikini Panty for Women Lingerie Womenswear Lady Comfort Basic")</f>
        <v>BUY 6, TAKE 1 WIS Cotton Minimalist Hip Lift Low Waist Bikini Panty for Women Lingerie Womenswear Lady Comfort Basic</v>
      </c>
      <c r="C154" s="16" t="str">
        <f>IFERROR(__xludf.DUMMYFUNCTION("""COMPUTED_VALUE"""),"https://vt.tiktok.com/ZSHTyvDqY9EUK-x5Bfs/")</f>
        <v>https://vt.tiktok.com/ZSHTyvDqY9EUK-x5Bfs/</v>
      </c>
      <c r="D154" s="17" t="str">
        <f>IFERROR(__xludf.DUMMYFUNCTION("""COMPUTED_VALUE"""),"FS_WM_UD_073")</f>
        <v>FS_WM_UD_073</v>
      </c>
      <c r="E154" s="12" t="str">
        <f>IFERROR(__xludf.DUMMYFUNCTION("""COMPUTED_VALUE"""),"WIS Cotton panty #WIS #womenunderwear")</f>
        <v>WIS Cotton panty #WIS #womenunderwear</v>
      </c>
      <c r="F154" s="3"/>
      <c r="G154" s="3"/>
      <c r="L154" s="8"/>
      <c r="M154" s="8"/>
      <c r="N154" s="8"/>
      <c r="O154" s="8"/>
      <c r="P154" s="8"/>
      <c r="Q154" s="8"/>
    </row>
    <row r="155" ht="38.25" spans="1:17">
      <c r="A155" s="15">
        <f>IFERROR(__xludf.DUMMYFUNCTION("""COMPUTED_VALUE"""),45989)</f>
        <v>45989</v>
      </c>
      <c r="B155" s="12" t="str">
        <f>IFERROR(__xludf.DUMMYFUNCTION("""COMPUTED_VALUE"""),"WIS Thong T-Back Printed band Knitted Fabric Bikini Panty")</f>
        <v>WIS Thong T-Back Printed band Knitted Fabric Bikini Panty</v>
      </c>
      <c r="C155" s="16" t="str">
        <f>IFERROR(__xludf.DUMMYFUNCTION("""COMPUTED_VALUE"""),"https://vt.tiktok.com/ZSHTyvCKEDpSe-Sekge/")</f>
        <v>https://vt.tiktok.com/ZSHTyvCKEDpSe-Sekge/</v>
      </c>
      <c r="D155" s="17" t="str">
        <f>IFERROR(__xludf.DUMMYFUNCTION("""COMPUTED_VALUE"""),"FS_WM_UD_074")</f>
        <v>FS_WM_UD_074</v>
      </c>
      <c r="E155" s="12" t="str">
        <f>IFERROR(__xludf.DUMMYFUNCTION("""COMPUTED_VALUE"""),"WIS Cotton panty #WIS #womenunderwear")</f>
        <v>WIS Cotton panty #WIS #womenunderwear</v>
      </c>
      <c r="F155" s="3"/>
      <c r="G155" s="3"/>
      <c r="L155" s="8"/>
      <c r="M155" s="8"/>
      <c r="N155" s="8"/>
      <c r="O155" s="8"/>
      <c r="P155" s="8"/>
      <c r="Q155" s="8"/>
    </row>
    <row r="156" ht="51" spans="1:17">
      <c r="A156" s="15">
        <f>IFERROR(__xludf.DUMMYFUNCTION("""COMPUTED_VALUE"""),45989)</f>
        <v>45989</v>
      </c>
      <c r="B156" s="12" t="str">
        <f>IFERROR(__xludf.DUMMYFUNCTION("""COMPUTED_VALUE"""),"BUY 6, TAKE 1 WIS Cotton Elastic Band Hip Lift Sexy Bikini Women Underwear")</f>
        <v>BUY 6, TAKE 1 WIS Cotton Elastic Band Hip Lift Sexy Bikini Women Underwear</v>
      </c>
      <c r="C156" s="16" t="str">
        <f>IFERROR(__xludf.DUMMYFUNCTION("""COMPUTED_VALUE"""),"vt.tiktok.com/ZSHTyv7vas3KM-8M3tN/")</f>
        <v>vt.tiktok.com/ZSHTyv7vas3KM-8M3tN/</v>
      </c>
      <c r="D156" s="17" t="str">
        <f>IFERROR(__xludf.DUMMYFUNCTION("""COMPUTED_VALUE"""),"FS_WM_UD_075")</f>
        <v>FS_WM_UD_075</v>
      </c>
      <c r="E156" s="12" t="str">
        <f>IFERROR(__xludf.DUMMYFUNCTION("""COMPUTED_VALUE"""),"WIS Cotton panty #WIS #womenunderwear")</f>
        <v>WIS Cotton panty #WIS #womenunderwear</v>
      </c>
      <c r="F156" s="3"/>
      <c r="G156" s="3"/>
      <c r="L156" s="8"/>
      <c r="M156" s="8"/>
      <c r="N156" s="8"/>
      <c r="O156" s="8"/>
      <c r="P156" s="8"/>
      <c r="Q156" s="8"/>
    </row>
    <row r="157" ht="51" spans="1:17">
      <c r="A157" s="15">
        <f>IFERROR(__xludf.DUMMYFUNCTION("""COMPUTED_VALUE"""),45989)</f>
        <v>45989</v>
      </c>
      <c r="B157" s="12" t="str">
        <f>IFERROR(__xludf.DUMMYFUNCTION("""COMPUTED_VALUE"""),"WIS Cotton Low Rise Hip Lift Bikini Printed Letter Band Panty for Women Lingerie")</f>
        <v>WIS Cotton Low Rise Hip Lift Bikini Printed Letter Band Panty for Women Lingerie</v>
      </c>
      <c r="C157" s="16" t="str">
        <f>IFERROR(__xludf.DUMMYFUNCTION("""COMPUTED_VALUE"""),"vt.tiktok.com/ZSHTycRB6jBt5-yn2B9/")</f>
        <v>vt.tiktok.com/ZSHTycRB6jBt5-yn2B9/</v>
      </c>
      <c r="D157" s="17" t="str">
        <f>IFERROR(__xludf.DUMMYFUNCTION("""COMPUTED_VALUE"""),"FS_WM_UD_076")</f>
        <v>FS_WM_UD_076</v>
      </c>
      <c r="E157" s="12" t="str">
        <f>IFERROR(__xludf.DUMMYFUNCTION("""COMPUTED_VALUE"""),"WIS Cotton panty #WIS #womenunderwear")</f>
        <v>WIS Cotton panty #WIS #womenunderwear</v>
      </c>
      <c r="F157" s="3"/>
      <c r="G157" s="3"/>
      <c r="L157" s="8"/>
      <c r="M157" s="8"/>
      <c r="N157" s="8"/>
      <c r="O157" s="8"/>
      <c r="P157" s="8"/>
      <c r="Q157" s="8"/>
    </row>
    <row r="158" ht="63.75" spans="1:17">
      <c r="A158" s="15">
        <f>IFERROR(__xludf.DUMMYFUNCTION("""COMPUTED_VALUE"""),45989)</f>
        <v>45989</v>
      </c>
      <c r="B158" s="12" t="str">
        <f>IFERROR(__xludf.DUMMYFUNCTION("""COMPUTED_VALUE"""),"WIS Ice-silk Soft Seamless String Bikini Panty for Women Lingerie Womenswear breatheable underwear")</f>
        <v>WIS Ice-silk Soft Seamless String Bikini Panty for Women Lingerie Womenswear breatheable underwear</v>
      </c>
      <c r="C158" s="16" t="str">
        <f>IFERROR(__xludf.DUMMYFUNCTION("""COMPUTED_VALUE"""),"https://vt.tiktok.com/ZSHTyckAeCCu6-ir2Iz/")</f>
        <v>https://vt.tiktok.com/ZSHTyckAeCCu6-ir2Iz/</v>
      </c>
      <c r="D158" s="17" t="str">
        <f>IFERROR(__xludf.DUMMYFUNCTION("""COMPUTED_VALUE"""),"FS_WM_UD_077")</f>
        <v>FS_WM_UD_077</v>
      </c>
      <c r="E158" s="12" t="str">
        <f>IFERROR(__xludf.DUMMYFUNCTION("""COMPUTED_VALUE"""),"WIS Ice Silk panty #WIS #womenunderwear")</f>
        <v>WIS Ice Silk panty #WIS #womenunderwear</v>
      </c>
      <c r="F158" s="3"/>
      <c r="G158" s="3"/>
      <c r="L158" s="8"/>
      <c r="M158" s="8"/>
      <c r="N158" s="8"/>
      <c r="O158" s="8"/>
      <c r="P158" s="8"/>
      <c r="Q158" s="8"/>
    </row>
    <row r="159" ht="51" spans="1:17">
      <c r="A159" s="15">
        <f>IFERROR(__xludf.DUMMYFUNCTION("""COMPUTED_VALUE"""),45990)</f>
        <v>45990</v>
      </c>
      <c r="B159" s="12" t="str">
        <f>IFERROR(__xludf.DUMMYFUNCTION("""COMPUTED_VALUE"""),"1pcs Lace Thread Thong Pure Cotton Bottom Panties")</f>
        <v>1pcs Lace Thread Thong Pure Cotton Bottom Panties</v>
      </c>
      <c r="C159" s="16" t="str">
        <f>IFERROR(__xludf.DUMMYFUNCTION("""COMPUTED_VALUE"""),"vt.tiktok.com/ZSHT5uPf11a8G-snPG4/")</f>
        <v>vt.tiktok.com/ZSHT5uPf11a8G-snPG4/</v>
      </c>
      <c r="D159" s="17" t="str">
        <f>IFERROR(__xludf.DUMMYFUNCTION("""COMPUTED_VALUE"""),"FS_WM_UD_078")</f>
        <v>FS_WM_UD_078</v>
      </c>
      <c r="E159" s="12" t="str">
        <f>IFERROR(__xludf.DUMMYFUNCTION("""COMPUTED_VALUE"""),"Women's Cotton Underwear #womenunderwear #cottonpanty")</f>
        <v>Women's Cotton Underwear #womenunderwear #cottonpanty</v>
      </c>
      <c r="F159" s="3"/>
      <c r="G159" s="3"/>
      <c r="L159" s="8"/>
      <c r="M159" s="8"/>
      <c r="N159" s="8"/>
      <c r="O159" s="8"/>
      <c r="P159" s="8"/>
      <c r="Q159" s="8"/>
    </row>
    <row r="160" ht="102" spans="1:17">
      <c r="A160" s="15">
        <f>IFERROR(__xludf.DUMMYFUNCTION("""COMPUTED_VALUE"""),45993)</f>
        <v>45993</v>
      </c>
      <c r="B160" s="12" t="str">
        <f>IFERROR(__xludf.DUMMYFUNCTION("""COMPUTED_VALUE"""),"Polka Dot Lace Boxer Briefs for Women Floral Print Extended Length and Width Pure Cotton Underwear Full Cotton Women's Mid-High Waist Pants Plus Size New Style")</f>
        <v>Polka Dot Lace Boxer Briefs for Women Floral Print Extended Length and Width Pure Cotton Underwear Full Cotton Women's Mid-High Waist Pants Plus Size New Style</v>
      </c>
      <c r="C160" s="16" t="str">
        <f>IFERROR(__xludf.DUMMYFUNCTION("""COMPUTED_VALUE"""),"https://vt.tiktok.com/ZSHK3NfFnT1HJ-NKVYN/")</f>
        <v>https://vt.tiktok.com/ZSHK3NfFnT1HJ-NKVYN/</v>
      </c>
      <c r="D160" s="17" t="str">
        <f>IFERROR(__xludf.DUMMYFUNCTION("""COMPUTED_VALUE"""),"FS_WM_UD_079")</f>
        <v>FS_WM_UD_079</v>
      </c>
      <c r="E160" s="12" t="str">
        <f>IFERROR(__xludf.DUMMYFUNCTION("""COMPUTED_VALUE"""),"Women's Cotton Underwear #womenunderwear #cottonpanty")</f>
        <v>Women's Cotton Underwear #womenunderwear #cottonpanty</v>
      </c>
      <c r="F160" s="3"/>
      <c r="G160" s="3"/>
      <c r="L160" s="8"/>
      <c r="M160" s="8"/>
      <c r="N160" s="8"/>
      <c r="O160" s="8"/>
      <c r="P160" s="8"/>
      <c r="Q160" s="8"/>
    </row>
    <row r="161" ht="102" spans="1:17">
      <c r="A161" s="15">
        <f>IFERROR(__xludf.DUMMYFUNCTION("""COMPUTED_VALUE"""),45993)</f>
        <v>45993</v>
      </c>
      <c r="B161" s="12" t="str">
        <f>IFERROR(__xludf.DUMMYFUNCTION("""COMPUTED_VALUE"""),"European and American Style Ice Silk Boxer Briefs for Women, Pure Cotton Crotch, Mid-Waist, Zebra Pattern, Sexy Plus Size, Four-Corner Safety Shorts, Export Model")</f>
        <v>European and American Style Ice Silk Boxer Briefs for Women, Pure Cotton Crotch, Mid-Waist, Zebra Pattern, Sexy Plus Size, Four-Corner Safety Shorts, Export Model</v>
      </c>
      <c r="C161" s="16" t="str">
        <f>IFERROR(__xludf.DUMMYFUNCTION("""COMPUTED_VALUE"""),"vt.tiktok.com/ZSHTp5dJ8SFg6-dhn9k/")</f>
        <v>vt.tiktok.com/ZSHTp5dJ8SFg6-dhn9k/</v>
      </c>
      <c r="D161" s="17" t="str">
        <f>IFERROR(__xludf.DUMMYFUNCTION("""COMPUTED_VALUE"""),"FS_WM_UD_080")</f>
        <v>FS_WM_UD_080</v>
      </c>
      <c r="E161" s="12" t="str">
        <f>IFERROR(__xludf.DUMMYFUNCTION("""COMPUTED_VALUE"""),"Women's Cotton Underwear #womenunderwear #cottonpanty")</f>
        <v>Women's Cotton Underwear #womenunderwear #cottonpanty</v>
      </c>
      <c r="F161" s="3"/>
      <c r="G161" s="3"/>
      <c r="L161" s="8"/>
      <c r="M161" s="8"/>
      <c r="N161" s="8"/>
      <c r="O161" s="8"/>
      <c r="P161" s="8"/>
      <c r="Q161" s="8"/>
    </row>
    <row r="162" ht="76.5" spans="1:17">
      <c r="A162" s="15">
        <f>IFERROR(__xludf.DUMMYFUNCTION("""COMPUTED_VALUE"""),45993)</f>
        <v>45993</v>
      </c>
      <c r="B162" s="12" t="str">
        <f>IFERROR(__xludf.DUMMYFUNCTION("""COMPUTED_VALUE"""),"A-Class Baby Cotton Plus Size Boxer Briefs Women's High Waist Sports All-Cotton 10A Antibacterial Extended Crotch Panty Lingerie")</f>
        <v>A-Class Baby Cotton Plus Size Boxer Briefs Women's High Waist Sports All-Cotton 10A Antibacterial Extended Crotch Panty Lingerie</v>
      </c>
      <c r="C162" s="16" t="str">
        <f>IFERROR(__xludf.DUMMYFUNCTION("""COMPUTED_VALUE"""),"https://vt.tiktok.com/ZSHTp5h4SGLU5-hWHWk/")</f>
        <v>https://vt.tiktok.com/ZSHTp5h4SGLU5-hWHWk/</v>
      </c>
      <c r="D162" s="17" t="str">
        <f>IFERROR(__xludf.DUMMYFUNCTION("""COMPUTED_VALUE"""),"FS_WM_UD_081")</f>
        <v>FS_WM_UD_081</v>
      </c>
      <c r="E162" s="12" t="str">
        <f>IFERROR(__xludf.DUMMYFUNCTION("""COMPUTED_VALUE"""),"Women's Cotton Underwear #womenunderwear #cottonpanty")</f>
        <v>Women's Cotton Underwear #womenunderwear #cottonpanty</v>
      </c>
      <c r="F162" s="3"/>
      <c r="G162" s="3"/>
      <c r="L162" s="8"/>
      <c r="M162" s="8"/>
      <c r="N162" s="8"/>
      <c r="O162" s="8"/>
      <c r="P162" s="8"/>
      <c r="Q162" s="8"/>
    </row>
    <row r="163" ht="89.25" spans="1:17">
      <c r="A163" s="15">
        <f>IFERROR(__xludf.DUMMYFUNCTION("""COMPUTED_VALUE"""),45993)</f>
        <v>45993</v>
      </c>
      <c r="B163" s="12" t="str">
        <f>IFERROR(__xludf.DUMMYFUNCTION("""COMPUTED_VALUE"""),"Ice Silk Underwear for Women 7A Mulberry Silk Antibacterial Crotch Mid-Waist Breathable Seamless 3D Peach Hip Triangle Panties Womenswear Basic")</f>
        <v>Ice Silk Underwear for Women 7A Mulberry Silk Antibacterial Crotch Mid-Waist Breathable Seamless 3D Peach Hip Triangle Panties Womenswear Basic</v>
      </c>
      <c r="C163" s="16" t="str">
        <f>IFERROR(__xludf.DUMMYFUNCTION("""COMPUTED_VALUE"""),"vt.tiktok.com/ZSHTp5xSG2aKg-huJsI/")</f>
        <v>vt.tiktok.com/ZSHTp5xSG2aKg-huJsI/</v>
      </c>
      <c r="D163" s="17" t="str">
        <f>IFERROR(__xludf.DUMMYFUNCTION("""COMPUTED_VALUE"""),"FS_WM_UD_082")</f>
        <v>FS_WM_UD_082</v>
      </c>
      <c r="E163" s="12" t="str">
        <f>IFERROR(__xludf.DUMMYFUNCTION("""COMPUTED_VALUE"""),"Women's Ice Silk Seamless Panty #seamlesspanty #womenunderwear")</f>
        <v>Women's Ice Silk Seamless Panty #seamlesspanty #womenunderwear</v>
      </c>
      <c r="F163" s="3"/>
      <c r="G163" s="3"/>
      <c r="L163" s="8"/>
      <c r="M163" s="8"/>
      <c r="N163" s="8"/>
      <c r="O163" s="8"/>
      <c r="P163" s="8"/>
      <c r="Q163" s="8"/>
    </row>
    <row r="164" ht="76.5" spans="1:17">
      <c r="A164" s="15">
        <f>IFERROR(__xludf.DUMMYFUNCTION("""COMPUTED_VALUE"""),45993)</f>
        <v>45993</v>
      </c>
      <c r="B164" s="12" t="str">
        <f>IFERROR(__xludf.DUMMYFUNCTION("""COMPUTED_VALUE"""),"Flat Leg Pants Women Anti-Exposure Skin-Friendly High Waist Student Leggings Boxer Briefs Threaded Underwear Safety Pants")</f>
        <v>Flat Leg Pants Women Anti-Exposure Skin-Friendly High Waist Student Leggings Boxer Briefs Threaded Underwear Safety Pants</v>
      </c>
      <c r="C164" s="16" t="str">
        <f>IFERROR(__xludf.DUMMYFUNCTION("""COMPUTED_VALUE"""),"vt.tiktok.com/ZSHTp5KkHhjsG-b1kdC/")</f>
        <v>vt.tiktok.com/ZSHTp5KkHhjsG-b1kdC/</v>
      </c>
      <c r="D164" s="17" t="str">
        <f>IFERROR(__xludf.DUMMYFUNCTION("""COMPUTED_VALUE"""),"FS_WM_UD_083")</f>
        <v>FS_WM_UD_083</v>
      </c>
      <c r="E164" s="12" t="str">
        <f>IFERROR(__xludf.DUMMYFUNCTION("""COMPUTED_VALUE"""),"Women's Boyleg panty #womenboxer #womenpant")</f>
        <v>Women's Boyleg panty #womenboxer #womenpant</v>
      </c>
      <c r="F164" s="3"/>
      <c r="G164" s="3"/>
      <c r="L164" s="8"/>
      <c r="M164" s="8"/>
      <c r="N164" s="8"/>
      <c r="O164" s="8"/>
      <c r="P164" s="8"/>
      <c r="Q164" s="8"/>
    </row>
    <row r="165" ht="63.75" spans="1:17">
      <c r="A165" s="15">
        <f>IFERROR(__xludf.DUMMYFUNCTION("""COMPUTED_VALUE"""),45993)</f>
        <v>45993</v>
      </c>
      <c r="B165" s="12" t="str">
        <f>IFERROR(__xludf.DUMMYFUNCTION("""COMPUTED_VALUE"""),"Stay Fresh and Comfortable: Women's High Waist Short Boxer Briefs with Added Length Panty")</f>
        <v>Stay Fresh and Comfortable: Women's High Waist Short Boxer Briefs with Added Length Panty</v>
      </c>
      <c r="C165" s="16" t="str">
        <f>IFERROR(__xludf.DUMMYFUNCTION("""COMPUTED_VALUE"""),"vt.tiktok.com/ZSHTparSLjP3W-0iSli/")</f>
        <v>vt.tiktok.com/ZSHTparSLjP3W-0iSli/</v>
      </c>
      <c r="D165" s="17" t="str">
        <f>IFERROR(__xludf.DUMMYFUNCTION("""COMPUTED_VALUE"""),"FS_WM_UD_084")</f>
        <v>FS_WM_UD_084</v>
      </c>
      <c r="E165" s="12" t="str">
        <f>IFERROR(__xludf.DUMMYFUNCTION("""COMPUTED_VALUE"""),"Women's Ice Silk Seamless Panty #seamlesspanty #womenunderwear")</f>
        <v>Women's Ice Silk Seamless Panty #seamlesspanty #womenunderwear</v>
      </c>
      <c r="F165" s="3"/>
      <c r="G165" s="3"/>
      <c r="L165" s="8"/>
      <c r="M165" s="8"/>
      <c r="N165" s="8"/>
      <c r="O165" s="8"/>
      <c r="P165" s="8"/>
      <c r="Q165" s="8"/>
    </row>
    <row r="166" ht="76.5" spans="1:17">
      <c r="A166" s="15">
        <f>IFERROR(__xludf.DUMMYFUNCTION("""COMPUTED_VALUE"""),45993)</f>
        <v>45993</v>
      </c>
      <c r="B166" s="12" t="str">
        <f>IFERROR(__xludf.DUMMYFUNCTION("""COMPUTED_VALUE"""),"Non-binding PP~ Extended Crotch Pure Cotton Women's Mid-High Waist Boxer Safety Shorts Two-in-One 2025 New Summer Model")</f>
        <v>Non-binding PP~ Extended Crotch Pure Cotton Women's Mid-High Waist Boxer Safety Shorts Two-in-One 2025 New Summer Model</v>
      </c>
      <c r="C166" s="16" t="str">
        <f>IFERROR(__xludf.DUMMYFUNCTION("""COMPUTED_VALUE"""),"vt.tiktok.com/ZSHTpa4jQbrVw-mirei/")</f>
        <v>vt.tiktok.com/ZSHTpa4jQbrVw-mirei/</v>
      </c>
      <c r="D166" s="17" t="str">
        <f>IFERROR(__xludf.DUMMYFUNCTION("""COMPUTED_VALUE"""),"FS_WM_UD_085")</f>
        <v>FS_WM_UD_085</v>
      </c>
      <c r="E166" s="12" t="str">
        <f>IFERROR(__xludf.DUMMYFUNCTION("""COMPUTED_VALUE"""),"Women's Cotton Underwear #womenunderwear #cottonpanty")</f>
        <v>Women's Cotton Underwear #womenunderwear #cottonpanty</v>
      </c>
      <c r="F166" s="3"/>
      <c r="G166" s="3"/>
      <c r="L166" s="8"/>
      <c r="M166" s="8"/>
      <c r="N166" s="8"/>
      <c r="O166" s="8"/>
      <c r="P166" s="8"/>
      <c r="Q166" s="8"/>
    </row>
    <row r="167" ht="102" spans="1:17">
      <c r="A167" s="15">
        <f>IFERROR(__xludf.DUMMYFUNCTION("""COMPUTED_VALUE"""),45993)</f>
        <v>45993</v>
      </c>
      <c r="B167" s="12" t="str">
        <f>IFERROR(__xludf.DUMMYFUNCTION("""COMPUTED_VALUE"""),"
Pure Cotton Sports Leopard Print Women's Underwear, Pure Cotton Antibacterial Crotch, Comfortable Simple Leopard Print Edge, Girl's Triangle Panties")</f>
        <v>
Pure Cotton Sports Leopard Print Women's Underwear, Pure Cotton Antibacterial Crotch, Comfortable Simple Leopard Print Edge, Girl's Triangle Panties</v>
      </c>
      <c r="C167" s="16" t="str">
        <f>IFERROR(__xludf.DUMMYFUNCTION("""COMPUTED_VALUE"""),"https://vt.tiktok.com/ZSHTpm7X261bP-om4E5/")</f>
        <v>https://vt.tiktok.com/ZSHTpm7X261bP-om4E5/</v>
      </c>
      <c r="D167" s="17" t="str">
        <f>IFERROR(__xludf.DUMMYFUNCTION("""COMPUTED_VALUE"""),"FS_WM_UD_086")</f>
        <v>FS_WM_UD_086</v>
      </c>
      <c r="E167" s="12" t="str">
        <f>IFERROR(__xludf.DUMMYFUNCTION("""COMPUTED_VALUE"""),"Women's Cotton Underwear #womenunderwear #cottonpanty")</f>
        <v>Women's Cotton Underwear #womenunderwear #cottonpanty</v>
      </c>
      <c r="F167" s="3"/>
      <c r="G167" s="3"/>
      <c r="L167" s="8"/>
      <c r="M167" s="8"/>
      <c r="N167" s="8"/>
      <c r="O167" s="8"/>
      <c r="P167" s="8"/>
      <c r="Q167" s="8"/>
    </row>
    <row r="168" ht="76.5" spans="1:17">
      <c r="A168" s="15">
        <f>IFERROR(__xludf.DUMMYFUNCTION("""COMPUTED_VALUE"""),45993)</f>
        <v>45993</v>
      </c>
      <c r="B168" s="12" t="str">
        <f>IFERROR(__xludf.DUMMYFUNCTION("""COMPUTED_VALUE"""),"Three Individually Packaged Women's Underwear, New Cotton Style, Extended Crotch, Seamless High-Waist Briefs for Girls")</f>
        <v>Three Individually Packaged Women's Underwear, New Cotton Style, Extended Crotch, Seamless High-Waist Briefs for Girls</v>
      </c>
      <c r="C168" s="16" t="str">
        <f>IFERROR(__xludf.DUMMYFUNCTION("""COMPUTED_VALUE"""),"https://vt.tiktok.com/ZSHTpuRJKJVT8-6WMX3/")</f>
        <v>https://vt.tiktok.com/ZSHTpuRJKJVT8-6WMX3/</v>
      </c>
      <c r="D168" s="17" t="str">
        <f>IFERROR(__xludf.DUMMYFUNCTION("""COMPUTED_VALUE"""),"FS_WM_UD_087")</f>
        <v>FS_WM_UD_087</v>
      </c>
      <c r="E168" s="12" t="str">
        <f>IFERROR(__xludf.DUMMYFUNCTION("""COMPUTED_VALUE"""),"Women's High Waist panty #womenunderwear #womenpanty")</f>
        <v>Women's High Waist panty #womenunderwear #womenpanty</v>
      </c>
      <c r="F168" s="3"/>
      <c r="G168" s="3"/>
      <c r="L168" s="8"/>
      <c r="M168" s="8"/>
      <c r="N168" s="8"/>
      <c r="O168" s="8"/>
      <c r="P168" s="8"/>
      <c r="Q168" s="8"/>
    </row>
    <row r="169" ht="89.25" spans="1:17">
      <c r="A169" s="15">
        <f>IFERROR(__xludf.DUMMYFUNCTION("""COMPUTED_VALUE"""),45993)</f>
        <v>45993</v>
      </c>
      <c r="B169" s="12" t="str">
        <f>IFERROR(__xludf.DUMMYFUNCTION("""COMPUTED_VALUE"""),"Ice Silk Semi-Transparent Lace Panties for Women Summer Sexy Girl Mesh Breathable Seamless Pure Cotton Crotch Triangle Underwear")</f>
        <v>Ice Silk Semi-Transparent Lace Panties for Women Summer Sexy Girl Mesh Breathable Seamless Pure Cotton Crotch Triangle Underwear</v>
      </c>
      <c r="C169" s="16" t="str">
        <f>IFERROR(__xludf.DUMMYFUNCTION("""COMPUTED_VALUE"""),"https://vt.tiktok.com/ZSHTpuHqNbcDV-fNNtb/")</f>
        <v>https://vt.tiktok.com/ZSHTpuHqNbcDV-fNNtb/</v>
      </c>
      <c r="D169" s="17" t="str">
        <f>IFERROR(__xludf.DUMMYFUNCTION("""COMPUTED_VALUE"""),"FS_WM_UD_088")</f>
        <v>FS_WM_UD_088</v>
      </c>
      <c r="E169" s="12" t="str">
        <f>IFERROR(__xludf.DUMMYFUNCTION("""COMPUTED_VALUE"""),"Women's Cotton Underwear #womenunderwear #cottonpanty")</f>
        <v>Women's Cotton Underwear #womenunderwear #cottonpanty</v>
      </c>
      <c r="F169" s="3"/>
      <c r="G169" s="3"/>
      <c r="L169" s="8"/>
      <c r="M169" s="8"/>
      <c r="N169" s="8"/>
      <c r="O169" s="8"/>
      <c r="P169" s="8"/>
      <c r="Q169" s="8"/>
    </row>
    <row r="170" ht="89.25" spans="1:17">
      <c r="A170" s="15">
        <f>IFERROR(__xludf.DUMMYFUNCTION("""COMPUTED_VALUE"""),46002)</f>
        <v>46002</v>
      </c>
      <c r="B170" s="12" t="str">
        <f>IFERROR(__xludf.DUMMYFUNCTION("""COMPUTED_VALUE"""),"6 PCS Ice Silk Seamless Contrast Color Girl's Underwear Women's Breathable Lengthened Crotch Summer Lightweight Student Briefs Women's")</f>
        <v>6 PCS Ice Silk Seamless Contrast Color Girl's Underwear Women's Breathable Lengthened Crotch Summer Lightweight Student Briefs Women's</v>
      </c>
      <c r="C170" s="16" t="str">
        <f>IFERROR(__xludf.DUMMYFUNCTION("""COMPUTED_VALUE"""),"https://vt.tiktok.com/ZSHwfwDCCABXy-2kLm9/")</f>
        <v>https://vt.tiktok.com/ZSHwfwDCCABXy-2kLm9/</v>
      </c>
      <c r="D170" s="17" t="str">
        <f>IFERROR(__xludf.DUMMYFUNCTION("""COMPUTED_VALUE"""),"FS_WM_UD_089")</f>
        <v>FS_WM_UD_089</v>
      </c>
      <c r="E170" s="12" t="str">
        <f>IFERROR(__xludf.DUMMYFUNCTION("""COMPUTED_VALUE"""),"6 PCS Ice Silk Seamless Women’s Briefs #womenunderwear #womenpanty")</f>
        <v>6 PCS Ice Silk Seamless Women’s Briefs #womenunderwear #womenpanty</v>
      </c>
      <c r="F170" s="3"/>
      <c r="G170" s="3"/>
      <c r="L170" s="8"/>
      <c r="M170" s="8"/>
      <c r="N170" s="8"/>
      <c r="O170" s="8"/>
      <c r="P170" s="8"/>
      <c r="Q170" s="8"/>
    </row>
    <row r="171" ht="63.75" spans="1:17">
      <c r="A171" s="15">
        <f>IFERROR(__xludf.DUMMYFUNCTION("""COMPUTED_VALUE"""),46002)</f>
        <v>46002</v>
      </c>
      <c r="B171" s="12" t="str">
        <f>IFERROR(__xludf.DUMMYFUNCTION("""COMPUTED_VALUE"""),"Ice silk seamless underwear comfortable and breathable skin-friendly sexy women's briefs")</f>
        <v>Ice silk seamless underwear comfortable and breathable skin-friendly sexy women's briefs</v>
      </c>
      <c r="C171" s="16" t="str">
        <f>IFERROR(__xludf.DUMMYFUNCTION("""COMPUTED_VALUE"""),"vt.tiktok.com/ZSHwuYeD4Lmof-VlpiH/")</f>
        <v>vt.tiktok.com/ZSHwuYeD4Lmof-VlpiH/</v>
      </c>
      <c r="D171" s="17" t="str">
        <f>IFERROR(__xludf.DUMMYFUNCTION("""COMPUTED_VALUE"""),"FS_WM_UD_090")</f>
        <v>FS_WM_UD_090</v>
      </c>
      <c r="E171" s="12" t="str">
        <f>IFERROR(__xludf.DUMMYFUNCTION("""COMPUTED_VALUE"""),"Ice Silk Seamless Women’s Briefs #womenunderwear #womenpanty")</f>
        <v>Ice Silk Seamless Women’s Briefs #womenunderwear #womenpanty</v>
      </c>
      <c r="F171" s="3"/>
      <c r="G171" s="3"/>
      <c r="L171" s="8"/>
      <c r="M171" s="8"/>
      <c r="N171" s="8"/>
      <c r="O171" s="8"/>
      <c r="P171" s="8"/>
      <c r="Q171" s="8"/>
    </row>
    <row r="172" ht="76.5" spans="1:17">
      <c r="A172" s="15">
        <f>IFERROR(__xludf.DUMMYFUNCTION("""COMPUTED_VALUE"""),46008)</f>
        <v>46008</v>
      </c>
      <c r="B172" s="12" t="str">
        <f>IFERROR(__xludf.DUMMYFUNCTION("""COMPUTED_VALUE"""),"FINETOO S-XL Cotton Boxer Panty For Women High-Quality Mid-Waist Underwear Super Thin Seamless Safety Innerwear")</f>
        <v>FINETOO S-XL Cotton Boxer Panty For Women High-Quality Mid-Waist Underwear Super Thin Seamless Safety Innerwear</v>
      </c>
      <c r="C172" s="16" t="str">
        <f>IFERROR(__xludf.DUMMYFUNCTION("""COMPUTED_VALUE"""),"vt.tiktok.com/ZSHwwU2eUSmf8-pYUS0/")</f>
        <v>vt.tiktok.com/ZSHwwU2eUSmf8-pYUS0/</v>
      </c>
      <c r="D172" s="17" t="str">
        <f>IFERROR(__xludf.DUMMYFUNCTION("""COMPUTED_VALUE"""),"FS_WM_UD_091")</f>
        <v>FS_WM_UD_091</v>
      </c>
      <c r="E172" s="12" t="str">
        <f>IFERROR(__xludf.DUMMYFUNCTION("""COMPUTED_VALUE"""),"FINETOO Women's Cotton Boxer #finetoo #womenunderwear")</f>
        <v>FINETOO Women's Cotton Boxer #finetoo #womenunderwear</v>
      </c>
      <c r="F172" s="3"/>
      <c r="G172" s="3"/>
      <c r="L172" s="8"/>
      <c r="M172" s="8"/>
      <c r="N172" s="8"/>
      <c r="O172" s="8"/>
      <c r="P172" s="8"/>
      <c r="Q172" s="8"/>
    </row>
    <row r="173" ht="51" spans="1:17">
      <c r="A173" s="15">
        <f>IFERROR(__xludf.DUMMYFUNCTION("""COMPUTED_VALUE"""),46010)</f>
        <v>46010</v>
      </c>
      <c r="B173" s="12" t="str">
        <f>IFERROR(__xludf.DUMMYFUNCTION("""COMPUTED_VALUE"""),"High Waist Belly Contracting Women's Underwear")</f>
        <v>High Waist Belly Contracting Women's Underwear</v>
      </c>
      <c r="C173" s="16" t="str">
        <f>IFERROR(__xludf.DUMMYFUNCTION("""COMPUTED_VALUE"""),"https://vt.tiktok.com/ZSHK88LWEcP37-hNk3y/")</f>
        <v>https://vt.tiktok.com/ZSHK88LWEcP37-hNk3y/</v>
      </c>
      <c r="D173" s="17" t="str">
        <f>IFERROR(__xludf.DUMMYFUNCTION("""COMPUTED_VALUE"""),"FS_WM_UD_092")</f>
        <v>FS_WM_UD_092</v>
      </c>
      <c r="E173" s="12" t="str">
        <f>IFERROR(__xludf.DUMMYFUNCTION("""COMPUTED_VALUE"""),"Women's High Waist panty #womenunderwear #womenpanty")</f>
        <v>Women's High Waist panty #womenunderwear #womenpanty</v>
      </c>
      <c r="F173" s="3"/>
      <c r="G173" s="3"/>
      <c r="L173" s="8"/>
      <c r="M173" s="8"/>
      <c r="N173" s="8"/>
      <c r="O173" s="8"/>
      <c r="P173" s="8"/>
      <c r="Q173" s="8"/>
    </row>
    <row r="174" ht="76.5" spans="1:17">
      <c r="A174" s="15">
        <f>IFERROR(__xludf.DUMMYFUNCTION("""COMPUTED_VALUE"""),46011)</f>
        <v>46011</v>
      </c>
      <c r="B174" s="12" t="str">
        <f>IFERROR(__xludf.DUMMYFUNCTION("""COMPUTED_VALUE"""),"Sexy Lace Underwear High-Waist Full-Coverage Innerwear Brathable Comfy Panties Super Soft Material Womenswear")</f>
        <v>Sexy Lace Underwear High-Waist Full-Coverage Innerwear Brathable Comfy Panties Super Soft Material Womenswear</v>
      </c>
      <c r="C174" s="16" t="str">
        <f>IFERROR(__xludf.DUMMYFUNCTION("""COMPUTED_VALUE"""),"vt.tiktok.com/ZSHKF3X5xvrrw-deqVN/")</f>
        <v>vt.tiktok.com/ZSHKF3X5xvrrw-deqVN/</v>
      </c>
      <c r="D174" s="17" t="str">
        <f>IFERROR(__xludf.DUMMYFUNCTION("""COMPUTED_VALUE"""),"FS_WM_UD_093")</f>
        <v>FS_WM_UD_093</v>
      </c>
      <c r="E174" s="12" t="str">
        <f>IFERROR(__xludf.DUMMYFUNCTION("""COMPUTED_VALUE"""),"FINETOO Sexy Lace Underwear
#finetoo #laceunderwear")</f>
        <v>FINETOO Sexy Lace Underwear
#finetoo #laceunderwear</v>
      </c>
      <c r="F174" s="3"/>
      <c r="G174" s="3"/>
      <c r="L174" s="8"/>
      <c r="M174" s="8"/>
      <c r="N174" s="8"/>
      <c r="O174" s="8"/>
      <c r="P174" s="8"/>
      <c r="Q174" s="8"/>
    </row>
    <row r="175" ht="89.25" spans="1:17">
      <c r="A175" s="15">
        <f>IFERROR(__xludf.DUMMYFUNCTION("""COMPUTED_VALUE"""),46011)</f>
        <v>46011</v>
      </c>
      <c r="B175" s="12" t="str">
        <f>IFERROR(__xludf.DUMMYFUNCTION("""COMPUTED_VALUE"""),"Seamless Women's Underwear Cotton Antibacterial Plus Size Breathable Student Korean Style Mid-Waist Girls' Triangle Briefs ATK pwet foam women")</f>
        <v>Seamless Women's Underwear Cotton Antibacterial Plus Size Breathable Student Korean Style Mid-Waist Girls' Triangle Briefs ATK pwet foam women</v>
      </c>
      <c r="C175" s="16" t="str">
        <f>IFERROR(__xludf.DUMMYFUNCTION("""COMPUTED_VALUE"""),"vt.tiktok.com/ZSHKYxve2953K-XXikb/")</f>
        <v>vt.tiktok.com/ZSHKYxve2953K-XXikb/</v>
      </c>
      <c r="D175" s="17" t="str">
        <f>IFERROR(__xludf.DUMMYFUNCTION("""COMPUTED_VALUE"""),"FS_WM_UD_094")</f>
        <v>FS_WM_UD_094</v>
      </c>
      <c r="E175" s="12" t="str">
        <f>IFERROR(__xludf.DUMMYFUNCTION("""COMPUTED_VALUE"""),"Women's Cotton Underwear #womenunderwear #cottonpanty")</f>
        <v>Women's Cotton Underwear #womenunderwear #cottonpanty</v>
      </c>
      <c r="F175" s="3"/>
      <c r="G175" s="3"/>
      <c r="L175" s="8"/>
      <c r="M175" s="8"/>
      <c r="N175" s="8"/>
      <c r="O175" s="8"/>
      <c r="P175" s="8"/>
      <c r="Q175" s="8"/>
    </row>
    <row r="176" ht="76.5" spans="1:17">
      <c r="A176" s="15">
        <f>IFERROR(__xludf.DUMMYFUNCTION("""COMPUTED_VALUE"""),45969)</f>
        <v>45969</v>
      </c>
      <c r="B176" s="12" t="str">
        <f>IFERROR(__xludf.DUMMYFUNCTION("""COMPUTED_VALUE"""),"WIS Seamless Fit Suji Bra Womenswear Lingerie Comfort Bra Lady Basic Minimalist Wireless Push-Up Innerwear")</f>
        <v>WIS Seamless Fit Suji Bra Womenswear Lingerie Comfort Bra Lady Basic Minimalist Wireless Push-Up Innerwear</v>
      </c>
      <c r="C176" s="16" t="str">
        <f>IFERROR(__xludf.DUMMYFUNCTION("""COMPUTED_VALUE"""),"https://vt.tiktok.com/ZSHctxaYypGu9-4Xpoz/")</f>
        <v>https://vt.tiktok.com/ZSHctxaYypGu9-4Xpoz/</v>
      </c>
      <c r="D176" s="17" t="str">
        <f>IFERROR(__xludf.DUMMYFUNCTION("""COMPUTED_VALUE"""),"FS_WM_UP_001")</f>
        <v>FS_WM_UP_001</v>
      </c>
      <c r="E176" s="12" t="str">
        <f>IFERROR(__xludf.DUMMYFUNCTION("""COMPUTED_VALUE"""),"WIS Seamless Bra #WIS #seamlessbra")</f>
        <v>WIS Seamless Bra #WIS #seamlessbra</v>
      </c>
      <c r="F176" s="3"/>
      <c r="G176" s="3"/>
      <c r="L176" s="8"/>
      <c r="M176" s="8"/>
      <c r="N176" s="8"/>
      <c r="O176" s="8"/>
      <c r="P176" s="8"/>
      <c r="Q176" s="8"/>
    </row>
    <row r="177" ht="102" spans="1:17">
      <c r="A177" s="15">
        <f>IFERROR(__xludf.DUMMYFUNCTION("""COMPUTED_VALUE"""),45969)</f>
        <v>45969</v>
      </c>
      <c r="B177" s="12" t="str">
        <f>IFERROR(__xludf.DUMMYFUNCTION("""COMPUTED_VALUE"""),"WIS Japanese Suji Soft Seamless Square Collar Push Up Bra Womenswear Silk Ice Silk Original Lingerie Lady Comfort Fabric Strap Basic Minimalist Wireless Push-Up")</f>
        <v>WIS Japanese Suji Soft Seamless Square Collar Push Up Bra Womenswear Silk Ice Silk Original Lingerie Lady Comfort Fabric Strap Basic Minimalist Wireless Push-Up</v>
      </c>
      <c r="C177" s="16" t="str">
        <f>IFERROR(__xludf.DUMMYFUNCTION("""COMPUTED_VALUE"""),"https://vt.tiktok.com/ZSHctxt9pvaHP-D0LwY/")</f>
        <v>https://vt.tiktok.com/ZSHctxt9pvaHP-D0LwY/</v>
      </c>
      <c r="D177" s="17" t="str">
        <f>IFERROR(__xludf.DUMMYFUNCTION("""COMPUTED_VALUE"""),"FS_WM_UP_002")</f>
        <v>FS_WM_UP_002</v>
      </c>
      <c r="E177" s="12" t="str">
        <f>IFERROR(__xludf.DUMMYFUNCTION("""COMPUTED_VALUE"""),"WIS Seamless Bra #WIS #seamlessbra")</f>
        <v>WIS Seamless Bra #WIS #seamlessbra</v>
      </c>
      <c r="F177" s="3"/>
      <c r="G177" s="3"/>
      <c r="L177" s="8"/>
      <c r="M177" s="8"/>
      <c r="N177" s="8"/>
      <c r="O177" s="8"/>
      <c r="P177" s="8"/>
      <c r="Q177" s="8"/>
    </row>
    <row r="178" ht="102" spans="1:17">
      <c r="A178" s="15">
        <f>IFERROR(__xludf.DUMMYFUNCTION("""COMPUTED_VALUE"""),45969)</f>
        <v>45969</v>
      </c>
      <c r="B178" s="12" t="str">
        <f>IFERROR(__xludf.DUMMYFUNCTION("""COMPUTED_VALUE"""),"BUY 2, TAKE 1 WIS Seamless Comfortable Everyday Use Bra for Women Foam Womenswear Lingerie Lady Bridal Basic Minimalist Wireless Push-Up")</f>
        <v>BUY 2, TAKE 1 WIS Seamless Comfortable Everyday Use Bra for Women Foam Womenswear Lingerie Lady Bridal Basic Minimalist Wireless Push-Up</v>
      </c>
      <c r="C178" s="16" t="str">
        <f>IFERROR(__xludf.DUMMYFUNCTION("""COMPUTED_VALUE"""),"https://vt.tiktok.com/ZSHctxocLD3ne-CXWr7/")</f>
        <v>https://vt.tiktok.com/ZSHctxocLD3ne-CXWr7/</v>
      </c>
      <c r="D178" s="17" t="str">
        <f>IFERROR(__xludf.DUMMYFUNCTION("""COMPUTED_VALUE"""),"FS_WM_UP_003")</f>
        <v>FS_WM_UP_003</v>
      </c>
      <c r="E178" s="12" t="str">
        <f>IFERROR(__xludf.DUMMYFUNCTION("""COMPUTED_VALUE"""),"WIS Seamless Bra #WIS #seamlessbra")</f>
        <v>WIS Seamless Bra #WIS #seamlessbra</v>
      </c>
      <c r="F178" s="3"/>
      <c r="G178" s="3"/>
      <c r="L178" s="8"/>
      <c r="M178" s="8"/>
      <c r="N178" s="8"/>
      <c r="O178" s="8"/>
      <c r="P178" s="8"/>
      <c r="Q178" s="8"/>
    </row>
    <row r="179" ht="76.5" spans="1:17">
      <c r="A179" s="15">
        <f>IFERROR(__xludf.DUMMYFUNCTION("""COMPUTED_VALUE"""),45969)</f>
        <v>45969</v>
      </c>
      <c r="B179" s="12" t="str">
        <f>IFERROR(__xludf.DUMMYFUNCTION("""COMPUTED_VALUE"""),"WIS Pastel Checkered Seamless Soft Push Up Bra for Women Womenswear Lingerie Lady Comfort Spot Plaid Wireless Push-Up")</f>
        <v>WIS Pastel Checkered Seamless Soft Push Up Bra for Women Womenswear Lingerie Lady Comfort Spot Plaid Wireless Push-Up</v>
      </c>
      <c r="C179" s="16" t="str">
        <f>IFERROR(__xludf.DUMMYFUNCTION("""COMPUTED_VALUE"""),"https://vt.tiktok.com/ZSHctVPjbj71o-N1E19/")</f>
        <v>https://vt.tiktok.com/ZSHctVPjbj71o-N1E19/</v>
      </c>
      <c r="D179" s="17" t="str">
        <f>IFERROR(__xludf.DUMMYFUNCTION("""COMPUTED_VALUE"""),"FS_WM_UP_004")</f>
        <v>FS_WM_UP_004</v>
      </c>
      <c r="E179" s="12" t="str">
        <f>IFERROR(__xludf.DUMMYFUNCTION("""COMPUTED_VALUE"""),"WIS Push up Bra #WIS #pushupbra")</f>
        <v>WIS Push up Bra #WIS #pushupbra</v>
      </c>
      <c r="F179" s="3"/>
      <c r="G179" s="3"/>
      <c r="L179" s="8"/>
      <c r="M179" s="8"/>
      <c r="N179" s="8"/>
      <c r="O179" s="8"/>
      <c r="P179" s="8"/>
      <c r="Q179" s="8"/>
    </row>
    <row r="180" ht="63.75" spans="1:17">
      <c r="A180" s="15">
        <f>IFERROR(__xludf.DUMMYFUNCTION("""COMPUTED_VALUE"""),45972)</f>
        <v>45972</v>
      </c>
      <c r="B180" s="12" t="str">
        <f>IFERROR(__xludf.DUMMYFUNCTION("""COMPUTED_VALUE"""),"CAP IN 4 Colors One piece Jelly Feeling Seamless Bra for Women Womenswear Lingerie")</f>
        <v>CAP IN 4 Colors One piece Jelly Feeling Seamless Bra for Women Womenswear Lingerie</v>
      </c>
      <c r="C180" s="16" t="str">
        <f>IFERROR(__xludf.DUMMYFUNCTION("""COMPUTED_VALUE"""),"https://vt.tiktok.com/ZSH3JMPtmuQGL-LkgVM/")</f>
        <v>https://vt.tiktok.com/ZSH3JMPtmuQGL-LkgVM/</v>
      </c>
      <c r="D180" s="17" t="str">
        <f>IFERROR(__xludf.DUMMYFUNCTION("""COMPUTED_VALUE"""),"FS_WM_UP_005")</f>
        <v>FS_WM_UP_005</v>
      </c>
      <c r="E180" s="12" t="str">
        <f>IFERROR(__xludf.DUMMYFUNCTION("""COMPUTED_VALUE"""),"CAPIN Seamless Bra #seamlessbra #womenbra")</f>
        <v>CAPIN Seamless Bra #seamlessbra #womenbra</v>
      </c>
      <c r="F180" s="3"/>
      <c r="G180" s="3"/>
      <c r="L180" s="8"/>
      <c r="M180" s="8"/>
      <c r="N180" s="8"/>
      <c r="O180" s="8"/>
      <c r="P180" s="8"/>
      <c r="Q180" s="8"/>
    </row>
    <row r="181" ht="63.75" spans="1:17">
      <c r="A181" s="15">
        <f>IFERROR(__xludf.DUMMYFUNCTION("""COMPUTED_VALUE"""),45972)</f>
        <v>45972</v>
      </c>
      <c r="B181" s="12" t="str">
        <f>IFERROR(__xludf.DUMMYFUNCTION("""COMPUTED_VALUE"""),"BUY 2 TAKE 1 Umiwear Thin cotton without steel ring gathered Girls bra Women Cotton bra Without Steel Ring bras")</f>
        <v>BUY 2 TAKE 1 Umiwear Thin cotton without steel ring gathered Girls bra Women Cotton bra Without Steel Ring bras</v>
      </c>
      <c r="C181" s="16" t="str">
        <f>IFERROR(__xludf.DUMMYFUNCTION("""COMPUTED_VALUE"""),"vt.tiktok.com/ZSH3e2Ttwb3JR-I7xkS/")</f>
        <v>vt.tiktok.com/ZSH3e2Ttwb3JR-I7xkS/</v>
      </c>
      <c r="D181" s="17" t="str">
        <f>IFERROR(__xludf.DUMMYFUNCTION("""COMPUTED_VALUE"""),"FS_WM_UP_006")</f>
        <v>FS_WM_UP_006</v>
      </c>
      <c r="E181" s="12" t="str">
        <f>IFERROR(__xludf.DUMMYFUNCTION("""COMPUTED_VALUE"""),"Umiwear Women's Bra #umiwear #womenbra")</f>
        <v>Umiwear Women's Bra #umiwear #womenbra</v>
      </c>
      <c r="F181" s="3"/>
      <c r="G181" s="3"/>
      <c r="L181" s="8"/>
      <c r="M181" s="8"/>
      <c r="N181" s="8"/>
      <c r="O181" s="8"/>
      <c r="P181" s="8"/>
      <c r="Q181" s="8"/>
    </row>
    <row r="182" ht="76.5" spans="1:17">
      <c r="A182" s="15">
        <f>IFERROR(__xludf.DUMMYFUNCTION("""COMPUTED_VALUE"""),45973)</f>
        <v>45973</v>
      </c>
      <c r="B182" s="12" t="str">
        <f>IFERROR(__xludf.DUMMYFUNCTION("""COMPUTED_VALUE"""),"IsabelleQ Cup B Printed &amp; Strapless bra W/ wire bra #ZHH38 Maroon Womenswear Asian Lingerie Lady Comfort Bridal Chic Elegant")</f>
        <v>IsabelleQ Cup B Printed &amp; Strapless bra W/ wire bra #ZHH38 Maroon Womenswear Asian Lingerie Lady Comfort Bridal Chic Elegant</v>
      </c>
      <c r="C182" s="16" t="str">
        <f>IFERROR(__xludf.DUMMYFUNCTION("""COMPUTED_VALUE"""),"vt.tiktok.com/ZSH38D2ewLVE4-67lu3/")</f>
        <v>vt.tiktok.com/ZSH38D2ewLVE4-67lu3/</v>
      </c>
      <c r="D182" s="17" t="str">
        <f>IFERROR(__xludf.DUMMYFUNCTION("""COMPUTED_VALUE"""),"FS_WM_UP_007")</f>
        <v>FS_WM_UP_007</v>
      </c>
      <c r="E182" s="12" t="str">
        <f>IFERROR(__xludf.DUMMYFUNCTION("""COMPUTED_VALUE"""),"Isabelle.Q Women's Bra #isablleq #womenbra")</f>
        <v>Isabelle.Q Women's Bra #isablleq #womenbra</v>
      </c>
      <c r="F182" s="3"/>
      <c r="G182" s="3"/>
      <c r="L182" s="8"/>
      <c r="M182" s="8"/>
      <c r="N182" s="8"/>
      <c r="O182" s="8"/>
      <c r="P182" s="8"/>
      <c r="Q182" s="8"/>
    </row>
    <row r="183" ht="63.75" spans="1:17">
      <c r="A183" s="15">
        <f>IFERROR(__xludf.DUMMYFUNCTION("""COMPUTED_VALUE"""),45973)</f>
        <v>45973</v>
      </c>
      <c r="B183" s="12" t="str">
        <f>IFERROR(__xludf.DUMMYFUNCTION("""COMPUTED_VALUE"""),"Rhian Women Push Up tshirt bra sexy Underwear for Women plus size Lingerie comfortable bra with wire")</f>
        <v>Rhian Women Push Up tshirt bra sexy Underwear for Women plus size Lingerie comfortable bra with wire</v>
      </c>
      <c r="C183" s="16" t="str">
        <f>IFERROR(__xludf.DUMMYFUNCTION("""COMPUTED_VALUE"""),"vt.tiktok.com/ZSH38DQ2owmDv-bbgwz/")</f>
        <v>vt.tiktok.com/ZSH38DQ2owmDv-bbgwz/</v>
      </c>
      <c r="D183" s="17" t="str">
        <f>IFERROR(__xludf.DUMMYFUNCTION("""COMPUTED_VALUE"""),"FS_WM_UP_008")</f>
        <v>FS_WM_UP_008</v>
      </c>
      <c r="E183" s="12" t="str">
        <f>IFERROR(__xludf.DUMMYFUNCTION("""COMPUTED_VALUE"""),"Rhian Women Push Up Bra #pushupbra #rhian")</f>
        <v>Rhian Women Push Up Bra #pushupbra #rhian</v>
      </c>
      <c r="F183" s="3"/>
      <c r="G183" s="3"/>
      <c r="L183" s="8"/>
      <c r="M183" s="8"/>
      <c r="N183" s="8"/>
      <c r="O183" s="8"/>
      <c r="P183" s="8"/>
      <c r="Q183" s="8"/>
    </row>
    <row r="184" ht="63.75" spans="1:17">
      <c r="A184" s="15">
        <f>IFERROR(__xludf.DUMMYFUNCTION("""COMPUTED_VALUE"""),45973)</f>
        <v>45973</v>
      </c>
      <c r="B184" s="12" t="str">
        <f>IFERROR(__xludf.DUMMYFUNCTION("""COMPUTED_VALUE"""),"Rhian Sexy Plain Buckle Seamless Bra Push up for women wide strap Non-Wire soft comfortable Lingerie")</f>
        <v>Rhian Sexy Plain Buckle Seamless Bra Push up for women wide strap Non-Wire soft comfortable Lingerie</v>
      </c>
      <c r="C184" s="16" t="str">
        <f>IFERROR(__xludf.DUMMYFUNCTION("""COMPUTED_VALUE"""),"vt.tiktok.com/ZSH38DE82w88c-n1nNy/")</f>
        <v>vt.tiktok.com/ZSH38DE82w88c-n1nNy/</v>
      </c>
      <c r="D184" s="17" t="str">
        <f>IFERROR(__xludf.DUMMYFUNCTION("""COMPUTED_VALUE"""),"FS_WM_UP_009")</f>
        <v>FS_WM_UP_009</v>
      </c>
      <c r="E184" s="12" t="str">
        <f>IFERROR(__xludf.DUMMYFUNCTION("""COMPUTED_VALUE"""),"Rhian Seamless Bra #rhian #seamlessbra")</f>
        <v>Rhian Seamless Bra #rhian #seamlessbra</v>
      </c>
      <c r="F184" s="3"/>
      <c r="G184" s="3"/>
      <c r="L184" s="8"/>
      <c r="M184" s="8"/>
      <c r="N184" s="8"/>
      <c r="O184" s="8"/>
      <c r="P184" s="8"/>
      <c r="Q184" s="8"/>
    </row>
    <row r="185" ht="51" spans="1:17">
      <c r="A185" s="15">
        <f>IFERROR(__xludf.DUMMYFUNCTION("""COMPUTED_VALUE"""),45973)</f>
        <v>45973</v>
      </c>
      <c r="B185" s="12" t="str">
        <f>IFERROR(__xludf.DUMMYFUNCTION("""COMPUTED_VALUE"""),"Japanese Seamless Bra Non-wire Pushup Bra Massaging Bra Strap Removable")</f>
        <v>Japanese Seamless Bra Non-wire Pushup Bra Massaging Bra Strap Removable</v>
      </c>
      <c r="C185" s="16" t="str">
        <f>IFERROR(__xludf.DUMMYFUNCTION("""COMPUTED_VALUE"""),"vt.tiktok.com/ZSH38yaPANAvh-gcOrh/")</f>
        <v>vt.tiktok.com/ZSH38yaPANAvh-gcOrh/</v>
      </c>
      <c r="D185" s="17" t="str">
        <f>IFERROR(__xludf.DUMMYFUNCTION("""COMPUTED_VALUE"""),"FS_WM_UP_010")</f>
        <v>FS_WM_UP_010</v>
      </c>
      <c r="E185" s="12" t="str">
        <f>IFERROR(__xludf.DUMMYFUNCTION("""COMPUTED_VALUE"""),"Seamless Bra #womenbra #seamlessbra")</f>
        <v>Seamless Bra #womenbra #seamlessbra</v>
      </c>
      <c r="F185" s="3"/>
      <c r="G185" s="3"/>
      <c r="L185" s="8"/>
      <c r="M185" s="8"/>
      <c r="N185" s="8"/>
      <c r="O185" s="8"/>
      <c r="P185" s="8"/>
      <c r="Q185" s="8"/>
    </row>
    <row r="186" ht="63.75" spans="1:17">
      <c r="A186" s="15">
        <f>IFERROR(__xludf.DUMMYFUNCTION("""COMPUTED_VALUE"""),45973)</f>
        <v>45973</v>
      </c>
      <c r="B186" s="12" t="str">
        <f>IFERROR(__xludf.DUMMYFUNCTION("""COMPUTED_VALUE"""),"Sunny Cup B Nonwire Seamless Bra Size: 36-48B
#NB01 Cotton Womenswear")</f>
        <v>Sunny Cup B Nonwire Seamless Bra Size: 36-48B
#NB01 Cotton Womenswear</v>
      </c>
      <c r="C186" s="16" t="str">
        <f>IFERROR(__xludf.DUMMYFUNCTION("""COMPUTED_VALUE"""),"vt.tiktok.com/ZSH38PV9CCLfr-oaxJ2/")</f>
        <v>vt.tiktok.com/ZSH38PV9CCLfr-oaxJ2/</v>
      </c>
      <c r="D186" s="17" t="str">
        <f>IFERROR(__xludf.DUMMYFUNCTION("""COMPUTED_VALUE"""),"FS_WM_UP_011")</f>
        <v>FS_WM_UP_011</v>
      </c>
      <c r="E186" s="12" t="str">
        <f>IFERROR(__xludf.DUMMYFUNCTION("""COMPUTED_VALUE"""),"Seamless Bra #womenbra #seamlessbra")</f>
        <v>Seamless Bra #womenbra #seamlessbra</v>
      </c>
      <c r="F186" s="3"/>
      <c r="G186" s="3"/>
      <c r="L186" s="8"/>
      <c r="M186" s="8"/>
      <c r="N186" s="8"/>
      <c r="O186" s="8"/>
      <c r="P186" s="8"/>
      <c r="Q186" s="8"/>
    </row>
    <row r="187" ht="63.75" spans="1:17">
      <c r="A187" s="15">
        <f>IFERROR(__xludf.DUMMYFUNCTION("""COMPUTED_VALUE"""),45973)</f>
        <v>45973</v>
      </c>
      <c r="B187" s="12" t="str">
        <f>IFERROR(__xludf.DUMMYFUNCTION("""COMPUTED_VALUE"""),"Rhian non wire plus size 32-40 korean seamless Push up bra for woman wireless underwear with foam")</f>
        <v>Rhian non wire plus size 32-40 korean seamless Push up bra for woman wireless underwear with foam</v>
      </c>
      <c r="C187" s="16" t="str">
        <f>IFERROR(__xludf.DUMMYFUNCTION("""COMPUTED_VALUE"""),"vt.tiktok.com/ZSH38aryMdeqy-Dz272/")</f>
        <v>vt.tiktok.com/ZSH38aryMdeqy-Dz272/</v>
      </c>
      <c r="D187" s="17" t="str">
        <f>IFERROR(__xludf.DUMMYFUNCTION("""COMPUTED_VALUE"""),"FS_WM_UP_012")</f>
        <v>FS_WM_UP_012</v>
      </c>
      <c r="E187" s="12" t="str">
        <f>IFERROR(__xludf.DUMMYFUNCTION("""COMPUTED_VALUE"""),"Rhian  seamless bra #rhian #seamlessbra")</f>
        <v>Rhian  seamless bra #rhian #seamlessbra</v>
      </c>
      <c r="F187" s="3"/>
      <c r="G187" s="3"/>
      <c r="L187" s="8"/>
      <c r="M187" s="8"/>
      <c r="N187" s="8"/>
      <c r="O187" s="8"/>
      <c r="P187" s="8"/>
      <c r="Q187" s="8"/>
    </row>
    <row r="188" ht="102" spans="1:17">
      <c r="A188" s="15">
        <f>IFERROR(__xludf.DUMMYFUNCTION("""COMPUTED_VALUE"""),45973)</f>
        <v>45973</v>
      </c>
      <c r="B188" s="12" t="str">
        <f>IFERROR(__xludf.DUMMYFUNCTION("""COMPUTED_VALUE"""),"A&amp;K Collectives Women's Push Up Bras Non-detachable Lingerie Underwear Bra Adjustable Brassiere B Cup 36-42 126 Wireless 3/4 Thincup Rose Strap Basic Minimalist")</f>
        <v>A&amp;K Collectives Women's Push Up Bras Non-detachable Lingerie Underwear Bra Adjustable Brassiere B Cup 36-42 126 Wireless 3/4 Thincup Rose Strap Basic Minimalist</v>
      </c>
      <c r="C188" s="16" t="str">
        <f>IFERROR(__xludf.DUMMYFUNCTION("""COMPUTED_VALUE"""),"vt.tiktok.com/ZSH38uL9PdFAM-pk7cQ/")</f>
        <v>vt.tiktok.com/ZSH38uL9PdFAM-pk7cQ/</v>
      </c>
      <c r="D188" s="17" t="str">
        <f>IFERROR(__xludf.DUMMYFUNCTION("""COMPUTED_VALUE"""),"FS_WM_UP_013")</f>
        <v>FS_WM_UP_013</v>
      </c>
      <c r="E188" s="12" t="str">
        <f>IFERROR(__xludf.DUMMYFUNCTION("""COMPUTED_VALUE"""),"Push Up Bra #pushupbra #womenbra")</f>
        <v>Push Up Bra #pushupbra #womenbra</v>
      </c>
      <c r="F188" s="3"/>
      <c r="G188" s="3"/>
      <c r="L188" s="8"/>
      <c r="M188" s="8"/>
      <c r="N188" s="8"/>
      <c r="O188" s="8"/>
      <c r="P188" s="8"/>
      <c r="Q188" s="8"/>
    </row>
    <row r="189" ht="38.25" spans="1:17">
      <c r="A189" s="15">
        <f>IFERROR(__xludf.DUMMYFUNCTION("""COMPUTED_VALUE"""),45973)</f>
        <v>45973</v>
      </c>
      <c r="B189" s="12" t="str">
        <f>IFERROR(__xludf.DUMMYFUNCTION("""COMPUTED_VALUE"""),"Isabelle.Q Womenswear Comfort - New Tube
Style Non-wire Bra #A33")</f>
        <v>Isabelle.Q Womenswear Comfort - New Tube
Style Non-wire Bra #A33</v>
      </c>
      <c r="C189" s="16" t="str">
        <f>IFERROR(__xludf.DUMMYFUNCTION("""COMPUTED_VALUE"""),"vt.tiktok.com/ZSH38usPYMQ5v-TD6cN/")</f>
        <v>vt.tiktok.com/ZSH38usPYMQ5v-TD6cN/</v>
      </c>
      <c r="D189" s="17" t="str">
        <f>IFERROR(__xludf.DUMMYFUNCTION("""COMPUTED_VALUE"""),"FS_WM_UP_014")</f>
        <v>FS_WM_UP_014</v>
      </c>
      <c r="E189" s="12" t="str">
        <f>IFERROR(__xludf.DUMMYFUNCTION("""COMPUTED_VALUE"""),"Isabelle.Q Women Bra #isabelleq #womenbra")</f>
        <v>Isabelle.Q Women Bra #isabelleq #womenbra</v>
      </c>
      <c r="F189" s="3"/>
      <c r="G189" s="3"/>
      <c r="L189" s="8"/>
      <c r="M189" s="8"/>
      <c r="N189" s="8"/>
      <c r="O189" s="8"/>
      <c r="P189" s="8"/>
      <c r="Q189" s="8"/>
    </row>
    <row r="190" ht="51" spans="1:17">
      <c r="A190" s="15">
        <f>IFERROR(__xludf.DUMMYFUNCTION("""COMPUTED_VALUE"""),45973)</f>
        <v>45973</v>
      </c>
      <c r="B190" s="12" t="str">
        <f>IFERROR(__xludf.DUMMYFUNCTION("""COMPUTED_VALUE"""),"Isabelle.Q Adjustable Strap Womenswear Cup B cotton Push up bra comfortable bra #513")</f>
        <v>Isabelle.Q Adjustable Strap Womenswear Cup B cotton Push up bra comfortable bra #513</v>
      </c>
      <c r="C190" s="16" t="str">
        <f>IFERROR(__xludf.DUMMYFUNCTION("""COMPUTED_VALUE"""),"vt.tiktok.com/ZSH38HUavXT7c-BtXpv/")</f>
        <v>vt.tiktok.com/ZSH38HUavXT7c-BtXpv/</v>
      </c>
      <c r="D190" s="17" t="str">
        <f>IFERROR(__xludf.DUMMYFUNCTION("""COMPUTED_VALUE"""),"FS_WM_UP_015")</f>
        <v>FS_WM_UP_015</v>
      </c>
      <c r="E190" s="12" t="str">
        <f>IFERROR(__xludf.DUMMYFUNCTION("""COMPUTED_VALUE"""),"Isabelle.Q Women Bra #isabelleq #womenbra")</f>
        <v>Isabelle.Q Women Bra #isabelleq #womenbra</v>
      </c>
      <c r="F190" s="3"/>
      <c r="G190" s="3"/>
      <c r="L190" s="8"/>
      <c r="M190" s="8"/>
      <c r="N190" s="8"/>
      <c r="O190" s="8"/>
      <c r="P190" s="8"/>
      <c r="Q190" s="8"/>
    </row>
    <row r="191" ht="51" spans="1:17">
      <c r="A191" s="15">
        <f>IFERROR(__xludf.DUMMYFUNCTION("""COMPUTED_VALUE"""),45973)</f>
        <v>45973</v>
      </c>
      <c r="B191" s="12" t="str">
        <f>IFERROR(__xludf.DUMMYFUNCTION("""COMPUTED_VALUE"""),"New Women Checkered Push up Comfortable Non-Wire Lingerie Bra")</f>
        <v>New Women Checkered Push up Comfortable Non-Wire Lingerie Bra</v>
      </c>
      <c r="C191" s="16" t="str">
        <f>IFERROR(__xludf.DUMMYFUNCTION("""COMPUTED_VALUE"""),"vt.tiktok.com/ZSH389aGCMAmH-pqUzx/")</f>
        <v>vt.tiktok.com/ZSH389aGCMAmH-pqUzx/</v>
      </c>
      <c r="D191" s="17" t="str">
        <f>IFERROR(__xludf.DUMMYFUNCTION("""COMPUTED_VALUE"""),"FS_WM_UP_016")</f>
        <v>FS_WM_UP_016</v>
      </c>
      <c r="E191" s="12" t="str">
        <f>IFERROR(__xludf.DUMMYFUNCTION("""COMPUTED_VALUE"""),"ENAQLO Women's Bra #enaqlo #womenbra")</f>
        <v>ENAQLO Women's Bra #enaqlo #womenbra</v>
      </c>
      <c r="F191" s="3"/>
      <c r="G191" s="3"/>
      <c r="L191" s="8"/>
      <c r="M191" s="8"/>
      <c r="N191" s="8"/>
      <c r="O191" s="8"/>
      <c r="P191" s="8"/>
      <c r="Q191" s="8"/>
    </row>
    <row r="192" ht="38.25" spans="1:17">
      <c r="A192" s="15">
        <f>IFERROR(__xludf.DUMMYFUNCTION("""COMPUTED_VALUE"""),45973)</f>
        <v>45973</v>
      </c>
      <c r="B192" s="12" t="str">
        <f>IFERROR(__xludf.DUMMYFUNCTION("""COMPUTED_VALUE"""),"New Square Collar Seamless Push up Bra For Women")</f>
        <v>New Square Collar Seamless Push up Bra For Women</v>
      </c>
      <c r="C192" s="16" t="str">
        <f>IFERROR(__xludf.DUMMYFUNCTION("""COMPUTED_VALUE"""),"vt.tiktok.com/ZSH38xdgMYTPK-vdPmb/")</f>
        <v>vt.tiktok.com/ZSH38xdgMYTPK-vdPmb/</v>
      </c>
      <c r="D192" s="17" t="str">
        <f>IFERROR(__xludf.DUMMYFUNCTION("""COMPUTED_VALUE"""),"FS_WM_UP_017")</f>
        <v>FS_WM_UP_017</v>
      </c>
      <c r="E192" s="12" t="str">
        <f>IFERROR(__xludf.DUMMYFUNCTION("""COMPUTED_VALUE"""),"ENAQLO Push Up Bra #enaqlo #pushupbra")</f>
        <v>ENAQLO Push Up Bra #enaqlo #pushupbra</v>
      </c>
      <c r="F192" s="3"/>
      <c r="G192" s="3"/>
      <c r="L192" s="8"/>
      <c r="M192" s="8"/>
      <c r="N192" s="8"/>
      <c r="O192" s="8"/>
      <c r="P192" s="8"/>
      <c r="Q192" s="8"/>
    </row>
    <row r="193" ht="76.5" spans="1:17">
      <c r="A193" s="15">
        <f>IFERROR(__xludf.DUMMYFUNCTION("""COMPUTED_VALUE"""),45973)</f>
        <v>45973</v>
      </c>
      <c r="B193" s="12" t="str">
        <f>IFERROR(__xludf.DUMMYFUNCTION("""COMPUTED_VALUE"""),"Half thick cup without steel ring soft support sexy gather bra small chest flat chest gather show large cotton quality underwear")</f>
        <v>Half thick cup without steel ring soft support sexy gather bra small chest flat chest gather show large cotton quality underwear</v>
      </c>
      <c r="C193" s="16" t="str">
        <f>IFERROR(__xludf.DUMMYFUNCTION("""COMPUTED_VALUE"""),"vt.tiktok.com/ZSH38QfohtSKk-De2Q3/")</f>
        <v>vt.tiktok.com/ZSH38QfohtSKk-De2Q3/</v>
      </c>
      <c r="D193" s="17" t="str">
        <f>IFERROR(__xludf.DUMMYFUNCTION("""COMPUTED_VALUE"""),"FS_WM_UP_018")</f>
        <v>FS_WM_UP_018</v>
      </c>
      <c r="E193" s="12" t="str">
        <f>IFERROR(__xludf.DUMMYFUNCTION("""COMPUTED_VALUE"""),"COMFII Women's Bra #comfortroom #womenbra")</f>
        <v>COMFII Women's Bra #comfortroom #womenbra</v>
      </c>
      <c r="F193" s="3"/>
      <c r="G193" s="3"/>
      <c r="L193" s="8"/>
      <c r="M193" s="8"/>
      <c r="N193" s="8"/>
      <c r="O193" s="8"/>
      <c r="P193" s="8"/>
      <c r="Q193" s="8"/>
    </row>
    <row r="194" ht="63.75" spans="1:17">
      <c r="A194" s="15">
        <f>IFERROR(__xludf.DUMMYFUNCTION("""COMPUTED_VALUE"""),45973)</f>
        <v>45973</v>
      </c>
      <c r="B194" s="12" t="str">
        <f>IFERROR(__xludf.DUMMYFUNCTION("""COMPUTED_VALUE"""),"Rhian Front Clasped tshirt Bra sexy Underwear for Women plus size buckle lift Push up Lingerie")</f>
        <v>Rhian Front Clasped tshirt Bra sexy Underwear for Women plus size buckle lift Push up Lingerie</v>
      </c>
      <c r="C194" s="16" t="str">
        <f>IFERROR(__xludf.DUMMYFUNCTION("""COMPUTED_VALUE"""),"https://vt.tiktok.com/ZSH38qrj5rdM6-5qeoo/")</f>
        <v>https://vt.tiktok.com/ZSH38qrj5rdM6-5qeoo/</v>
      </c>
      <c r="D194" s="17" t="str">
        <f>IFERROR(__xludf.DUMMYFUNCTION("""COMPUTED_VALUE"""),"FS_WM_UP_019")</f>
        <v>FS_WM_UP_019</v>
      </c>
      <c r="E194" s="12" t="str">
        <f>IFERROR(__xludf.DUMMYFUNCTION("""COMPUTED_VALUE"""),"Rhian Front Clasped Bra #rhian #womenbra")</f>
        <v>Rhian Front Clasped Bra #rhian #womenbra</v>
      </c>
      <c r="F194" s="3"/>
      <c r="G194" s="3"/>
      <c r="L194" s="8"/>
      <c r="M194" s="8"/>
      <c r="N194" s="8"/>
      <c r="O194" s="8"/>
      <c r="P194" s="8"/>
      <c r="Q194" s="8"/>
    </row>
    <row r="195" ht="76.5" spans="1:17">
      <c r="A195" s="15">
        <f>IFERROR(__xludf.DUMMYFUNCTION("""COMPUTED_VALUE"""),45973)</f>
        <v>45973</v>
      </c>
      <c r="B195" s="12" t="str">
        <f>IFERROR(__xludf.DUMMYFUNCTION("""COMPUTED_VALUE"""),"【35-125kg】 plus size strapless bra beautiful back non wire tube top chest wrap sports wireless paded Seamless bra-MUM")</f>
        <v>【35-125kg】 plus size strapless bra beautiful back non wire tube top chest wrap sports wireless paded Seamless bra-MUM</v>
      </c>
      <c r="C195" s="16" t="str">
        <f>IFERROR(__xludf.DUMMYFUNCTION("""COMPUTED_VALUE"""),"https://vt.tiktok.com/ZSH38q4G1TYV6-H3HMP/")</f>
        <v>https://vt.tiktok.com/ZSH38q4G1TYV6-H3HMP/</v>
      </c>
      <c r="D195" s="17" t="str">
        <f>IFERROR(__xludf.DUMMYFUNCTION("""COMPUTED_VALUE"""),"FS_WM_UP_020")</f>
        <v>FS_WM_UP_020</v>
      </c>
      <c r="E195" s="12" t="str">
        <f>IFERROR(__xludf.DUMMYFUNCTION("""COMPUTED_VALUE"""),"Women's Strapless Bra #seamlessbra #straplessbra")</f>
        <v>Women's Strapless Bra #seamlessbra #straplessbra</v>
      </c>
      <c r="F195" s="3"/>
      <c r="G195" s="3"/>
      <c r="L195" s="8"/>
      <c r="M195" s="8"/>
      <c r="N195" s="8"/>
      <c r="O195" s="8"/>
      <c r="P195" s="8"/>
      <c r="Q195" s="8"/>
    </row>
    <row r="196" ht="63.75" spans="1:17">
      <c r="A196" s="15">
        <f>IFERROR(__xludf.DUMMYFUNCTION("""COMPUTED_VALUE"""),45973)</f>
        <v>45973</v>
      </c>
      <c r="B196" s="12" t="str">
        <f>IFERROR(__xludf.DUMMYFUNCTION("""COMPUTED_VALUE"""),"Women's Bra Underwired Sexy Lace Design Comfortable Adjustable Bra Ladies Lingerie Cup B")</f>
        <v>Women's Bra Underwired Sexy Lace Design Comfortable Adjustable Bra Ladies Lingerie Cup B</v>
      </c>
      <c r="C196" s="16" t="str">
        <f>IFERROR(__xludf.DUMMYFUNCTION("""COMPUTED_VALUE"""),"https://vt.tiktok.com/ZSH38bJyjmDQ7-sA4Xd/")</f>
        <v>https://vt.tiktok.com/ZSH38bJyjmDQ7-sA4Xd/</v>
      </c>
      <c r="D196" s="17" t="str">
        <f>IFERROR(__xludf.DUMMYFUNCTION("""COMPUTED_VALUE"""),"FS_WM_UP_021")</f>
        <v>FS_WM_UP_021</v>
      </c>
      <c r="E196" s="12" t="str">
        <f>IFERROR(__xludf.DUMMYFUNCTION("""COMPUTED_VALUE"""),"Women's Lace Bra #womenbra #lacebra")</f>
        <v>Women's Lace Bra #womenbra #lacebra</v>
      </c>
      <c r="F196" s="3"/>
      <c r="G196" s="3"/>
      <c r="L196" s="8"/>
      <c r="M196" s="8"/>
      <c r="N196" s="8"/>
      <c r="O196" s="8"/>
      <c r="P196" s="8"/>
      <c r="Q196" s="8"/>
    </row>
    <row r="197" ht="127.5" spans="1:17">
      <c r="A197" s="15">
        <f>IFERROR(__xludf.DUMMYFUNCTION("""COMPUTED_VALUE"""),45973)</f>
        <v>45973</v>
      </c>
      <c r="B197" s="12" t="str">
        <f>IFERROR(__xludf.DUMMYFUNCTION("""COMPUTED_VALUE"""),"WIS Front Button Seamless Non Wire Push Up Bra With Removable Strap Solid Color Wireless Womenswear Lingerie Seamless Push-Up Bra Glossy Front Closure Push-Up Bra Women Innerwear Basic")</f>
        <v>WIS Front Button Seamless Non Wire Push Up Bra With Removable Strap Solid Color Wireless Womenswear Lingerie Seamless Push-Up Bra Glossy Front Closure Push-Up Bra Women Innerwear Basic</v>
      </c>
      <c r="C197" s="16" t="str">
        <f>IFERROR(__xludf.DUMMYFUNCTION("""COMPUTED_VALUE"""),"vt.tiktok.com/ZSH38baoVCL55-odX8K/")</f>
        <v>vt.tiktok.com/ZSH38baoVCL55-odX8K/</v>
      </c>
      <c r="D197" s="17" t="str">
        <f>IFERROR(__xludf.DUMMYFUNCTION("""COMPUTED_VALUE"""),"FS_WM_UP_022")</f>
        <v>FS_WM_UP_022</v>
      </c>
      <c r="E197" s="12" t="str">
        <f>IFERROR(__xludf.DUMMYFUNCTION("""COMPUTED_VALUE"""),"WIS Front Button Bra #WIS #womenbra")</f>
        <v>WIS Front Button Bra #WIS #womenbra</v>
      </c>
      <c r="F197" s="3"/>
      <c r="G197" s="3"/>
      <c r="L197" s="8"/>
      <c r="M197" s="8"/>
      <c r="N197" s="8"/>
      <c r="O197" s="8"/>
      <c r="P197" s="8"/>
      <c r="Q197" s="8"/>
    </row>
    <row r="198" ht="51" spans="1:17">
      <c r="A198" s="15">
        <f>IFERROR(__xludf.DUMMYFUNCTION("""COMPUTED_VALUE"""),45973)</f>
        <v>45973</v>
      </c>
      <c r="B198" s="12" t="str">
        <f>IFERROR(__xludf.DUMMYFUNCTION("""COMPUTED_VALUE"""),"Buy 1 Take 1 Push up Bra Two Way Soft Seamless Bra")</f>
        <v>Buy 1 Take 1 Push up Bra Two Way Soft Seamless Bra</v>
      </c>
      <c r="C198" s="16" t="str">
        <f>IFERROR(__xludf.DUMMYFUNCTION("""COMPUTED_VALUE"""),"https://vt.tiktok.com/ZSH3Lb1u3mxxo-HuFhA/")</f>
        <v>https://vt.tiktok.com/ZSH3Lb1u3mxxo-HuFhA/</v>
      </c>
      <c r="D198" s="17" t="str">
        <f>IFERROR(__xludf.DUMMYFUNCTION("""COMPUTED_VALUE"""),"FS_WM_UP_023")</f>
        <v>FS_WM_UP_023</v>
      </c>
      <c r="E198" s="12" t="str">
        <f>IFERROR(__xludf.DUMMYFUNCTION("""COMPUTED_VALUE"""),"Women's Push Up Bra #pushupbra #womenbra")</f>
        <v>Women's Push Up Bra #pushupbra #womenbra</v>
      </c>
      <c r="F198" s="3"/>
      <c r="G198" s="3"/>
      <c r="L198" s="8"/>
      <c r="M198" s="8"/>
      <c r="N198" s="8"/>
      <c r="O198" s="8"/>
      <c r="P198" s="8"/>
      <c r="Q198" s="8"/>
    </row>
    <row r="199" ht="51" spans="1:17">
      <c r="A199" s="15">
        <f>IFERROR(__xludf.DUMMYFUNCTION("""COMPUTED_VALUE"""),45973)</f>
        <v>45973</v>
      </c>
      <c r="B199" s="12" t="str">
        <f>IFERROR(__xludf.DUMMYFUNCTION("""COMPUTED_VALUE"""),"Push Up Padded Spaghetti Top Ice Silk Camisole Bralette Crop Top")</f>
        <v>Push Up Padded Spaghetti Top Ice Silk Camisole Bralette Crop Top</v>
      </c>
      <c r="C199" s="16" t="str">
        <f>IFERROR(__xludf.DUMMYFUNCTION("""COMPUTED_VALUE"""),"https://vt.tiktok.com/ZSH3LbUDptHEo-23Ur6/")</f>
        <v>https://vt.tiktok.com/ZSH3LbUDptHEo-23Ur6/</v>
      </c>
      <c r="D199" s="17" t="str">
        <f>IFERROR(__xludf.DUMMYFUNCTION("""COMPUTED_VALUE"""),"FS_WM_UP_024")</f>
        <v>FS_WM_UP_024</v>
      </c>
      <c r="E199" s="12" t="str">
        <f>IFERROR(__xludf.DUMMYFUNCTION("""COMPUTED_VALUE"""),"Women's Bra Top #womentop #womenbra")</f>
        <v>Women's Bra Top #womentop #womenbra</v>
      </c>
      <c r="F199" s="3"/>
      <c r="G199" s="3"/>
      <c r="L199" s="8"/>
      <c r="M199" s="8"/>
      <c r="N199" s="8"/>
      <c r="O199" s="8"/>
      <c r="P199" s="8"/>
      <c r="Q199" s="8"/>
    </row>
    <row r="200" ht="63.75" spans="1:17">
      <c r="A200" s="15">
        <f>IFERROR(__xludf.DUMMYFUNCTION("""COMPUTED_VALUE"""),45980)</f>
        <v>45980</v>
      </c>
      <c r="B200" s="12" t="str">
        <f>IFERROR(__xludf.DUMMYFUNCTION("""COMPUTED_VALUE"""),"Plus size cotton gather bra, comfortable women's underwear without steel rim, suitable for women's B/C cup, sizes 36-42")</f>
        <v>Plus size cotton gather bra, comfortable women's underwear without steel rim, suitable for women's B/C cup, sizes 36-42</v>
      </c>
      <c r="C200" s="16" t="str">
        <f>IFERROR(__xludf.DUMMYFUNCTION("""COMPUTED_VALUE"""),"vt.tiktok.com/ZSH3qsJagVCY7-xFujd/")</f>
        <v>vt.tiktok.com/ZSH3qsJagVCY7-xFujd/</v>
      </c>
      <c r="D200" s="17" t="str">
        <f>IFERROR(__xludf.DUMMYFUNCTION("""COMPUTED_VALUE"""),"FS_WM_UP_025")</f>
        <v>FS_WM_UP_025</v>
      </c>
      <c r="E200" s="12" t="str">
        <f>IFERROR(__xludf.DUMMYFUNCTION("""COMPUTED_VALUE"""),"Women's Plus Size Bra #womenbra #plussizebra")</f>
        <v>Women's Plus Size Bra #womenbra #plussizebra</v>
      </c>
      <c r="F200" s="3"/>
      <c r="G200" s="3"/>
      <c r="L200" s="8"/>
      <c r="M200" s="8"/>
      <c r="N200" s="8"/>
      <c r="O200" s="8"/>
      <c r="P200" s="8"/>
      <c r="Q200" s="8"/>
    </row>
    <row r="201" ht="76.5" spans="1:17">
      <c r="A201" s="15">
        <f>IFERROR(__xludf.DUMMYFUNCTION("""COMPUTED_VALUE"""),45980)</f>
        <v>45980</v>
      </c>
      <c r="B201" s="12" t="str">
        <f>IFERROR(__xludf.DUMMYFUNCTION("""COMPUTED_VALUE"""),"Women's seamless bra without underwire, featuring soft support and comfortable cotton lining, available in a simple design")</f>
        <v>Women's seamless bra without underwire, featuring soft support and comfortable cotton lining, available in a simple design</v>
      </c>
      <c r="C201" s="16" t="str">
        <f>IFERROR(__xludf.DUMMYFUNCTION("""COMPUTED_VALUE"""),"https://vt.tiktok.com/ZSH3qsugQ5h1B-GPjnw/")</f>
        <v>https://vt.tiktok.com/ZSH3qsugQ5h1B-GPjnw/</v>
      </c>
      <c r="D201" s="17" t="str">
        <f>IFERROR(__xludf.DUMMYFUNCTION("""COMPUTED_VALUE"""),"FS_WM_UP_026")</f>
        <v>FS_WM_UP_026</v>
      </c>
      <c r="E201" s="12" t="str">
        <f>IFERROR(__xludf.DUMMYFUNCTION("""COMPUTED_VALUE"""),"Women's seamless bra #comfortroom #seamlessbra")</f>
        <v>Women's seamless bra #comfortroom #seamlessbra</v>
      </c>
      <c r="F201" s="3"/>
      <c r="G201" s="3"/>
      <c r="L201" s="8"/>
      <c r="M201" s="8"/>
      <c r="N201" s="8"/>
      <c r="O201" s="8"/>
      <c r="P201" s="8"/>
      <c r="Q201" s="8"/>
    </row>
    <row r="202" ht="76.5" spans="1:17">
      <c r="A202" s="15">
        <f>IFERROR(__xludf.DUMMYFUNCTION("""COMPUTED_VALUE"""),45981)</f>
        <v>45981</v>
      </c>
      <c r="B202" s="12" t="str">
        <f>IFERROR(__xludf.DUMMYFUNCTION("""COMPUTED_VALUE"""),"Umiwear Crystal Jelly Ice Silk Seamless Bra for Women Simple Wireless Underwear Soft Breathable Bralette Push Up Bras")</f>
        <v>Umiwear Crystal Jelly Ice Silk Seamless Bra for Women Simple Wireless Underwear Soft Breathable Bralette Push Up Bras</v>
      </c>
      <c r="C202" s="16" t="str">
        <f>IFERROR(__xludf.DUMMYFUNCTION("""COMPUTED_VALUE"""),"vt.tiktok.com/ZSH3pKaUpA7Mq-VUsjN/")</f>
        <v>vt.tiktok.com/ZSH3pKaUpA7Mq-VUsjN/</v>
      </c>
      <c r="D202" s="17" t="str">
        <f>IFERROR(__xludf.DUMMYFUNCTION("""COMPUTED_VALUE"""),"FS_WM_UP_027")</f>
        <v>FS_WM_UP_027</v>
      </c>
      <c r="E202" s="12" t="str">
        <f>IFERROR(__xludf.DUMMYFUNCTION("""COMPUTED_VALUE"""),"Umiwear Crystal Jelly Ice Silk Seamless Bra #Umiwear #seamlessbra")</f>
        <v>Umiwear Crystal Jelly Ice Silk Seamless Bra #Umiwear #seamlessbra</v>
      </c>
      <c r="F202" s="3"/>
      <c r="G202" s="3"/>
      <c r="L202" s="8"/>
      <c r="M202" s="8"/>
      <c r="N202" s="8"/>
      <c r="O202" s="8"/>
      <c r="P202" s="8"/>
      <c r="Q202" s="8"/>
    </row>
    <row r="203" ht="51" spans="1:17">
      <c r="A203" s="15">
        <f>IFERROR(__xludf.DUMMYFUNCTION("""COMPUTED_VALUE"""),45981)</f>
        <v>45981</v>
      </c>
      <c r="B203" s="12" t="str">
        <f>IFERROR(__xludf.DUMMYFUNCTION("""COMPUTED_VALUE"""),"Rhian super push up bra strap letter print plus size seamless bra wireless bra with foam padded bra")</f>
        <v>Rhian super push up bra strap letter print plus size seamless bra wireless bra with foam padded bra</v>
      </c>
      <c r="C203" s="16" t="str">
        <f>IFERROR(__xludf.DUMMYFUNCTION("""COMPUTED_VALUE"""),"vt.tiktok.com/ZSH3seCHG48Tf-bzH2T/")</f>
        <v>vt.tiktok.com/ZSH3seCHG48Tf-bzH2T/</v>
      </c>
      <c r="D203" s="17" t="str">
        <f>IFERROR(__xludf.DUMMYFUNCTION("""COMPUTED_VALUE"""),"FS_WM_UP_028")</f>
        <v>FS_WM_UP_028</v>
      </c>
      <c r="E203" s="12" t="str">
        <f>IFERROR(__xludf.DUMMYFUNCTION("""COMPUTED_VALUE"""),"Rhian Push Up Bra #rhian #pushupbra")</f>
        <v>Rhian Push Up Bra #rhian #pushupbra</v>
      </c>
      <c r="F203" s="3"/>
      <c r="G203" s="3"/>
      <c r="L203" s="8"/>
      <c r="M203" s="8"/>
      <c r="N203" s="8"/>
      <c r="O203" s="8"/>
      <c r="P203" s="8"/>
      <c r="Q203" s="8"/>
    </row>
    <row r="204" ht="63.75" spans="1:17">
      <c r="A204" s="15">
        <f>IFERROR(__xludf.DUMMYFUNCTION("""COMPUTED_VALUE"""),45981)</f>
        <v>45981</v>
      </c>
      <c r="B204" s="12" t="str">
        <f>IFERROR(__xludf.DUMMYFUNCTION("""COMPUTED_VALUE"""),"Rhian Super Push up bra plus size seamless bra womens non wire foam sexy lingerie underwear wireless")</f>
        <v>Rhian Super Push up bra plus size seamless bra womens non wire foam sexy lingerie underwear wireless</v>
      </c>
      <c r="C204" s="16" t="str">
        <f>IFERROR(__xludf.DUMMYFUNCTION("""COMPUTED_VALUE"""),"https://vt.tiktok.com/ZSH3secfQBx9V-UEZNa/")</f>
        <v>https://vt.tiktok.com/ZSH3secfQBx9V-UEZNa/</v>
      </c>
      <c r="D204" s="17" t="str">
        <f>IFERROR(__xludf.DUMMYFUNCTION("""COMPUTED_VALUE"""),"FS_WM_UP_029")</f>
        <v>FS_WM_UP_029</v>
      </c>
      <c r="E204" s="12" t="str">
        <f>IFERROR(__xludf.DUMMYFUNCTION("""COMPUTED_VALUE"""),"Rhian Push Up Bra #rhian #pushupbra")</f>
        <v>Rhian Push Up Bra #rhian #pushupbra</v>
      </c>
      <c r="F204" s="3"/>
      <c r="G204" s="3"/>
      <c r="L204" s="8"/>
      <c r="M204" s="8"/>
      <c r="N204" s="8"/>
      <c r="O204" s="8"/>
      <c r="P204" s="8"/>
      <c r="Q204" s="8"/>
    </row>
    <row r="205" ht="63.75" spans="1:17">
      <c r="A205" s="15">
        <f>IFERROR(__xludf.DUMMYFUNCTION("""COMPUTED_VALUE"""),45981)</f>
        <v>45981</v>
      </c>
      <c r="B205" s="12" t="str">
        <f>IFERROR(__xludf.DUMMYFUNCTION("""COMPUTED_VALUE"""),"Rhian plus size seamless sexy push up bra with foam padded no wire wireless for women 1 set black 40")</f>
        <v>Rhian plus size seamless sexy push up bra with foam padded no wire wireless for women 1 set black 40</v>
      </c>
      <c r="C205" s="16" t="str">
        <f>IFERROR(__xludf.DUMMYFUNCTION("""COMPUTED_VALUE"""),"vt.tiktok.com/ZSH3sdN765dsR-qIzFN/")</f>
        <v>vt.tiktok.com/ZSH3sdN765dsR-qIzFN/</v>
      </c>
      <c r="D205" s="17" t="str">
        <f>IFERROR(__xludf.DUMMYFUNCTION("""COMPUTED_VALUE"""),"FS_WM_UP_030")</f>
        <v>FS_WM_UP_030</v>
      </c>
      <c r="E205" s="12" t="str">
        <f>IFERROR(__xludf.DUMMYFUNCTION("""COMPUTED_VALUE"""),"Rhian Seamless Bra #rhian #seamlessbra")</f>
        <v>Rhian Seamless Bra #rhian #seamlessbra</v>
      </c>
      <c r="F205" s="3"/>
      <c r="G205" s="3"/>
      <c r="L205" s="8"/>
      <c r="M205" s="8"/>
      <c r="N205" s="8"/>
      <c r="O205" s="8"/>
      <c r="P205" s="8"/>
      <c r="Q205" s="8"/>
    </row>
    <row r="206" ht="63.75" spans="1:17">
      <c r="A206" s="15">
        <f>IFERROR(__xludf.DUMMYFUNCTION("""COMPUTED_VALUE"""),45981)</f>
        <v>45981</v>
      </c>
      <c r="B206" s="12" t="str">
        <f>IFERROR(__xludf.DUMMYFUNCTION("""COMPUTED_VALUE"""),"Rhian sexy lace bra and panty for women 1set plus size lingerie with wire push up underwear red 3pcs")</f>
        <v>Rhian sexy lace bra and panty for women 1set plus size lingerie with wire push up underwear red 3pcs</v>
      </c>
      <c r="C206" s="16" t="str">
        <f>IFERROR(__xludf.DUMMYFUNCTION("""COMPUTED_VALUE"""),"https://vt.tiktok.com/ZSH3sd9a7CKGd-4w3pn/")</f>
        <v>https://vt.tiktok.com/ZSH3sd9a7CKGd-4w3pn/</v>
      </c>
      <c r="D206" s="17" t="str">
        <f>IFERROR(__xludf.DUMMYFUNCTION("""COMPUTED_VALUE"""),"FS_WM_UP_031")</f>
        <v>FS_WM_UP_031</v>
      </c>
      <c r="E206" s="12" t="str">
        <f>IFERROR(__xludf.DUMMYFUNCTION("""COMPUTED_VALUE"""),"Rhian lace bra #rhian #lacebra")</f>
        <v>Rhian lace bra #rhian #lacebra</v>
      </c>
      <c r="F206" s="3"/>
      <c r="G206" s="3"/>
      <c r="L206" s="8"/>
      <c r="M206" s="8"/>
      <c r="N206" s="8"/>
      <c r="O206" s="8"/>
      <c r="P206" s="8"/>
      <c r="Q206" s="8"/>
    </row>
    <row r="207" ht="76.5" spans="1:17">
      <c r="A207" s="15">
        <f>IFERROR(__xludf.DUMMYFUNCTION("""COMPUTED_VALUE"""),45981)</f>
        <v>45981</v>
      </c>
      <c r="B207" s="12" t="str">
        <f>IFERROR(__xludf.DUMMYFUNCTION("""COMPUTED_VALUE"""),"Chicee Adjustable Underwear Women Big Breasts Small Bra Large Size Seamless Breasts Ladies Bra Sports Bralettes Outdoor")</f>
        <v>Chicee Adjustable Underwear Women Big Breasts Small Bra Large Size Seamless Breasts Ladies Bra Sports Bralettes Outdoor</v>
      </c>
      <c r="C207" s="16" t="str">
        <f>IFERROR(__xludf.DUMMYFUNCTION("""COMPUTED_VALUE"""),"vt.tiktok.com/ZSH3sQEKevGCo-8YMzy/")</f>
        <v>vt.tiktok.com/ZSH3sQEKevGCo-8YMzy/</v>
      </c>
      <c r="D207" s="17" t="str">
        <f>IFERROR(__xludf.DUMMYFUNCTION("""COMPUTED_VALUE"""),"FS_WM_UP_032")</f>
        <v>FS_WM_UP_032</v>
      </c>
      <c r="E207" s="12" t="str">
        <f>IFERROR(__xludf.DUMMYFUNCTION("""COMPUTED_VALUE"""),"Chicee Women's Underwear #chicee #womenunderwear")</f>
        <v>Chicee Women's Underwear #chicee #womenunderwear</v>
      </c>
      <c r="F207" s="3"/>
      <c r="G207" s="3"/>
      <c r="L207" s="8"/>
      <c r="M207" s="8"/>
      <c r="N207" s="8"/>
      <c r="O207" s="8"/>
      <c r="P207" s="8"/>
      <c r="Q207" s="8"/>
    </row>
    <row r="208" ht="76.5" spans="1:17">
      <c r="A208" s="15">
        <f>IFERROR(__xludf.DUMMYFUNCTION("""COMPUTED_VALUE"""),45981)</f>
        <v>45981</v>
      </c>
      <c r="B208" s="12" t="str">
        <f>IFERROR(__xludf.DUMMYFUNCTION("""COMPUTED_VALUE"""),"Chicee Seamless Nonwire Push Up Bra For Woman Lady Cotton Bralettes Breathable Athletic Sports Bra Adjustable Strap")</f>
        <v>Chicee Seamless Nonwire Push Up Bra For Woman Lady Cotton Bralettes Breathable Athletic Sports Bra Adjustable Strap</v>
      </c>
      <c r="C208" s="16" t="str">
        <f>IFERROR(__xludf.DUMMYFUNCTION("""COMPUTED_VALUE"""),"https://vt.tiktok.com/ZSH3sCgmnFyKS-J15XZ/")</f>
        <v>https://vt.tiktok.com/ZSH3sCgmnFyKS-J15XZ/</v>
      </c>
      <c r="D208" s="17" t="str">
        <f>IFERROR(__xludf.DUMMYFUNCTION("""COMPUTED_VALUE"""),"FS_WM_UP_033")</f>
        <v>FS_WM_UP_033</v>
      </c>
      <c r="E208" s="12" t="str">
        <f>IFERROR(__xludf.DUMMYFUNCTION("""COMPUTED_VALUE"""),"Chicee Women's Underwear #chicee #womenunderwear")</f>
        <v>Chicee Women's Underwear #chicee #womenunderwear</v>
      </c>
      <c r="F208" s="3"/>
      <c r="G208" s="3"/>
      <c r="L208" s="8"/>
      <c r="M208" s="8"/>
      <c r="N208" s="8"/>
      <c r="O208" s="8"/>
      <c r="P208" s="8"/>
      <c r="Q208" s="8"/>
    </row>
    <row r="209" ht="102" spans="1:17">
      <c r="A209" s="15">
        <f>IFERROR(__xludf.DUMMYFUNCTION("""COMPUTED_VALUE"""),45981)</f>
        <v>45981</v>
      </c>
      <c r="B209" s="12" t="str">
        <f>IFERROR(__xludf.DUMMYFUNCTION("""COMPUTED_VALUE"""),"Chicee Seamless Support Lifting Bra For Women Soft Wireless Fixed Cup Push Up Gathering Comfortable Adjustable Bridal Basic Sport Underwear Womenswear Lingerie")</f>
        <v>Chicee Seamless Support Lifting Bra For Women Soft Wireless Fixed Cup Push Up Gathering Comfortable Adjustable Bridal Basic Sport Underwear Womenswear Lingerie</v>
      </c>
      <c r="C209" s="16" t="str">
        <f>IFERROR(__xludf.DUMMYFUNCTION("""COMPUTED_VALUE"""),"https://vt.tiktok.com/ZSH3sXDQ6okT8-azm7b/")</f>
        <v>https://vt.tiktok.com/ZSH3sXDQ6okT8-azm7b/</v>
      </c>
      <c r="D209" s="17" t="str">
        <f>IFERROR(__xludf.DUMMYFUNCTION("""COMPUTED_VALUE"""),"FS_WM_UP_034")</f>
        <v>FS_WM_UP_034</v>
      </c>
      <c r="E209" s="12" t="str">
        <f>IFERROR(__xludf.DUMMYFUNCTION("""COMPUTED_VALUE"""),"Chicee Women's Underwear #chicee #womenunderwear")</f>
        <v>Chicee Women's Underwear #chicee #womenunderwear</v>
      </c>
      <c r="F209" s="3"/>
      <c r="G209" s="3"/>
      <c r="L209" s="8"/>
      <c r="M209" s="8"/>
      <c r="N209" s="8"/>
      <c r="O209" s="8"/>
      <c r="P209" s="8"/>
      <c r="Q209" s="8"/>
    </row>
    <row r="210" ht="51" spans="1:17">
      <c r="A210" s="15">
        <f>IFERROR(__xludf.DUMMYFUNCTION("""COMPUTED_VALUE"""),45983)</f>
        <v>45983</v>
      </c>
      <c r="B210" s="12" t="str">
        <f>IFERROR(__xludf.DUMMYFUNCTION("""COMPUTED_VALUE"""),"12pcs Pasties Tape with Box Reusable Adhesive
Invisible Pasties Silicone Cover Pad")</f>
        <v>12pcs Pasties Tape with Box Reusable Adhesive
Invisible Pasties Silicone Cover Pad</v>
      </c>
      <c r="C210" s="16" t="str">
        <f>IFERROR(__xludf.DUMMYFUNCTION("""COMPUTED_VALUE"""),"https://vt.tiktok.com/ZSH33Q1XtUm2S-lujyT/")</f>
        <v>https://vt.tiktok.com/ZSH33Q1XtUm2S-lujyT/</v>
      </c>
      <c r="D210" s="17" t="str">
        <f>IFERROR(__xludf.DUMMYFUNCTION("""COMPUTED_VALUE"""),"FS_WM_UP_036")</f>
        <v>FS_WM_UP_036</v>
      </c>
      <c r="E210" s="12" t="str">
        <f>IFERROR(__xludf.DUMMYFUNCTION("""COMPUTED_VALUE"""),"Pasties Tape with box #womenunderwear #coverpad")</f>
        <v>Pasties Tape with box #womenunderwear #coverpad</v>
      </c>
      <c r="F210" s="3"/>
      <c r="G210" s="3"/>
      <c r="L210" s="8"/>
      <c r="M210" s="8"/>
      <c r="N210" s="8"/>
      <c r="O210" s="8"/>
      <c r="P210" s="8"/>
      <c r="Q210" s="8"/>
    </row>
    <row r="211" ht="51" spans="1:17">
      <c r="A211" s="15">
        <f>IFERROR(__xludf.DUMMYFUNCTION("""COMPUTED_VALUE"""),45983)</f>
        <v>45983</v>
      </c>
      <c r="B211" s="12" t="str">
        <f>IFERROR(__xludf.DUMMYFUNCTION("""COMPUTED_VALUE"""),"Popular Magic Women's Invisible Boob Tape
Chest Tape Adhesive Bra Nipple Cover")</f>
        <v>Popular Magic Women's Invisible Boob Tape
Chest Tape Adhesive Bra Nipple Cover</v>
      </c>
      <c r="C211" s="16" t="str">
        <f>IFERROR(__xludf.DUMMYFUNCTION("""COMPUTED_VALUE"""),"https://vt.tiktok.com/ZSH33QeKoUJMP-GAoPV/")</f>
        <v>https://vt.tiktok.com/ZSH33QeKoUJMP-GAoPV/</v>
      </c>
      <c r="D211" s="17" t="str">
        <f>IFERROR(__xludf.DUMMYFUNCTION("""COMPUTED_VALUE"""),"FS_WM_UP_037")</f>
        <v>FS_WM_UP_037</v>
      </c>
      <c r="E211" s="12" t="str">
        <f>IFERROR(__xludf.DUMMYFUNCTION("""COMPUTED_VALUE"""),"Women's Cover Tape #coverpad #underwear")</f>
        <v>Women's Cover Tape #coverpad #underwear</v>
      </c>
      <c r="F211" s="3"/>
      <c r="G211" s="3"/>
      <c r="L211" s="8"/>
      <c r="M211" s="8"/>
      <c r="N211" s="8"/>
      <c r="O211" s="8"/>
      <c r="P211" s="8"/>
      <c r="Q211" s="8"/>
    </row>
    <row r="212" ht="114.75" spans="1:17">
      <c r="A212" s="15">
        <f>IFERROR(__xludf.DUMMYFUNCTION("""COMPUTED_VALUE"""),45983)</f>
        <v>45983</v>
      </c>
      <c r="B212" s="12" t="str">
        <f>IFERROR(__xludf.DUMMYFUNCTION("""COMPUTED_VALUE"""),"12PCS Reusable Nipple Tape with Box Reusable Adhesive Invisible Pasties Silicone Nipple Cover
Pad Womenswear Accessory Lingerie Bra
Comfort Women Lady sticky br")</f>
        <v>12PCS Reusable Nipple Tape with Box Reusable Adhesive Invisible Pasties Silicone Nipple Cover
Pad Womenswear Accessory Lingerie Bra
Comfort Women Lady sticky br</v>
      </c>
      <c r="C212" s="16" t="str">
        <f>IFERROR(__xludf.DUMMYFUNCTION("""COMPUTED_VALUE"""),"https://vt.tiktok.com/ZSH33QRtSdgye-VNT68/")</f>
        <v>https://vt.tiktok.com/ZSH33QRtSdgye-VNT68/</v>
      </c>
      <c r="D212" s="17" t="str">
        <f>IFERROR(__xludf.DUMMYFUNCTION("""COMPUTED_VALUE"""),"FS_WM_UP_038")</f>
        <v>FS_WM_UP_038</v>
      </c>
      <c r="E212" s="12" t="str">
        <f>IFERROR(__xludf.DUMMYFUNCTION("""COMPUTED_VALUE"""),"Pasties Tape with box #womenunderwear #coverpad")</f>
        <v>Pasties Tape with box #womenunderwear #coverpad</v>
      </c>
      <c r="F212" s="3"/>
      <c r="G212" s="3"/>
      <c r="L212" s="8"/>
      <c r="M212" s="8"/>
      <c r="N212" s="8"/>
      <c r="O212" s="8"/>
      <c r="P212" s="8"/>
      <c r="Q212" s="8"/>
    </row>
    <row r="213" ht="63.75" spans="1:17">
      <c r="A213" s="15">
        <f>IFERROR(__xludf.DUMMYFUNCTION("""COMPUTED_VALUE"""),45985)</f>
        <v>45985</v>
      </c>
      <c r="B213" s="12" t="str">
        <f>IFERROR(__xludf.DUMMYFUNCTION("""COMPUTED_VALUE"""),"Isabelle Q Adjustable Strap and Wireless Bra Plain Design Full Cup, Cup B #AMJ606")</f>
        <v>Isabelle Q Adjustable Strap and Wireless Bra Plain Design Full Cup, Cup B #AMJ606</v>
      </c>
      <c r="C213" s="16" t="str">
        <f>IFERROR(__xludf.DUMMYFUNCTION("""COMPUTED_VALUE"""),"vt.tiktok.com/ZSHTdHrTYuHuH-jBcqn/")</f>
        <v>vt.tiktok.com/ZSHTdHrTYuHuH-jBcqn/</v>
      </c>
      <c r="D213" s="17" t="str">
        <f>IFERROR(__xludf.DUMMYFUNCTION("""COMPUTED_VALUE"""),"FS_WM_UP_040")</f>
        <v>FS_WM_UP_040</v>
      </c>
      <c r="E213" s="12" t="str">
        <f>IFERROR(__xludf.DUMMYFUNCTION("""COMPUTED_VALUE"""),"Isabelle Q Adjustable Strap and Wireless Bra #IsabelleQ #womenbra")</f>
        <v>Isabelle Q Adjustable Strap and Wireless Bra #IsabelleQ #womenbra</v>
      </c>
      <c r="F213" s="3"/>
      <c r="G213" s="3"/>
      <c r="L213" s="8"/>
      <c r="M213" s="8"/>
      <c r="N213" s="8"/>
      <c r="O213" s="8"/>
      <c r="P213" s="8"/>
      <c r="Q213" s="8"/>
    </row>
    <row r="214" ht="76.5" spans="1:17">
      <c r="A214" s="15">
        <f>IFERROR(__xludf.DUMMYFUNCTION("""COMPUTED_VALUE"""),45990)</f>
        <v>45990</v>
      </c>
      <c r="B214" s="12" t="str">
        <f>IFERROR(__xludf.DUMMYFUNCTION("""COMPUTED_VALUE"""),"12pcs Nipple Tape with Box Reusable Adhesive Silicone Invisible Bra Insert Pads Push Up Enhancer Breast Strapless cover Pad B06")</f>
        <v>12pcs Nipple Tape with Box Reusable Adhesive Silicone Invisible Bra Insert Pads Push Up Enhancer Breast Strapless cover Pad B06</v>
      </c>
      <c r="C214" s="16" t="str">
        <f>IFERROR(__xludf.DUMMYFUNCTION("""COMPUTED_VALUE"""),"vt.tiktok.com/ZSHT5mqKCgfef-PLKV2/")</f>
        <v>vt.tiktok.com/ZSHT5mqKCgfef-PLKV2/</v>
      </c>
      <c r="D214" s="17" t="str">
        <f>IFERROR(__xludf.DUMMYFUNCTION("""COMPUTED_VALUE"""),"FS_WM_UP_041")</f>
        <v>FS_WM_UP_041</v>
      </c>
      <c r="E214" s="12" t="str">
        <f>IFERROR(__xludf.DUMMYFUNCTION("""COMPUTED_VALUE"""),"Women's Cover Pad #coverpad #siliconcoverpad")</f>
        <v>Women's Cover Pad #coverpad #siliconcoverpad</v>
      </c>
      <c r="F214" s="3"/>
      <c r="G214" s="3"/>
      <c r="L214" s="8"/>
      <c r="M214" s="8"/>
      <c r="N214" s="8"/>
      <c r="O214" s="8"/>
      <c r="P214" s="8"/>
      <c r="Q214" s="8"/>
    </row>
    <row r="215" ht="89.25" spans="1:17">
      <c r="A215" s="15">
        <f>IFERROR(__xludf.DUMMYFUNCTION("""COMPUTED_VALUE"""),45990)</f>
        <v>45990</v>
      </c>
      <c r="B215" s="12" t="str">
        <f>IFERROR(__xludf.DUMMYFUNCTION("""COMPUTED_VALUE"""),"ADORE Sweat Proof Design And Anti-Drop Design Invisible Silicone Edges Reuseable Waterproof Sweatproof nipple Womenswear Bra Accessory")</f>
        <v>ADORE Sweat Proof Design And Anti-Drop Design Invisible Silicone Edges Reuseable Waterproof Sweatproof nipple Womenswear Bra Accessory</v>
      </c>
      <c r="C215" s="16" t="str">
        <f>IFERROR(__xludf.DUMMYFUNCTION("""COMPUTED_VALUE"""),"https://vt.tiktok.com/ZSHT5mo7oYdMn-emck8/")</f>
        <v>https://vt.tiktok.com/ZSHT5mo7oYdMn-emck8/</v>
      </c>
      <c r="D215" s="17" t="str">
        <f>IFERROR(__xludf.DUMMYFUNCTION("""COMPUTED_VALUE"""),"FS_WM_UP_042")</f>
        <v>FS_WM_UP_042</v>
      </c>
      <c r="E215" s="12" t="str">
        <f>IFERROR(__xludf.DUMMYFUNCTION("""COMPUTED_VALUE"""),"ADORE Cover pad #coverpad #womenunderwear")</f>
        <v>ADORE Cover pad #coverpad #womenunderwear</v>
      </c>
      <c r="F215" s="3"/>
      <c r="G215" s="3"/>
      <c r="L215" s="8"/>
      <c r="M215" s="8"/>
      <c r="N215" s="8"/>
      <c r="O215" s="8"/>
      <c r="P215" s="8"/>
      <c r="Q215" s="8"/>
    </row>
    <row r="216" ht="51" spans="1:17">
      <c r="A216" s="15">
        <f>IFERROR(__xludf.DUMMYFUNCTION("""COMPUTED_VALUE"""),45990)</f>
        <v>45990</v>
      </c>
      <c r="B216" s="12" t="str">
        <f>IFERROR(__xludf.DUMMYFUNCTION("""COMPUTED_VALUE"""),"Seamless Checkered Push up Japanese Comfortable Non-Wire Women Lingerie Bra")</f>
        <v>Seamless Checkered Push up Japanese Comfortable Non-Wire Women Lingerie Bra</v>
      </c>
      <c r="C216" s="16" t="str">
        <f>IFERROR(__xludf.DUMMYFUNCTION("""COMPUTED_VALUE"""),"vt.tiktok.com/ZSHT5ubhRpKtc-2mgIi/")</f>
        <v>vt.tiktok.com/ZSHT5ubhRpKtc-2mgIi/</v>
      </c>
      <c r="D216" s="17" t="str">
        <f>IFERROR(__xludf.DUMMYFUNCTION("""COMPUTED_VALUE"""),"FS_WM_UP_043")</f>
        <v>FS_WM_UP_043</v>
      </c>
      <c r="E216" s="12" t="str">
        <f>IFERROR(__xludf.DUMMYFUNCTION("""COMPUTED_VALUE"""),"Seamless Push Up Bra #seamlessbra #pushupbra")</f>
        <v>Seamless Push Up Bra #seamlessbra #pushupbra</v>
      </c>
      <c r="F216" s="3"/>
      <c r="G216" s="3"/>
      <c r="L216" s="8"/>
      <c r="M216" s="8"/>
      <c r="N216" s="8"/>
      <c r="O216" s="8"/>
      <c r="P216" s="8"/>
      <c r="Q216" s="8"/>
    </row>
    <row r="217" ht="63.75" spans="1:17">
      <c r="A217" s="15">
        <f>IFERROR(__xludf.DUMMYFUNCTION("""COMPUTED_VALUE"""),45990)</f>
        <v>45990</v>
      </c>
      <c r="B217" s="12" t="str">
        <f>IFERROR(__xludf.DUMMYFUNCTION("""COMPUTED_VALUE"""),"New Cotton Thin Bra For Women Chest Gathering With Small Flower Design Urstore
Sold by ENAOLO")</f>
        <v>New Cotton Thin Bra For Women Chest Gathering With Small Flower Design Urstore
Sold by ENAOLO</v>
      </c>
      <c r="C217" s="16" t="str">
        <f>IFERROR(__xludf.DUMMYFUNCTION("""COMPUTED_VALUE"""),"vt.tiktok.com/ZSHT5HYcG2xuH-dehlp/")</f>
        <v>vt.tiktok.com/ZSHT5HYcG2xuH-dehlp/</v>
      </c>
      <c r="D217" s="17" t="str">
        <f>IFERROR(__xludf.DUMMYFUNCTION("""COMPUTED_VALUE"""),"FS_WM_UP_044")</f>
        <v>FS_WM_UP_044</v>
      </c>
      <c r="E217" s="12" t="str">
        <f>IFERROR(__xludf.DUMMYFUNCTION("""COMPUTED_VALUE"""),"ENAQLO Women's Bra #enaqlo #womenbra")</f>
        <v>ENAQLO Women's Bra #enaqlo #womenbra</v>
      </c>
      <c r="F217" s="3"/>
      <c r="G217" s="3"/>
      <c r="L217" s="8"/>
      <c r="M217" s="8"/>
      <c r="N217" s="8"/>
      <c r="O217" s="8"/>
      <c r="P217" s="8"/>
      <c r="Q217" s="8"/>
    </row>
    <row r="218" ht="51" spans="1:17">
      <c r="A218" s="15">
        <f>IFERROR(__xludf.DUMMYFUNCTION("""COMPUTED_VALUE"""),45990)</f>
        <v>45990</v>
      </c>
      <c r="B218" s="12" t="str">
        <f>IFERROR(__xludf.DUMMYFUNCTION("""COMPUTED_VALUE"""),"Korean Style Gingham Check Mesh Bralette Wireless Seamless Summer Thin Bra")</f>
        <v>Korean Style Gingham Check Mesh Bralette Wireless Seamless Summer Thin Bra</v>
      </c>
      <c r="C218" s="16" t="str">
        <f>IFERROR(__xludf.DUMMYFUNCTION("""COMPUTED_VALUE"""),"https://vt.tiktok.com/ZSHT5HcqcHSGd-ByR3N/")</f>
        <v>https://vt.tiktok.com/ZSHT5HcqcHSGd-ByR3N/</v>
      </c>
      <c r="D218" s="17" t="str">
        <f>IFERROR(__xludf.DUMMYFUNCTION("""COMPUTED_VALUE"""),"FS_WM_UP_045")</f>
        <v>FS_WM_UP_045</v>
      </c>
      <c r="E218" s="12" t="str">
        <f>IFERROR(__xludf.DUMMYFUNCTION("""COMPUTED_VALUE"""),"ENAQLO Women's Bra #enaqlo #womenbra")</f>
        <v>ENAQLO Women's Bra #enaqlo #womenbra</v>
      </c>
      <c r="F218" s="3"/>
      <c r="G218" s="3"/>
      <c r="L218" s="8"/>
      <c r="M218" s="8"/>
      <c r="N218" s="8"/>
      <c r="O218" s="8"/>
      <c r="P218" s="8"/>
      <c r="Q218" s="8"/>
    </row>
    <row r="219" ht="51" spans="1:17">
      <c r="A219" s="15">
        <f>IFERROR(__xludf.DUMMYFUNCTION("""COMPUTED_VALUE"""),45990)</f>
        <v>45990</v>
      </c>
      <c r="B219" s="12" t="str">
        <f>IFERROR(__xludf.DUMMYFUNCTION("""COMPUTED_VALUE"""),"Japanese Style Floral Pattern Bra Set Ultra Thin Soft Support Bralette Lingerie")</f>
        <v>Japanese Style Floral Pattern Bra Set Ultra Thin Soft Support Bralette Lingerie</v>
      </c>
      <c r="C219" s="16" t="str">
        <f>IFERROR(__xludf.DUMMYFUNCTION("""COMPUTED_VALUE"""),"https://vt.tiktok.com/ZSHT59RDsfCyH-bPecl/")</f>
        <v>https://vt.tiktok.com/ZSHT59RDsfCyH-bPecl/</v>
      </c>
      <c r="D219" s="17" t="str">
        <f>IFERROR(__xludf.DUMMYFUNCTION("""COMPUTED_VALUE"""),"FS_WM_UP_046")</f>
        <v>FS_WM_UP_046</v>
      </c>
      <c r="E219" s="12" t="str">
        <f>IFERROR(__xludf.DUMMYFUNCTION("""COMPUTED_VALUE"""),"ENAQLO Women's Bra #enaqlo #womenbra")</f>
        <v>ENAQLO Women's Bra #enaqlo #womenbra</v>
      </c>
      <c r="F219" s="3"/>
      <c r="G219" s="3"/>
      <c r="L219" s="8"/>
      <c r="M219" s="8"/>
      <c r="N219" s="8"/>
      <c r="O219" s="8"/>
      <c r="P219" s="8"/>
      <c r="Q219" s="8"/>
    </row>
    <row r="220" ht="51" spans="1:17">
      <c r="A220" s="15">
        <f>IFERROR(__xludf.DUMMYFUNCTION("""COMPUTED_VALUE"""),45990)</f>
        <v>45990</v>
      </c>
      <c r="B220" s="12" t="str">
        <f>IFERROR(__xludf.DUMMYFUNCTION("""COMPUTED_VALUE"""),"Cute Star Print Wireless Bra Soft Thin Padded Push Up Everyday Comfort Bralette")</f>
        <v>Cute Star Print Wireless Bra Soft Thin Padded Push Up Everyday Comfort Bralette</v>
      </c>
      <c r="C220" s="16" t="str">
        <f>IFERROR(__xludf.DUMMYFUNCTION("""COMPUTED_VALUE"""),"https://vt.tiktok.com/ZSHT59hMUuTW2-s3B6H/")</f>
        <v>https://vt.tiktok.com/ZSHT59hMUuTW2-s3B6H/</v>
      </c>
      <c r="D220" s="17" t="str">
        <f>IFERROR(__xludf.DUMMYFUNCTION("""COMPUTED_VALUE"""),"FS_WM_UP_047")</f>
        <v>FS_WM_UP_047</v>
      </c>
      <c r="E220" s="12" t="str">
        <f>IFERROR(__xludf.DUMMYFUNCTION("""COMPUTED_VALUE"""),"ENAQLO Women's Bra #enaqlo #womenbra")</f>
        <v>ENAQLO Women's Bra #enaqlo #womenbra</v>
      </c>
      <c r="F220" s="3"/>
      <c r="G220" s="3"/>
      <c r="L220" s="8"/>
      <c r="M220" s="8"/>
      <c r="N220" s="8"/>
      <c r="O220" s="8"/>
      <c r="P220" s="8"/>
      <c r="Q220" s="8"/>
    </row>
    <row r="221" ht="63.75" spans="1:17">
      <c r="A221" s="15">
        <f>IFERROR(__xludf.DUMMYFUNCTION("""COMPUTED_VALUE"""),45993)</f>
        <v>45993</v>
      </c>
      <c r="B221" s="12" t="str">
        <f>IFERROR(__xludf.DUMMYFUNCTION("""COMPUTED_VALUE"""),"30-150kg bra wrap tube top plus size bra for women strapless wireless with breast pads comfortable SAS")</f>
        <v>30-150kg bra wrap tube top plus size bra for women strapless wireless with breast pads comfortable SAS</v>
      </c>
      <c r="C221" s="16" t="str">
        <f>IFERROR(__xludf.DUMMYFUNCTION("""COMPUTED_VALUE"""),"vt.tiktok.com/ZSHTpkHdhqNF9-o1nzK/")</f>
        <v>vt.tiktok.com/ZSHTpkHdhqNF9-o1nzK/</v>
      </c>
      <c r="D221" s="17" t="str">
        <f>IFERROR(__xludf.DUMMYFUNCTION("""COMPUTED_VALUE"""),"FS_WM_UP_048")</f>
        <v>FS_WM_UP_048</v>
      </c>
      <c r="E221" s="12" t="str">
        <f>IFERROR(__xludf.DUMMYFUNCTION("""COMPUTED_VALUE"""),"Women's Wrap Tube Bra #womenbra #plusssizebra")</f>
        <v>Women's Wrap Tube Bra #womenbra #plusssizebra</v>
      </c>
      <c r="F221" s="3"/>
      <c r="G221" s="3"/>
      <c r="L221" s="8"/>
      <c r="M221" s="8"/>
      <c r="N221" s="8"/>
      <c r="O221" s="8"/>
      <c r="P221" s="8"/>
      <c r="Q221" s="8"/>
    </row>
    <row r="222" ht="51" spans="1:17">
      <c r="A222" s="15">
        <f>IFERROR(__xludf.DUMMYFUNCTION("""COMPUTED_VALUE"""),45993)</f>
        <v>45993</v>
      </c>
      <c r="B222" s="12" t="str">
        <f>IFERROR(__xludf.DUMMYFUNCTION("""COMPUTED_VALUE"""),"Rhian New bra push up seamless for women with wire simple fashion full cup sexy underwear")</f>
        <v>Rhian New bra push up seamless for women with wire simple fashion full cup sexy underwear</v>
      </c>
      <c r="C222" s="16" t="str">
        <f>IFERROR(__xludf.DUMMYFUNCTION("""COMPUTED_VALUE"""),"https://vt.tiktok.com/ZSHTpBuQ8L21q-drvdG/")</f>
        <v>https://vt.tiktok.com/ZSHTpBuQ8L21q-drvdG/</v>
      </c>
      <c r="D222" s="17" t="str">
        <f>IFERROR(__xludf.DUMMYFUNCTION("""COMPUTED_VALUE"""),"FS_WM_UP_051")</f>
        <v>FS_WM_UP_051</v>
      </c>
      <c r="E222" s="12" t="str">
        <f>IFERROR(__xludf.DUMMYFUNCTION("""COMPUTED_VALUE"""),"Rhian push up bra #rhian #pushupbra")</f>
        <v>Rhian push up bra #rhian #pushupbra</v>
      </c>
      <c r="F222" s="3"/>
      <c r="G222" s="3"/>
      <c r="L222" s="8"/>
      <c r="M222" s="8"/>
      <c r="N222" s="8"/>
      <c r="O222" s="8"/>
      <c r="P222" s="8"/>
      <c r="Q222" s="8"/>
    </row>
    <row r="223" ht="63.75" spans="1:17">
      <c r="A223" s="15">
        <f>IFERROR(__xludf.DUMMYFUNCTION("""COMPUTED_VALUE"""),45993)</f>
        <v>45993</v>
      </c>
      <c r="B223" s="12" t="str">
        <f>IFERROR(__xludf.DUMMYFUNCTION("""COMPUTED_VALUE"""),"Rhian Women bowknot Push Up tshirt bra sexy Underwear for Women plus size bralette bras for woman")</f>
        <v>Rhian Women bowknot Push Up tshirt bra sexy Underwear for Women plus size bralette bras for woman</v>
      </c>
      <c r="C223" s="16" t="str">
        <f>IFERROR(__xludf.DUMMYFUNCTION("""COMPUTED_VALUE"""),"vt.tiktok.com/ZSHTpSd2wUyG1-2RkJQ/")</f>
        <v>vt.tiktok.com/ZSHTpSd2wUyG1-2RkJQ/</v>
      </c>
      <c r="D223" s="17" t="str">
        <f>IFERROR(__xludf.DUMMYFUNCTION("""COMPUTED_VALUE"""),"FS_WM_UP_052")</f>
        <v>FS_WM_UP_052</v>
      </c>
      <c r="E223" s="12" t="str">
        <f>IFERROR(__xludf.DUMMYFUNCTION("""COMPUTED_VALUE"""),"Rhian push up bra #rhian #pushupbra")</f>
        <v>Rhian push up bra #rhian #pushupbra</v>
      </c>
      <c r="F223" s="3"/>
      <c r="G223" s="3"/>
      <c r="L223" s="8"/>
      <c r="M223" s="8"/>
      <c r="N223" s="8"/>
      <c r="O223" s="8"/>
      <c r="P223" s="8"/>
      <c r="Q223" s="8"/>
    </row>
    <row r="224" ht="63.75" spans="1:17">
      <c r="A224" s="15">
        <f>IFERROR(__xludf.DUMMYFUNCTION("""COMPUTED_VALUE"""),45993)</f>
        <v>45993</v>
      </c>
      <c r="B224" s="12" t="str">
        <f>IFERROR(__xludf.DUMMYFUNCTION("""COMPUTED_VALUE"""),"Hot-Selling Front-Closure Wireless Thin Large Bust Minimizer Side Breast Collection Striped Bra for Women")</f>
        <v>Hot-Selling Front-Closure Wireless Thin Large Bust Minimizer Side Breast Collection Striped Bra for Women</v>
      </c>
      <c r="C224" s="16" t="str">
        <f>IFERROR(__xludf.DUMMYFUNCTION("""COMPUTED_VALUE"""),"vt.tiktok.com/ZSHTpawkrrYg9-RrB9v/")</f>
        <v>vt.tiktok.com/ZSHTpawkrrYg9-RrB9v/</v>
      </c>
      <c r="D224" s="17" t="str">
        <f>IFERROR(__xludf.DUMMYFUNCTION("""COMPUTED_VALUE"""),"FS_WM_UP_053")</f>
        <v>FS_WM_UP_053</v>
      </c>
      <c r="E224" s="12" t="str">
        <f>IFERROR(__xludf.DUMMYFUNCTION("""COMPUTED_VALUE"""),"Front-Closure Bra #womenbra #womenwear")</f>
        <v>Front-Closure Bra #womenbra #womenwear</v>
      </c>
      <c r="F224" s="3"/>
      <c r="G224" s="3"/>
      <c r="L224" s="8"/>
      <c r="M224" s="8"/>
      <c r="N224" s="8"/>
      <c r="O224" s="8"/>
      <c r="P224" s="8"/>
      <c r="Q224" s="8"/>
    </row>
    <row r="225" ht="63.75" spans="1:17">
      <c r="A225" s="15">
        <f>IFERROR(__xludf.DUMMYFUNCTION("""COMPUTED_VALUE"""),45995)</f>
        <v>45995</v>
      </c>
      <c r="B225" s="12" t="str">
        <f>IFERROR(__xludf.DUMMYFUNCTION("""COMPUTED_VALUE"""),"Rosa Women Bra Wireless Brassiere Push Up Breathable Bralette Bras 32-34-36-38 Cup A 683")</f>
        <v>Rosa Women Bra Wireless Brassiere Push Up Breathable Bralette Bras 32-34-36-38 Cup A 683</v>
      </c>
      <c r="C225" s="16" t="str">
        <f>IFERROR(__xludf.DUMMYFUNCTION("""COMPUTED_VALUE"""),"https://vt.tiktok.com/ZSHTvTBr2B3nx-ssuF2/")</f>
        <v>https://vt.tiktok.com/ZSHTvTBr2B3nx-ssuF2/</v>
      </c>
      <c r="D225" s="17" t="str">
        <f>IFERROR(__xludf.DUMMYFUNCTION("""COMPUTED_VALUE"""),"FS_WM_UP_054")</f>
        <v>FS_WM_UP_054</v>
      </c>
      <c r="E225" s="12" t="str">
        <f>IFERROR(__xludf.DUMMYFUNCTION("""COMPUTED_VALUE"""),"Rosa Women Bra #womenbra #womenwear")</f>
        <v>Rosa Women Bra #womenbra #womenwear</v>
      </c>
      <c r="F225" s="3"/>
      <c r="G225" s="3"/>
      <c r="L225" s="8"/>
      <c r="M225" s="8"/>
      <c r="N225" s="8"/>
      <c r="O225" s="8"/>
      <c r="P225" s="8"/>
      <c r="Q225" s="8"/>
    </row>
    <row r="226" ht="63.75" spans="1:17">
      <c r="A226" s="15">
        <f>IFERROR(__xludf.DUMMYFUNCTION("""COMPUTED_VALUE"""),45995)</f>
        <v>45995</v>
      </c>
      <c r="B226" s="12" t="str">
        <f>IFERROR(__xludf.DUMMYFUNCTION("""COMPUTED_VALUE"""),"3Pcs (Buy 2 Take 1) Korean Design Push Up bra Wonderbra Sexy Comfortable Size 32-38 CupA 702 SET21")</f>
        <v>3Pcs (Buy 2 Take 1) Korean Design Push Up bra Wonderbra Sexy Comfortable Size 32-38 CupA 702 SET21</v>
      </c>
      <c r="C226" s="16" t="str">
        <f>IFERROR(__xludf.DUMMYFUNCTION("""COMPUTED_VALUE"""),"vt.tiktok.com/ZSHTvwnv2TJhT-j55pq/")</f>
        <v>vt.tiktok.com/ZSHTvwnv2TJhT-j55pq/</v>
      </c>
      <c r="D226" s="17" t="str">
        <f>IFERROR(__xludf.DUMMYFUNCTION("""COMPUTED_VALUE"""),"FS_WM_UP_055")</f>
        <v>FS_WM_UP_055</v>
      </c>
      <c r="E226" s="12" t="str">
        <f>IFERROR(__xludf.DUMMYFUNCTION("""COMPUTED_VALUE"""),"Rosa Women Bra #womenbra #womenwear")</f>
        <v>Rosa Women Bra #womenbra #womenwear</v>
      </c>
      <c r="F226" s="3"/>
      <c r="G226" s="3"/>
      <c r="L226" s="8"/>
      <c r="M226" s="8"/>
      <c r="N226" s="8"/>
      <c r="O226" s="8"/>
      <c r="P226" s="8"/>
      <c r="Q226" s="8"/>
    </row>
    <row r="227" ht="89.25" spans="1:17">
      <c r="A227" s="15">
        <f>IFERROR(__xludf.DUMMYFUNCTION("""COMPUTED_VALUE"""),45997)</f>
        <v>45997</v>
      </c>
      <c r="B227" s="12" t="str">
        <f>IFERROR(__xludf.DUMMYFUNCTION("""COMPUTED_VALUE"""),"Fashion gathering seamless adjustable straps cotton bras for woman plus size Womenswear Lingerie Lady Floral Comfort Innerwear Print")</f>
        <v>Fashion gathering seamless adjustable straps cotton bras for woman plus size Womenswear Lingerie Lady Floral Comfort Innerwear Print</v>
      </c>
      <c r="C227" s="16" t="str">
        <f>IFERROR(__xludf.DUMMYFUNCTION("""COMPUTED_VALUE"""),"https://vt.tiktok.com/ZSHwJqUqKqhwv-37P4q/")</f>
        <v>https://vt.tiktok.com/ZSHwJqUqKqhwv-37P4q/</v>
      </c>
      <c r="D227" s="17" t="str">
        <f>IFERROR(__xludf.DUMMYFUNCTION("""COMPUTED_VALUE"""),"FS_WM_UP_056")</f>
        <v>FS_WM_UP_056</v>
      </c>
      <c r="E227" s="12" t="str">
        <f>IFERROR(__xludf.DUMMYFUNCTION("""COMPUTED_VALUE"""),"Women's push up bra #womenbra #pushupbra")</f>
        <v>Women's push up bra #womenbra #pushupbra</v>
      </c>
      <c r="F227" s="3"/>
      <c r="G227" s="3"/>
      <c r="L227" s="8"/>
      <c r="M227" s="8"/>
      <c r="N227" s="8"/>
      <c r="O227" s="8"/>
      <c r="P227" s="8"/>
      <c r="Q227" s="8"/>
    </row>
    <row r="228" ht="76.5" spans="1:17">
      <c r="A228" s="15">
        <f>IFERROR(__xludf.DUMMYFUNCTION("""COMPUTED_VALUE"""),45997)</f>
        <v>45997</v>
      </c>
      <c r="B228" s="12" t="str">
        <f>IFERROR(__xludf.DUMMYFUNCTION("""COMPUTED_VALUE"""),"New Isabelle.Q w/Wire Push-up Bra #YΜΝ016 Maroon Navy Nylon Womenswear Lady Lingerie Army Navy Blue Sexy Basic")</f>
        <v>New Isabelle.Q w/Wire Push-up Bra #YΜΝ016 Maroon Navy Nylon Womenswear Lady Lingerie Army Navy Blue Sexy Basic</v>
      </c>
      <c r="C228" s="16" t="str">
        <f>IFERROR(__xludf.DUMMYFUNCTION("""COMPUTED_VALUE"""),"https://vt.tiktok.com/ZSHwJgdS9Jxd7-3tS9q/")</f>
        <v>https://vt.tiktok.com/ZSHwJgdS9Jxd7-3tS9q/</v>
      </c>
      <c r="D228" s="17" t="str">
        <f>IFERROR(__xludf.DUMMYFUNCTION("""COMPUTED_VALUE"""),"FS_WM_UP_057")</f>
        <v>FS_WM_UP_057</v>
      </c>
      <c r="E228" s="12" t="str">
        <f>IFERROR(__xludf.DUMMYFUNCTION("""COMPUTED_VALUE"""),"New Isabelle.Q w/Wire Push-up Bra #IsabelleQ #womenbra")</f>
        <v>New Isabelle.Q w/Wire Push-up Bra #IsabelleQ #womenbra</v>
      </c>
      <c r="F228" s="3"/>
      <c r="G228" s="3"/>
      <c r="L228" s="8"/>
      <c r="M228" s="8"/>
      <c r="N228" s="8"/>
      <c r="O228" s="8"/>
      <c r="P228" s="8"/>
      <c r="Q228" s="8"/>
    </row>
    <row r="229" ht="51" spans="1:17">
      <c r="A229" s="15">
        <f>IFERROR(__xludf.DUMMYFUNCTION("""COMPUTED_VALUE"""),46002)</f>
        <v>46002</v>
      </c>
      <c r="B229" s="12" t="str">
        <f>IFERROR(__xludf.DUMMYFUNCTION("""COMPUTED_VALUE"""),"Gisele Comfortable Nylon Bra, Non-Wired, Adjustable Straps, Cool &amp; Breathable, Cup B")</f>
        <v>Gisele Comfortable Nylon Bra, Non-Wired, Adjustable Straps, Cool &amp; Breathable, Cup B</v>
      </c>
      <c r="C229" s="16" t="str">
        <f>IFERROR(__xludf.DUMMYFUNCTION("""COMPUTED_VALUE"""),"vt.tiktok.com/ZSHwP45yCW7jN-NXW3Z/")</f>
        <v>vt.tiktok.com/ZSHwP45yCW7jN-NXW3Z/</v>
      </c>
      <c r="D229" s="17" t="str">
        <f>IFERROR(__xludf.DUMMYFUNCTION("""COMPUTED_VALUE"""),"FS_WM_UP_058")</f>
        <v>FS_WM_UP_058</v>
      </c>
      <c r="E229" s="12" t="str">
        <f>IFERROR(__xludf.DUMMYFUNCTION("""COMPUTED_VALUE"""),"Gisele Comfortable Nylon Bra #giselebra #womenbra")</f>
        <v>Gisele Comfortable Nylon Bra #giselebra #womenbra</v>
      </c>
      <c r="F229" s="3"/>
      <c r="G229" s="3"/>
      <c r="L229" s="8"/>
      <c r="M229" s="8"/>
      <c r="N229" s="8"/>
      <c r="O229" s="8"/>
      <c r="P229" s="8"/>
      <c r="Q229" s="8"/>
    </row>
    <row r="230" ht="63.75" spans="1:17">
      <c r="A230" s="15">
        <f>IFERROR(__xludf.DUMMYFUNCTION("""COMPUTED_VALUE"""),46002)</f>
        <v>46002</v>
      </c>
      <c r="B230" s="12" t="str">
        <f>IFERROR(__xludf.DUMMYFUNCTION("""COMPUTED_VALUE"""),"Push-Up Bra with Foam Padding, Lace Design, Smooth Texture, 2 Hooks, Underwear, Cup A Bra")</f>
        <v>Push-Up Bra with Foam Padding, Lace Design, Smooth Texture, 2 Hooks, Underwear, Cup A Bra</v>
      </c>
      <c r="C230" s="16" t="str">
        <f>IFERROR(__xludf.DUMMYFUNCTION("""COMPUTED_VALUE"""),"https://vt.tiktok.com/ZSHwP4gR6yfVH-dMEMv/")</f>
        <v>https://vt.tiktok.com/ZSHwP4gR6yfVH-dMEMv/</v>
      </c>
      <c r="D230" s="17" t="str">
        <f>IFERROR(__xludf.DUMMYFUNCTION("""COMPUTED_VALUE"""),"FS_WM_UP_059")</f>
        <v>FS_WM_UP_059</v>
      </c>
      <c r="E230" s="12" t="str">
        <f>IFERROR(__xludf.DUMMYFUNCTION("""COMPUTED_VALUE"""),"Push-Up Bra #giselebra #pushupbra")</f>
        <v>Push-Up Bra #giselebra #pushupbra</v>
      </c>
      <c r="F230" s="3"/>
      <c r="G230" s="3"/>
      <c r="L230" s="8"/>
      <c r="M230" s="8"/>
      <c r="N230" s="8"/>
      <c r="O230" s="8"/>
      <c r="P230" s="8"/>
      <c r="Q230" s="8"/>
    </row>
    <row r="231" ht="89.25" spans="1:17">
      <c r="A231" s="15">
        <f>IFERROR(__xludf.DUMMYFUNCTION("""COMPUTED_VALUE"""),46002)</f>
        <v>46002</v>
      </c>
      <c r="B231" s="12" t="str">
        <f>IFERROR(__xludf.DUMMYFUNCTION("""COMPUTED_VALUE"""),"Isabelle.Q Boutiques Push-up LX961 Seamless Bra Strapless 3/4 Coverage Floral Womenswear Printed Flower Asian Comfort Lingerie")</f>
        <v>Isabelle.Q Boutiques Push-up LX961 Seamless Bra Strapless 3/4 Coverage Floral Womenswear Printed Flower Asian Comfort Lingerie</v>
      </c>
      <c r="C231" s="16" t="str">
        <f>IFERROR(__xludf.DUMMYFUNCTION("""COMPUTED_VALUE"""),"vt.tiktok.com/ZSHwuFXyHBFvs-cKTqo/")</f>
        <v>vt.tiktok.com/ZSHwuFXyHBFvs-cKTqo/</v>
      </c>
      <c r="D231" s="17" t="str">
        <f>IFERROR(__xludf.DUMMYFUNCTION("""COMPUTED_VALUE"""),"FS_WM_UP_060")</f>
        <v>FS_WM_UP_060</v>
      </c>
      <c r="E231" s="12" t="str">
        <f>IFERROR(__xludf.DUMMYFUNCTION("""COMPUTED_VALUE"""),"Isabelle.Q Push-up Seamless Bra #isabelleQ #pushupbra")</f>
        <v>Isabelle.Q Push-up Seamless Bra #isabelleQ #pushupbra</v>
      </c>
      <c r="F231" s="3"/>
      <c r="G231" s="3"/>
      <c r="L231" s="8"/>
      <c r="M231" s="8"/>
      <c r="N231" s="8"/>
      <c r="O231" s="8"/>
      <c r="P231" s="8"/>
      <c r="Q231" s="8"/>
    </row>
    <row r="232" ht="63.75" spans="1:17">
      <c r="A232" s="15">
        <f>IFERROR(__xludf.DUMMYFUNCTION("""COMPUTED_VALUE"""),46002)</f>
        <v>46002</v>
      </c>
      <c r="B232" s="12" t="str">
        <f>IFERROR(__xludf.DUMMYFUNCTION("""COMPUTED_VALUE"""),"Women's seamless padded push-up bra, wire-free, soft, comfortable and stylish underwear")</f>
        <v>Women's seamless padded push-up bra, wire-free, soft, comfortable and stylish underwear</v>
      </c>
      <c r="C232" s="16" t="str">
        <f>IFERROR(__xludf.DUMMYFUNCTION("""COMPUTED_VALUE"""),"vt.tiktok.com/ZSHwuY6g3rDUk-kcPyl/")</f>
        <v>vt.tiktok.com/ZSHwuY6g3rDUk-kcPyl/</v>
      </c>
      <c r="D232" s="17" t="str">
        <f>IFERROR(__xludf.DUMMYFUNCTION("""COMPUTED_VALUE"""),"FS_WM_UP_061")</f>
        <v>FS_WM_UP_061</v>
      </c>
      <c r="E232" s="12" t="str">
        <f>IFERROR(__xludf.DUMMYFUNCTION("""COMPUTED_VALUE"""),"Women's push up bra #womenbra #pushupbra")</f>
        <v>Women's push up bra #womenbra #pushupbra</v>
      </c>
      <c r="F232" s="3"/>
      <c r="G232" s="3"/>
      <c r="L232" s="8"/>
      <c r="M232" s="8"/>
      <c r="N232" s="8"/>
      <c r="O232" s="8"/>
      <c r="P232" s="8"/>
      <c r="Q232" s="8"/>
    </row>
    <row r="233" ht="102" spans="1:17">
      <c r="A233" s="15">
        <f>IFERROR(__xludf.DUMMYFUNCTION("""COMPUTED_VALUE"""),46011)</f>
        <v>46011</v>
      </c>
      <c r="B233" s="12" t="str">
        <f>IFERROR(__xludf.DUMMYFUNCTION("""COMPUTED_VALUE"""),"Sexy Bra Seductive Lace Bras Transparent Ultra-thin Cup Soft Steel Ring Underwear For Big Chest Gathering Lingerie Sexy Ladies Comfortable Breathable Women's Underwear")</f>
        <v>Sexy Bra Seductive Lace Bras Transparent Ultra-thin Cup Soft Steel Ring Underwear For Big Chest Gathering Lingerie Sexy Ladies Comfortable Breathable Women's Underwear</v>
      </c>
      <c r="C233" s="16" t="str">
        <f>IFERROR(__xludf.DUMMYFUNCTION("""COMPUTED_VALUE"""),"vt.tiktok.com/ZSHKF3LPkDhk4-kRW9C/")</f>
        <v>vt.tiktok.com/ZSHKF3LPkDhk4-kRW9C/</v>
      </c>
      <c r="D233" s="17" t="str">
        <f>IFERROR(__xludf.DUMMYFUNCTION("""COMPUTED_VALUE"""),"FS_WM_UP_062")</f>
        <v>FS_WM_UP_062</v>
      </c>
      <c r="E233" s="12" t="str">
        <f>IFERROR(__xludf.DUMMYFUNCTION("""COMPUTED_VALUE"""),"Sexy Bra #womenbra #sexybra")</f>
        <v>Sexy Bra #womenbra #sexybra</v>
      </c>
      <c r="F233" s="3"/>
      <c r="G233" s="3"/>
      <c r="L233" s="8"/>
      <c r="M233" s="8"/>
      <c r="N233" s="8"/>
      <c r="O233" s="8"/>
      <c r="P233" s="8"/>
      <c r="Q233" s="8"/>
    </row>
    <row r="234" ht="63.75" spans="1:17">
      <c r="A234" s="15">
        <f>IFERROR(__xludf.DUMMYFUNCTION("""COMPUTED_VALUE"""),46013)</f>
        <v>46013</v>
      </c>
      <c r="B234" s="12" t="str">
        <f>IFERROR(__xludf.DUMMYFUNCTION("""COMPUTED_VALUE"""),"Low Plunge Push Up Bra With Clear Straps Low Cut Convertible Underwire Padded Cleavage Bra")</f>
        <v>Low Plunge Push Up Bra With Clear Straps Low Cut Convertible Underwire Padded Cleavage Bra</v>
      </c>
      <c r="C234" s="16" t="str">
        <f>IFERROR(__xludf.DUMMYFUNCTION("""COMPUTED_VALUE"""),"vt.tiktok.com/ZSHKBsxLTCPoN-cWl6a/")</f>
        <v>vt.tiktok.com/ZSHKBsxLTCPoN-cWl6a/</v>
      </c>
      <c r="D234" s="17" t="str">
        <f>IFERROR(__xludf.DUMMYFUNCTION("""COMPUTED_VALUE"""),"FS_WM_UP_064")</f>
        <v>FS_WM_UP_064</v>
      </c>
      <c r="E234" s="12" t="str">
        <f>IFERROR(__xludf.DUMMYFUNCTION("""COMPUTED_VALUE"""),"Low Plunge Push Up Bra 
#pushupbra #womenbra")</f>
        <v>Low Plunge Push Up Bra 
#pushupbra #womenbra</v>
      </c>
      <c r="F234" s="3"/>
      <c r="G234" s="3"/>
      <c r="L234" s="8"/>
      <c r="M234" s="8"/>
      <c r="N234" s="8"/>
      <c r="O234" s="8"/>
      <c r="P234" s="8"/>
      <c r="Q234" s="8"/>
    </row>
    <row r="235" ht="51" spans="1:17">
      <c r="A235" s="15">
        <f>IFERROR(__xludf.DUMMYFUNCTION("""COMPUTED_VALUE"""),46013)</f>
        <v>46013</v>
      </c>
      <c r="B235" s="12" t="str">
        <f>IFERROR(__xludf.DUMMYFUNCTION("""COMPUTED_VALUE"""),"Push Up Bra Cup B Bras Sexy Women Lingerie Padded Underwear 3/4 Coverage 2004")</f>
        <v>Push Up Bra Cup B Bras Sexy Women Lingerie Padded Underwear 3/4 Coverage 2004</v>
      </c>
      <c r="C235" s="16" t="str">
        <f>IFERROR(__xludf.DUMMYFUNCTION("""COMPUTED_VALUE"""),"vt.tiktok.com/ZSHKBGLR3hgNc-0CuIv/")</f>
        <v>vt.tiktok.com/ZSHKBGLR3hgNc-0CuIv/</v>
      </c>
      <c r="D235" s="17" t="str">
        <f>IFERROR(__xludf.DUMMYFUNCTION("""COMPUTED_VALUE"""),"FS_WM_UP_065")</f>
        <v>FS_WM_UP_065</v>
      </c>
      <c r="E235" s="12" t="str">
        <f>IFERROR(__xludf.DUMMYFUNCTION("""COMPUTED_VALUE"""),"Push Up Bra 
#pushupbra #womenbra")</f>
        <v>Push Up Bra 
#pushupbra #womenbra</v>
      </c>
      <c r="F235" s="3"/>
      <c r="G235" s="3"/>
      <c r="L235" s="8"/>
      <c r="M235" s="8"/>
      <c r="N235" s="8"/>
      <c r="O235" s="8"/>
      <c r="P235" s="8"/>
      <c r="Q235" s="8"/>
    </row>
    <row r="236" ht="63.75" spans="1:17">
      <c r="A236" s="15">
        <f>IFERROR(__xludf.DUMMYFUNCTION("""COMPUTED_VALUE"""),46014)</f>
        <v>46014</v>
      </c>
      <c r="B236" s="12" t="str">
        <f>IFERROR(__xludf.DUMMYFUNCTION("""COMPUTED_VALUE"""),"Back Wrap Chest Tube Top Suspenders Adjustable Vest Without Steel Ring Sleeping Bra Sports Underwear")</f>
        <v>Back Wrap Chest Tube Top Suspenders Adjustable Vest Without Steel Ring Sleeping Bra Sports Underwear</v>
      </c>
      <c r="C236" s="16" t="str">
        <f>IFERROR(__xludf.DUMMYFUNCTION("""COMPUTED_VALUE"""),"vt.tiktok.com/ZSHKykHNGhBQA-WWJeT/")</f>
        <v>vt.tiktok.com/ZSHKykHNGhBQA-WWJeT/</v>
      </c>
      <c r="D236" s="17" t="str">
        <f>IFERROR(__xludf.DUMMYFUNCTION("""COMPUTED_VALUE"""),"FS_WM_UP_069")</f>
        <v>FS_WM_UP_069</v>
      </c>
      <c r="E236" s="12" t="str">
        <f>IFERROR(__xludf.DUMMYFUNCTION("""COMPUTED_VALUE"""),"Sport bra 
#sportbra #bralette")</f>
        <v>Sport bra 
#sportbra #bralette</v>
      </c>
      <c r="F236" s="3"/>
      <c r="G236" s="3"/>
      <c r="L236" s="8"/>
      <c r="M236" s="8"/>
      <c r="N236" s="8"/>
      <c r="O236" s="8"/>
      <c r="P236" s="8"/>
      <c r="Q236" s="8"/>
    </row>
    <row r="237" ht="63.75" spans="1:17">
      <c r="A237" s="15">
        <f>IFERROR(__xludf.DUMMYFUNCTION("""COMPUTED_VALUE"""),46017)</f>
        <v>46017</v>
      </c>
      <c r="B237" s="12" t="str">
        <f>IFERROR(__xludf.DUMMYFUNCTION("""COMPUTED_VALUE"""),"Maternity Bra Breastfeeding Bra Detachable Breathable Soft Pregnancy Women Underwear")</f>
        <v>Maternity Bra Breastfeeding Bra Detachable Breathable Soft Pregnancy Women Underwear</v>
      </c>
      <c r="C237" s="16" t="str">
        <f>IFERROR(__xludf.DUMMYFUNCTION("""COMPUTED_VALUE"""),"vt.tiktok.com/ZSHK44L9c1HM4-WWo4B/")</f>
        <v>vt.tiktok.com/ZSHK44L9c1HM4-WWo4B/</v>
      </c>
      <c r="D237" s="17" t="str">
        <f>IFERROR(__xludf.DUMMYFUNCTION("""COMPUTED_VALUE"""),"FS_WM_UP_070")</f>
        <v>FS_WM_UP_070</v>
      </c>
      <c r="E237" s="12" t="str">
        <f>IFERROR(__xludf.DUMMYFUNCTION("""COMPUTED_VALUE"""),"Maternity Bra #breastfeedingbra #maternitybra")</f>
        <v>Maternity Bra #breastfeedingbra #maternitybra</v>
      </c>
      <c r="F237" s="3"/>
      <c r="G237" s="3"/>
      <c r="L237" s="8"/>
      <c r="M237" s="8"/>
      <c r="N237" s="8"/>
      <c r="O237" s="8"/>
      <c r="P237" s="8"/>
      <c r="Q237" s="8"/>
    </row>
    <row r="238" ht="76.5" spans="1:17">
      <c r="A238" s="15">
        <f>IFERROR(__xludf.DUMMYFUNCTION("""COMPUTED_VALUE"""),46017)</f>
        <v>46017</v>
      </c>
      <c r="B238" s="12" t="str">
        <f>IFERROR(__xludf.DUMMYFUNCTION("""COMPUTED_VALUE"""),"Ladies Light and Soft breathable gathered Seamless Bra No Wire Bra For Women Push Up Bra Womenswear Lingerie")</f>
        <v>Ladies Light and Soft breathable gathered Seamless Bra No Wire Bra For Women Push Up Bra Womenswear Lingerie</v>
      </c>
      <c r="C238" s="16" t="str">
        <f>IFERROR(__xludf.DUMMYFUNCTION("""COMPUTED_VALUE"""),"https://vt.tiktok.com/ZSHK4qXcuvXwf-0FMmc/")</f>
        <v>https://vt.tiktok.com/ZSHK4qXcuvXwf-0FMmc/</v>
      </c>
      <c r="D238" s="17" t="str">
        <f>IFERROR(__xludf.DUMMYFUNCTION("""COMPUTED_VALUE"""),"FS_WM_UP_071")</f>
        <v>FS_WM_UP_071</v>
      </c>
      <c r="E238" s="12" t="str">
        <f>IFERROR(__xludf.DUMMYFUNCTION("""COMPUTED_VALUE"""),"Push Up Bra 
#pushupbra #womenbra")</f>
        <v>Push Up Bra 
#pushupbra #womenbra</v>
      </c>
      <c r="F238" s="3"/>
      <c r="G238" s="3"/>
      <c r="L238" s="8"/>
      <c r="M238" s="8"/>
      <c r="N238" s="8"/>
      <c r="O238" s="8"/>
      <c r="P238" s="8"/>
      <c r="Q238" s="8"/>
    </row>
    <row r="239" ht="63.75" spans="1:17">
      <c r="A239" s="15">
        <f>IFERROR(__xludf.DUMMYFUNCTION("""COMPUTED_VALUE"""),46021)</f>
        <v>46021</v>
      </c>
      <c r="B239" s="12" t="str">
        <f>IFERROR(__xludf.DUMMYFUNCTION("""COMPUTED_VALUE"""),"M-3XL Plus Size Seamless Wireless Sports Bra for Women - Padded Beauty Strap Bralette")</f>
        <v>M-3XL Plus Size Seamless Wireless Sports Bra for Women - Padded Beauty Strap Bralette</v>
      </c>
      <c r="C239" s="16" t="str">
        <f>IFERROR(__xludf.DUMMYFUNCTION("""COMPUTED_VALUE"""),"https://vt.tiktok.com/ZSHKEFXPUmH7v-EdmcF/")</f>
        <v>https://vt.tiktok.com/ZSHKEFXPUmH7v-EdmcF/</v>
      </c>
      <c r="D239" s="17" t="str">
        <f>IFERROR(__xludf.DUMMYFUNCTION("""COMPUTED_VALUE"""),"FS_WM_UP_076")</f>
        <v>FS_WM_UP_076</v>
      </c>
      <c r="E239" s="12" t="str">
        <f>IFERROR(__xludf.DUMMYFUNCTION("""COMPUTED_VALUE"""),"Women's Seamless Bra #Womenbra #seamlessbra")</f>
        <v>Women's Seamless Bra #Womenbra #seamlessbra</v>
      </c>
      <c r="F239" s="3"/>
      <c r="G239" s="3"/>
      <c r="L239" s="8"/>
      <c r="M239" s="8"/>
      <c r="N239" s="8"/>
      <c r="O239" s="8"/>
      <c r="P239" s="8"/>
      <c r="Q239" s="8"/>
    </row>
    <row r="240" ht="51" spans="1:17">
      <c r="A240" s="15">
        <f>IFERROR(__xludf.DUMMYFUNCTION("""COMPUTED_VALUE"""),46021)</f>
        <v>46021</v>
      </c>
      <c r="B240" s="12" t="str">
        <f>IFERROR(__xludf.DUMMYFUNCTION("""COMPUTED_VALUE"""),"Plus Size 3D Printed Seamless One PCS Design Bra for Comfortable Wear")</f>
        <v>Plus Size 3D Printed Seamless One PCS Design Bra for Comfortable Wear</v>
      </c>
      <c r="C240" s="16" t="str">
        <f>IFERROR(__xludf.DUMMYFUNCTION("""COMPUTED_VALUE"""),"vt.tiktok.com/ZSHKEY4MeaLh7-bpCrC/")</f>
        <v>vt.tiktok.com/ZSHKEY4MeaLh7-bpCrC/</v>
      </c>
      <c r="D240" s="17" t="str">
        <f>IFERROR(__xludf.DUMMYFUNCTION("""COMPUTED_VALUE"""),"FS_WM_UP_077")</f>
        <v>FS_WM_UP_077</v>
      </c>
      <c r="E240" s="12" t="str">
        <f>IFERROR(__xludf.DUMMYFUNCTION("""COMPUTED_VALUE"""),"Women's Seamless Bra #Womenbra #seamlessbra")</f>
        <v>Women's Seamless Bra #Womenbra #seamlessbra</v>
      </c>
      <c r="F240" s="3"/>
      <c r="G240" s="3"/>
      <c r="L240" s="8"/>
      <c r="M240" s="8"/>
      <c r="N240" s="8"/>
      <c r="O240" s="8"/>
      <c r="P240" s="8"/>
      <c r="Q240" s="8"/>
    </row>
    <row r="241" ht="12.75" spans="1:17">
      <c r="A241" s="4"/>
      <c r="B241" s="12"/>
      <c r="C241" s="12"/>
      <c r="D241" s="17"/>
      <c r="E241" s="12"/>
      <c r="F241" s="3"/>
      <c r="G241" s="3"/>
      <c r="L241" s="8"/>
      <c r="M241" s="8"/>
      <c r="N241" s="8"/>
      <c r="O241" s="8"/>
      <c r="P241" s="8"/>
      <c r="Q241" s="8"/>
    </row>
    <row r="242" ht="12.75" spans="1:17">
      <c r="A242" s="4"/>
      <c r="B242" s="12"/>
      <c r="C242" s="12"/>
      <c r="D242" s="17"/>
      <c r="E242" s="12"/>
      <c r="F242" s="3"/>
      <c r="G242" s="3"/>
      <c r="L242" s="8"/>
      <c r="M242" s="8"/>
      <c r="N242" s="8"/>
      <c r="O242" s="8"/>
      <c r="P242" s="8"/>
      <c r="Q242" s="8"/>
    </row>
    <row r="243" ht="12.75" spans="1:17">
      <c r="A243" s="4"/>
      <c r="B243" s="12"/>
      <c r="C243" s="12"/>
      <c r="D243" s="17"/>
      <c r="E243" s="12"/>
      <c r="F243" s="3"/>
      <c r="G243" s="3"/>
      <c r="L243" s="8"/>
      <c r="M243" s="8"/>
      <c r="N243" s="8"/>
      <c r="O243" s="8"/>
      <c r="P243" s="8"/>
      <c r="Q243" s="8"/>
    </row>
    <row r="244" ht="12.75" spans="1:17">
      <c r="A244" s="4"/>
      <c r="B244" s="12"/>
      <c r="C244" s="12"/>
      <c r="D244" s="17"/>
      <c r="E244" s="12"/>
      <c r="F244" s="3"/>
      <c r="G244" s="3"/>
      <c r="L244" s="8"/>
      <c r="M244" s="8"/>
      <c r="N244" s="8"/>
      <c r="O244" s="8"/>
      <c r="P244" s="8"/>
      <c r="Q244" s="8"/>
    </row>
    <row r="245" ht="12.75" spans="1:17">
      <c r="A245" s="4"/>
      <c r="B245" s="12"/>
      <c r="C245" s="12"/>
      <c r="D245" s="17"/>
      <c r="E245" s="12"/>
      <c r="F245" s="3"/>
      <c r="G245" s="3"/>
      <c r="L245" s="8"/>
      <c r="M245" s="8"/>
      <c r="N245" s="8"/>
      <c r="O245" s="8"/>
      <c r="P245" s="8"/>
      <c r="Q245" s="8"/>
    </row>
    <row r="246" ht="12.75" spans="1:17">
      <c r="A246" s="4"/>
      <c r="B246" s="12"/>
      <c r="C246" s="12"/>
      <c r="D246" s="17"/>
      <c r="E246" s="12"/>
      <c r="F246" s="3"/>
      <c r="G246" s="3"/>
      <c r="L246" s="8"/>
      <c r="M246" s="8"/>
      <c r="N246" s="8"/>
      <c r="O246" s="8"/>
      <c r="P246" s="8"/>
      <c r="Q246" s="8"/>
    </row>
    <row r="247" ht="12.75" spans="1:17">
      <c r="A247" s="4"/>
      <c r="B247" s="12"/>
      <c r="C247" s="12"/>
      <c r="D247" s="17"/>
      <c r="E247" s="12"/>
      <c r="F247" s="3"/>
      <c r="G247" s="3"/>
      <c r="L247" s="8"/>
      <c r="M247" s="8"/>
      <c r="N247" s="8"/>
      <c r="O247" s="8"/>
      <c r="P247" s="8"/>
      <c r="Q247" s="8"/>
    </row>
    <row r="248" ht="12.75" spans="1:17">
      <c r="A248" s="4"/>
      <c r="B248" s="12"/>
      <c r="C248" s="12"/>
      <c r="D248" s="17"/>
      <c r="E248" s="12"/>
      <c r="F248" s="3"/>
      <c r="G248" s="3"/>
      <c r="L248" s="8"/>
      <c r="M248" s="8"/>
      <c r="N248" s="8"/>
      <c r="O248" s="8"/>
      <c r="P248" s="8"/>
      <c r="Q248" s="8"/>
    </row>
    <row r="249" ht="12.75" spans="1:17">
      <c r="A249" s="4"/>
      <c r="B249" s="12"/>
      <c r="C249" s="12"/>
      <c r="D249" s="17"/>
      <c r="E249" s="12"/>
      <c r="F249" s="3"/>
      <c r="G249" s="3"/>
      <c r="L249" s="8"/>
      <c r="M249" s="8"/>
      <c r="N249" s="8"/>
      <c r="O249" s="8"/>
      <c r="P249" s="8"/>
      <c r="Q249" s="8"/>
    </row>
    <row r="250" ht="12.75" spans="1:17">
      <c r="A250" s="4"/>
      <c r="B250" s="12"/>
      <c r="C250" s="12"/>
      <c r="D250" s="17"/>
      <c r="E250" s="12"/>
      <c r="F250" s="3"/>
      <c r="G250" s="3"/>
      <c r="L250" s="8"/>
      <c r="M250" s="8"/>
      <c r="N250" s="8"/>
      <c r="O250" s="8"/>
      <c r="P250" s="8"/>
      <c r="Q250" s="8"/>
    </row>
    <row r="251" ht="12.75" spans="1:17">
      <c r="A251" s="4"/>
      <c r="B251" s="12"/>
      <c r="C251" s="12"/>
      <c r="D251" s="17"/>
      <c r="E251" s="12"/>
      <c r="F251" s="3"/>
      <c r="G251" s="3"/>
      <c r="L251" s="8"/>
      <c r="M251" s="8"/>
      <c r="N251" s="8"/>
      <c r="O251" s="8"/>
      <c r="P251" s="8"/>
      <c r="Q251" s="8"/>
    </row>
    <row r="252" ht="12.75" spans="1:17">
      <c r="A252" s="4"/>
      <c r="B252" s="12"/>
      <c r="C252" s="12"/>
      <c r="D252" s="17"/>
      <c r="E252" s="12"/>
      <c r="F252" s="3"/>
      <c r="G252" s="3"/>
      <c r="L252" s="8"/>
      <c r="M252" s="8"/>
      <c r="N252" s="8"/>
      <c r="O252" s="8"/>
      <c r="P252" s="8"/>
      <c r="Q252" s="8"/>
    </row>
    <row r="253" ht="12.75" spans="1:17">
      <c r="A253" s="4"/>
      <c r="B253" s="12"/>
      <c r="C253" s="12"/>
      <c r="D253" s="17"/>
      <c r="E253" s="12"/>
      <c r="F253" s="3"/>
      <c r="G253" s="3"/>
      <c r="L253" s="8"/>
      <c r="M253" s="8"/>
      <c r="N253" s="8"/>
      <c r="O253" s="8"/>
      <c r="P253" s="8"/>
      <c r="Q253" s="8"/>
    </row>
    <row r="254" ht="12.75" spans="1:17">
      <c r="A254" s="4"/>
      <c r="B254" s="12"/>
      <c r="C254" s="12"/>
      <c r="D254" s="17"/>
      <c r="E254" s="12"/>
      <c r="F254" s="3"/>
      <c r="G254" s="3"/>
      <c r="L254" s="8"/>
      <c r="M254" s="8"/>
      <c r="N254" s="8"/>
      <c r="O254" s="8"/>
      <c r="P254" s="8"/>
      <c r="Q254" s="8"/>
    </row>
    <row r="255" ht="12.75" spans="1:17">
      <c r="A255" s="4"/>
      <c r="B255" s="12"/>
      <c r="C255" s="12"/>
      <c r="D255" s="17"/>
      <c r="E255" s="12"/>
      <c r="F255" s="3"/>
      <c r="G255" s="3"/>
      <c r="L255" s="8"/>
      <c r="M255" s="8"/>
      <c r="N255" s="8"/>
      <c r="O255" s="8"/>
      <c r="P255" s="8"/>
      <c r="Q255" s="8"/>
    </row>
    <row r="256" ht="12.75" spans="1:17">
      <c r="A256" s="4"/>
      <c r="B256" s="12"/>
      <c r="C256" s="12"/>
      <c r="D256" s="17"/>
      <c r="E256" s="12"/>
      <c r="F256" s="3"/>
      <c r="G256" s="3"/>
      <c r="L256" s="8"/>
      <c r="M256" s="8"/>
      <c r="N256" s="8"/>
      <c r="O256" s="8"/>
      <c r="P256" s="8"/>
      <c r="Q256" s="8"/>
    </row>
    <row r="257" ht="12.75" spans="1:17">
      <c r="A257" s="4"/>
      <c r="B257" s="12"/>
      <c r="C257" s="12"/>
      <c r="D257" s="17"/>
      <c r="E257" s="12"/>
      <c r="F257" s="3"/>
      <c r="G257" s="3"/>
      <c r="L257" s="8"/>
      <c r="M257" s="8"/>
      <c r="N257" s="8"/>
      <c r="O257" s="8"/>
      <c r="P257" s="8"/>
      <c r="Q257" s="8"/>
    </row>
    <row r="258" ht="12.75" spans="1:17">
      <c r="A258" s="4"/>
      <c r="B258" s="12"/>
      <c r="C258" s="12"/>
      <c r="D258" s="17"/>
      <c r="E258" s="12"/>
      <c r="F258" s="3"/>
      <c r="G258" s="3"/>
      <c r="L258" s="8"/>
      <c r="M258" s="8"/>
      <c r="N258" s="8"/>
      <c r="O258" s="8"/>
      <c r="P258" s="8"/>
      <c r="Q258" s="8"/>
    </row>
    <row r="259" ht="12.75" spans="1:17">
      <c r="A259" s="4"/>
      <c r="B259" s="12"/>
      <c r="C259" s="12"/>
      <c r="D259" s="17"/>
      <c r="E259" s="12"/>
      <c r="F259" s="3"/>
      <c r="G259" s="3"/>
      <c r="L259" s="8"/>
      <c r="M259" s="8"/>
      <c r="N259" s="8"/>
      <c r="O259" s="8"/>
      <c r="P259" s="8"/>
      <c r="Q259" s="8"/>
    </row>
    <row r="260" ht="12.75" spans="1:17">
      <c r="A260" s="4"/>
      <c r="B260" s="12"/>
      <c r="C260" s="12"/>
      <c r="D260" s="17"/>
      <c r="E260" s="12"/>
      <c r="F260" s="3"/>
      <c r="G260" s="3"/>
      <c r="L260" s="8"/>
      <c r="M260" s="8"/>
      <c r="N260" s="8"/>
      <c r="O260" s="8"/>
      <c r="P260" s="8"/>
      <c r="Q260" s="8"/>
    </row>
    <row r="261" ht="12.75" spans="1:17">
      <c r="A261" s="4"/>
      <c r="B261" s="12"/>
      <c r="C261" s="12"/>
      <c r="D261" s="17"/>
      <c r="E261" s="12"/>
      <c r="F261" s="3"/>
      <c r="G261" s="3"/>
      <c r="L261" s="8"/>
      <c r="M261" s="8"/>
      <c r="N261" s="8"/>
      <c r="O261" s="8"/>
      <c r="P261" s="8"/>
      <c r="Q261" s="8"/>
    </row>
    <row r="262" ht="12.75" spans="1:17">
      <c r="A262" s="4"/>
      <c r="B262" s="12"/>
      <c r="C262" s="12"/>
      <c r="D262" s="17"/>
      <c r="E262" s="12"/>
      <c r="F262" s="3"/>
      <c r="G262" s="3"/>
      <c r="L262" s="8"/>
      <c r="M262" s="8"/>
      <c r="N262" s="8"/>
      <c r="O262" s="8"/>
      <c r="P262" s="8"/>
      <c r="Q262" s="8"/>
    </row>
    <row r="263" ht="12.75" spans="1:17">
      <c r="A263" s="4"/>
      <c r="B263" s="12"/>
      <c r="C263" s="12"/>
      <c r="D263" s="17"/>
      <c r="E263" s="12"/>
      <c r="F263" s="3"/>
      <c r="G263" s="3"/>
      <c r="L263" s="8"/>
      <c r="M263" s="8"/>
      <c r="N263" s="8"/>
      <c r="O263" s="8"/>
      <c r="P263" s="8"/>
      <c r="Q263" s="8"/>
    </row>
    <row r="264" ht="12.75" spans="1:17">
      <c r="A264" s="4"/>
      <c r="B264" s="12"/>
      <c r="C264" s="12"/>
      <c r="D264" s="17"/>
      <c r="E264" s="12"/>
      <c r="F264" s="3"/>
      <c r="G264" s="3"/>
      <c r="L264" s="8"/>
      <c r="M264" s="8"/>
      <c r="N264" s="8"/>
      <c r="O264" s="8"/>
      <c r="P264" s="8"/>
      <c r="Q264" s="8"/>
    </row>
    <row r="265" ht="12.75" spans="1:17">
      <c r="A265" s="4"/>
      <c r="B265" s="12"/>
      <c r="C265" s="12"/>
      <c r="D265" s="17"/>
      <c r="E265" s="12"/>
      <c r="F265" s="3"/>
      <c r="G265" s="3"/>
      <c r="L265" s="8"/>
      <c r="M265" s="8"/>
      <c r="N265" s="8"/>
      <c r="O265" s="8"/>
      <c r="P265" s="8"/>
      <c r="Q265" s="8"/>
    </row>
    <row r="266" ht="12.75" spans="1:17">
      <c r="A266" s="4"/>
      <c r="B266" s="12"/>
      <c r="C266" s="12"/>
      <c r="D266" s="17"/>
      <c r="E266" s="12"/>
      <c r="F266" s="3"/>
      <c r="G266" s="3"/>
      <c r="L266" s="8"/>
      <c r="M266" s="8"/>
      <c r="N266" s="8"/>
      <c r="O266" s="8"/>
      <c r="P266" s="8"/>
      <c r="Q266" s="8"/>
    </row>
    <row r="267" ht="12.75" spans="1:17">
      <c r="A267" s="4"/>
      <c r="B267" s="12"/>
      <c r="C267" s="12"/>
      <c r="D267" s="17"/>
      <c r="E267" s="12"/>
      <c r="F267" s="3"/>
      <c r="G267" s="3"/>
      <c r="L267" s="8"/>
      <c r="M267" s="8"/>
      <c r="N267" s="8"/>
      <c r="O267" s="8"/>
      <c r="P267" s="8"/>
      <c r="Q267" s="8"/>
    </row>
    <row r="268" ht="12.75" spans="1:17">
      <c r="A268" s="4"/>
      <c r="B268" s="12"/>
      <c r="C268" s="12"/>
      <c r="D268" s="17"/>
      <c r="E268" s="12"/>
      <c r="F268" s="3"/>
      <c r="G268" s="3"/>
      <c r="L268" s="8"/>
      <c r="M268" s="8"/>
      <c r="N268" s="8"/>
      <c r="O268" s="8"/>
      <c r="P268" s="8"/>
      <c r="Q268" s="8"/>
    </row>
    <row r="269" ht="12.75" spans="1:17">
      <c r="A269" s="4"/>
      <c r="B269" s="12"/>
      <c r="C269" s="12"/>
      <c r="D269" s="17"/>
      <c r="E269" s="12"/>
      <c r="F269" s="3"/>
      <c r="G269" s="3"/>
      <c r="L269" s="8"/>
      <c r="M269" s="8"/>
      <c r="N269" s="8"/>
      <c r="O269" s="8"/>
      <c r="P269" s="8"/>
      <c r="Q269" s="8"/>
    </row>
    <row r="270" ht="12.75" spans="1:17">
      <c r="A270" s="4"/>
      <c r="B270" s="12"/>
      <c r="C270" s="12"/>
      <c r="D270" s="17"/>
      <c r="E270" s="12"/>
      <c r="F270" s="3"/>
      <c r="G270" s="3"/>
      <c r="L270" s="8"/>
      <c r="M270" s="8"/>
      <c r="N270" s="8"/>
      <c r="O270" s="8"/>
      <c r="P270" s="8"/>
      <c r="Q270" s="8"/>
    </row>
    <row r="271" ht="12.75" spans="1:17">
      <c r="A271" s="4"/>
      <c r="B271" s="12"/>
      <c r="C271" s="12"/>
      <c r="D271" s="17"/>
      <c r="E271" s="12"/>
      <c r="F271" s="3"/>
      <c r="G271" s="3"/>
      <c r="L271" s="8"/>
      <c r="M271" s="8"/>
      <c r="N271" s="8"/>
      <c r="O271" s="8"/>
      <c r="P271" s="8"/>
      <c r="Q271" s="8"/>
    </row>
    <row r="272" ht="12.75" spans="1:17">
      <c r="A272" s="4"/>
      <c r="B272" s="12"/>
      <c r="C272" s="12"/>
      <c r="D272" s="17"/>
      <c r="E272" s="12"/>
      <c r="F272" s="3"/>
      <c r="G272" s="3"/>
      <c r="L272" s="8"/>
      <c r="M272" s="8"/>
      <c r="N272" s="8"/>
      <c r="O272" s="8"/>
      <c r="P272" s="8"/>
      <c r="Q272" s="8"/>
    </row>
    <row r="273" ht="12.75" spans="1:17">
      <c r="A273" s="4"/>
      <c r="B273" s="12"/>
      <c r="C273" s="12"/>
      <c r="D273" s="17"/>
      <c r="E273" s="12"/>
      <c r="F273" s="3"/>
      <c r="G273" s="3"/>
      <c r="L273" s="8"/>
      <c r="M273" s="8"/>
      <c r="N273" s="8"/>
      <c r="O273" s="8"/>
      <c r="P273" s="8"/>
      <c r="Q273" s="8"/>
    </row>
    <row r="274" ht="12.75" spans="1:17">
      <c r="A274" s="4"/>
      <c r="B274" s="12"/>
      <c r="C274" s="12"/>
      <c r="D274" s="17"/>
      <c r="E274" s="12"/>
      <c r="F274" s="3"/>
      <c r="G274" s="3"/>
      <c r="L274" s="8"/>
      <c r="M274" s="8"/>
      <c r="N274" s="8"/>
      <c r="O274" s="8"/>
      <c r="P274" s="8"/>
      <c r="Q274" s="8"/>
    </row>
    <row r="275" ht="12.75" spans="1:17">
      <c r="A275" s="4"/>
      <c r="B275" s="12"/>
      <c r="C275" s="12"/>
      <c r="D275" s="17"/>
      <c r="E275" s="12"/>
      <c r="F275" s="3"/>
      <c r="G275" s="3"/>
      <c r="L275" s="8"/>
      <c r="M275" s="8"/>
      <c r="N275" s="8"/>
      <c r="O275" s="8"/>
      <c r="P275" s="8"/>
      <c r="Q275" s="8"/>
    </row>
    <row r="276" ht="12.75" spans="1:17">
      <c r="A276" s="4"/>
      <c r="B276" s="12"/>
      <c r="C276" s="12"/>
      <c r="D276" s="17"/>
      <c r="E276" s="12"/>
      <c r="F276" s="3"/>
      <c r="G276" s="3"/>
      <c r="L276" s="8"/>
      <c r="M276" s="8"/>
      <c r="N276" s="8"/>
      <c r="O276" s="8"/>
      <c r="P276" s="8"/>
      <c r="Q276" s="8"/>
    </row>
    <row r="277" ht="12.75" spans="1:17">
      <c r="A277" s="4"/>
      <c r="B277" s="12"/>
      <c r="C277" s="12"/>
      <c r="D277" s="17"/>
      <c r="E277" s="12"/>
      <c r="F277" s="3"/>
      <c r="G277" s="3"/>
      <c r="L277" s="8"/>
      <c r="M277" s="8"/>
      <c r="N277" s="8"/>
      <c r="O277" s="8"/>
      <c r="P277" s="8"/>
      <c r="Q277" s="8"/>
    </row>
    <row r="278" ht="12.75" spans="1:17">
      <c r="A278" s="4"/>
      <c r="B278" s="12"/>
      <c r="C278" s="12"/>
      <c r="D278" s="17"/>
      <c r="E278" s="12"/>
      <c r="F278" s="3"/>
      <c r="G278" s="3"/>
      <c r="L278" s="8"/>
      <c r="M278" s="8"/>
      <c r="N278" s="8"/>
      <c r="O278" s="8"/>
      <c r="P278" s="8"/>
      <c r="Q278" s="8"/>
    </row>
    <row r="279" ht="12.75" spans="1:17">
      <c r="A279" s="4"/>
      <c r="B279" s="12"/>
      <c r="C279" s="12"/>
      <c r="D279" s="17"/>
      <c r="E279" s="12"/>
      <c r="F279" s="3"/>
      <c r="G279" s="3"/>
      <c r="L279" s="8"/>
      <c r="M279" s="8"/>
      <c r="N279" s="8"/>
      <c r="O279" s="8"/>
      <c r="P279" s="8"/>
      <c r="Q279" s="8"/>
    </row>
    <row r="280" ht="12.75" spans="1:17">
      <c r="A280" s="4"/>
      <c r="B280" s="12"/>
      <c r="C280" s="12"/>
      <c r="D280" s="17"/>
      <c r="E280" s="12"/>
      <c r="F280" s="3"/>
      <c r="G280" s="3"/>
      <c r="L280" s="8"/>
      <c r="M280" s="8"/>
      <c r="N280" s="8"/>
      <c r="O280" s="8"/>
      <c r="P280" s="8"/>
      <c r="Q280" s="8"/>
    </row>
    <row r="281" ht="12.75" spans="1:17">
      <c r="A281" s="4"/>
      <c r="B281" s="12"/>
      <c r="C281" s="12"/>
      <c r="D281" s="17"/>
      <c r="E281" s="12"/>
      <c r="F281" s="3"/>
      <c r="G281" s="3"/>
      <c r="L281" s="8"/>
      <c r="M281" s="8"/>
      <c r="N281" s="8"/>
      <c r="O281" s="8"/>
      <c r="P281" s="8"/>
      <c r="Q281" s="8"/>
    </row>
    <row r="282" ht="12.75" spans="1:17">
      <c r="A282" s="4"/>
      <c r="B282" s="12"/>
      <c r="C282" s="12"/>
      <c r="D282" s="17"/>
      <c r="E282" s="12"/>
      <c r="F282" s="3"/>
      <c r="G282" s="3"/>
      <c r="L282" s="8"/>
      <c r="M282" s="8"/>
      <c r="N282" s="8"/>
      <c r="O282" s="8"/>
      <c r="P282" s="8"/>
      <c r="Q282" s="8"/>
    </row>
    <row r="283" ht="12.75" spans="1:17">
      <c r="A283" s="4"/>
      <c r="B283" s="12"/>
      <c r="C283" s="12"/>
      <c r="D283" s="17"/>
      <c r="E283" s="12"/>
      <c r="F283" s="3"/>
      <c r="G283" s="3"/>
      <c r="L283" s="8"/>
      <c r="M283" s="8"/>
      <c r="N283" s="8"/>
      <c r="O283" s="8"/>
      <c r="P283" s="8"/>
      <c r="Q283" s="8"/>
    </row>
    <row r="284" ht="12.75" spans="1:17">
      <c r="A284" s="4"/>
      <c r="B284" s="12"/>
      <c r="C284" s="12"/>
      <c r="D284" s="17"/>
      <c r="E284" s="12"/>
      <c r="F284" s="3"/>
      <c r="G284" s="3"/>
      <c r="L284" s="8"/>
      <c r="M284" s="8"/>
      <c r="N284" s="8"/>
      <c r="O284" s="8"/>
      <c r="P284" s="8"/>
      <c r="Q284" s="8"/>
    </row>
    <row r="285" ht="12.75" spans="1:17">
      <c r="A285" s="4"/>
      <c r="B285" s="12"/>
      <c r="C285" s="12"/>
      <c r="D285" s="17"/>
      <c r="E285" s="12"/>
      <c r="F285" s="3"/>
      <c r="G285" s="3"/>
      <c r="L285" s="8"/>
      <c r="M285" s="8"/>
      <c r="N285" s="8"/>
      <c r="O285" s="8"/>
      <c r="P285" s="8"/>
      <c r="Q285" s="8"/>
    </row>
    <row r="286" ht="12.75" spans="1:17">
      <c r="A286" s="4"/>
      <c r="B286" s="12"/>
      <c r="C286" s="12"/>
      <c r="D286" s="17"/>
      <c r="E286" s="12"/>
      <c r="F286" s="3"/>
      <c r="G286" s="3"/>
      <c r="L286" s="8"/>
      <c r="M286" s="8"/>
      <c r="N286" s="8"/>
      <c r="O286" s="8"/>
      <c r="P286" s="8"/>
      <c r="Q286" s="8"/>
    </row>
    <row r="287" ht="12.75" spans="1:17">
      <c r="A287" s="4"/>
      <c r="B287" s="12"/>
      <c r="C287" s="12"/>
      <c r="D287" s="17"/>
      <c r="E287" s="12"/>
      <c r="F287" s="3"/>
      <c r="G287" s="3"/>
      <c r="L287" s="8"/>
      <c r="M287" s="8"/>
      <c r="N287" s="8"/>
      <c r="O287" s="8"/>
      <c r="P287" s="8"/>
      <c r="Q287" s="8"/>
    </row>
    <row r="288" ht="12.75" spans="1:17">
      <c r="A288" s="4"/>
      <c r="B288" s="12"/>
      <c r="C288" s="12"/>
      <c r="D288" s="17"/>
      <c r="E288" s="12"/>
      <c r="F288" s="3"/>
      <c r="G288" s="3"/>
      <c r="L288" s="8"/>
      <c r="M288" s="8"/>
      <c r="N288" s="8"/>
      <c r="O288" s="8"/>
      <c r="P288" s="8"/>
      <c r="Q288" s="8"/>
    </row>
    <row r="289" ht="12.75" spans="1:17">
      <c r="A289" s="4"/>
      <c r="B289" s="12"/>
      <c r="C289" s="12"/>
      <c r="D289" s="17"/>
      <c r="E289" s="12"/>
      <c r="F289" s="3"/>
      <c r="G289" s="3"/>
      <c r="L289" s="8"/>
      <c r="M289" s="8"/>
      <c r="N289" s="8"/>
      <c r="O289" s="8"/>
      <c r="P289" s="8"/>
      <c r="Q289" s="8"/>
    </row>
    <row r="290" ht="12.75" spans="1:17">
      <c r="A290" s="4"/>
      <c r="B290" s="12"/>
      <c r="C290" s="12"/>
      <c r="D290" s="17"/>
      <c r="E290" s="12"/>
      <c r="F290" s="3"/>
      <c r="G290" s="3"/>
      <c r="L290" s="8"/>
      <c r="M290" s="8"/>
      <c r="N290" s="8"/>
      <c r="O290" s="8"/>
      <c r="P290" s="8"/>
      <c r="Q290" s="8"/>
    </row>
    <row r="291" ht="12.75" spans="1:17">
      <c r="A291" s="4"/>
      <c r="B291" s="12"/>
      <c r="C291" s="12"/>
      <c r="D291" s="17"/>
      <c r="E291" s="12"/>
      <c r="F291" s="3"/>
      <c r="G291" s="3"/>
      <c r="L291" s="8"/>
      <c r="M291" s="8"/>
      <c r="N291" s="8"/>
      <c r="O291" s="8"/>
      <c r="P291" s="8"/>
      <c r="Q291" s="8"/>
    </row>
    <row r="292" ht="12.75" spans="1:17">
      <c r="A292" s="4"/>
      <c r="B292" s="12"/>
      <c r="C292" s="12"/>
      <c r="D292" s="17"/>
      <c r="E292" s="12"/>
      <c r="F292" s="3"/>
      <c r="G292" s="3"/>
      <c r="L292" s="8"/>
      <c r="M292" s="8"/>
      <c r="N292" s="8"/>
      <c r="O292" s="8"/>
      <c r="P292" s="8"/>
      <c r="Q292" s="8"/>
    </row>
    <row r="293" ht="12.75" spans="1:17">
      <c r="A293" s="4"/>
      <c r="B293" s="12"/>
      <c r="C293" s="12"/>
      <c r="D293" s="17"/>
      <c r="E293" s="12"/>
      <c r="F293" s="3"/>
      <c r="G293" s="3"/>
      <c r="L293" s="8"/>
      <c r="M293" s="8"/>
      <c r="N293" s="8"/>
      <c r="O293" s="8"/>
      <c r="P293" s="8"/>
      <c r="Q293" s="8"/>
    </row>
    <row r="294" ht="12.75" spans="1:17">
      <c r="A294" s="4"/>
      <c r="B294" s="12"/>
      <c r="C294" s="12"/>
      <c r="D294" s="17"/>
      <c r="E294" s="12"/>
      <c r="F294" s="3"/>
      <c r="G294" s="3"/>
      <c r="L294" s="8"/>
      <c r="M294" s="8"/>
      <c r="N294" s="8"/>
      <c r="O294" s="8"/>
      <c r="P294" s="8"/>
      <c r="Q294" s="8"/>
    </row>
    <row r="295" ht="12.75" spans="1:17">
      <c r="A295" s="4"/>
      <c r="B295" s="12"/>
      <c r="C295" s="12"/>
      <c r="D295" s="17"/>
      <c r="E295" s="12"/>
      <c r="F295" s="3"/>
      <c r="G295" s="3"/>
      <c r="L295" s="8"/>
      <c r="M295" s="8"/>
      <c r="N295" s="8"/>
      <c r="O295" s="8"/>
      <c r="P295" s="8"/>
      <c r="Q295" s="8"/>
    </row>
    <row r="296" ht="12.75" spans="1:17">
      <c r="A296" s="4"/>
      <c r="B296" s="12"/>
      <c r="C296" s="12"/>
      <c r="D296" s="17"/>
      <c r="E296" s="12"/>
      <c r="F296" s="3"/>
      <c r="G296" s="3"/>
      <c r="L296" s="8"/>
      <c r="M296" s="8"/>
      <c r="N296" s="8"/>
      <c r="O296" s="8"/>
      <c r="P296" s="8"/>
      <c r="Q296" s="8"/>
    </row>
    <row r="297" ht="12.75" spans="1:17">
      <c r="A297" s="4"/>
      <c r="B297" s="12"/>
      <c r="C297" s="12"/>
      <c r="D297" s="17"/>
      <c r="E297" s="12"/>
      <c r="F297" s="3"/>
      <c r="G297" s="3"/>
      <c r="L297" s="8"/>
      <c r="M297" s="8"/>
      <c r="N297" s="8"/>
      <c r="O297" s="8"/>
      <c r="P297" s="8"/>
      <c r="Q297" s="8"/>
    </row>
    <row r="298" ht="12.75" spans="1:17">
      <c r="A298" s="4"/>
      <c r="B298" s="12"/>
      <c r="C298" s="12"/>
      <c r="D298" s="17"/>
      <c r="E298" s="12"/>
      <c r="F298" s="3"/>
      <c r="G298" s="3"/>
      <c r="L298" s="8"/>
      <c r="M298" s="8"/>
      <c r="N298" s="8"/>
      <c r="O298" s="8"/>
      <c r="P298" s="8"/>
      <c r="Q298" s="8"/>
    </row>
    <row r="299" ht="12.75" spans="1:17">
      <c r="A299" s="4"/>
      <c r="B299" s="12"/>
      <c r="C299" s="12"/>
      <c r="D299" s="17"/>
      <c r="E299" s="12"/>
      <c r="F299" s="3"/>
      <c r="G299" s="3"/>
      <c r="L299" s="8"/>
      <c r="M299" s="8"/>
      <c r="N299" s="8"/>
      <c r="O299" s="8"/>
      <c r="P299" s="8"/>
      <c r="Q299" s="8"/>
    </row>
    <row r="300" ht="12.75" spans="1:17">
      <c r="A300" s="4"/>
      <c r="B300" s="12"/>
      <c r="C300" s="12"/>
      <c r="D300" s="17"/>
      <c r="E300" s="12"/>
      <c r="F300" s="3"/>
      <c r="G300" s="3"/>
      <c r="L300" s="8"/>
      <c r="M300" s="8"/>
      <c r="N300" s="8"/>
      <c r="O300" s="8"/>
      <c r="P300" s="8"/>
      <c r="Q300" s="8"/>
    </row>
    <row r="301" ht="12.75" spans="1:17">
      <c r="A301" s="4"/>
      <c r="B301" s="12"/>
      <c r="C301" s="12"/>
      <c r="D301" s="17"/>
      <c r="E301" s="12"/>
      <c r="F301" s="3"/>
      <c r="G301" s="3"/>
      <c r="L301" s="8"/>
      <c r="M301" s="8"/>
      <c r="N301" s="8"/>
      <c r="O301" s="8"/>
      <c r="P301" s="8"/>
      <c r="Q301" s="8"/>
    </row>
    <row r="302" ht="12.75" spans="1:17">
      <c r="A302" s="4"/>
      <c r="B302" s="12"/>
      <c r="C302" s="12"/>
      <c r="D302" s="17"/>
      <c r="E302" s="12"/>
      <c r="F302" s="3"/>
      <c r="G302" s="3"/>
      <c r="L302" s="8"/>
      <c r="M302" s="8"/>
      <c r="N302" s="8"/>
      <c r="O302" s="8"/>
      <c r="P302" s="8"/>
      <c r="Q302" s="8"/>
    </row>
    <row r="303" ht="12.75" spans="1:17">
      <c r="A303" s="4"/>
      <c r="B303" s="12"/>
      <c r="C303" s="12"/>
      <c r="D303" s="17"/>
      <c r="E303" s="12"/>
      <c r="F303" s="3"/>
      <c r="G303" s="3"/>
      <c r="L303" s="8"/>
      <c r="M303" s="8"/>
      <c r="N303" s="8"/>
      <c r="O303" s="8"/>
      <c r="P303" s="8"/>
      <c r="Q303" s="8"/>
    </row>
    <row r="304" ht="12.75" spans="1:17">
      <c r="A304" s="4"/>
      <c r="B304" s="12"/>
      <c r="C304" s="12"/>
      <c r="D304" s="17"/>
      <c r="E304" s="12"/>
      <c r="F304" s="3"/>
      <c r="G304" s="3"/>
      <c r="L304" s="8"/>
      <c r="M304" s="8"/>
      <c r="N304" s="8"/>
      <c r="O304" s="8"/>
      <c r="P304" s="8"/>
      <c r="Q304" s="8"/>
    </row>
    <row r="305" ht="12.75" spans="1:17">
      <c r="A305" s="4"/>
      <c r="B305" s="12"/>
      <c r="C305" s="12"/>
      <c r="D305" s="17"/>
      <c r="E305" s="12"/>
      <c r="F305" s="3"/>
      <c r="G305" s="3"/>
      <c r="L305" s="8"/>
      <c r="M305" s="8"/>
      <c r="N305" s="8"/>
      <c r="O305" s="8"/>
      <c r="P305" s="8"/>
      <c r="Q305" s="8"/>
    </row>
    <row r="306" ht="12.75" spans="1:17">
      <c r="A306" s="4"/>
      <c r="B306" s="12"/>
      <c r="C306" s="12"/>
      <c r="D306" s="17"/>
      <c r="E306" s="12"/>
      <c r="F306" s="3"/>
      <c r="G306" s="3"/>
      <c r="L306" s="8"/>
      <c r="M306" s="8"/>
      <c r="N306" s="8"/>
      <c r="O306" s="8"/>
      <c r="P306" s="8"/>
      <c r="Q306" s="8"/>
    </row>
    <row r="307" ht="12.75" spans="1:17">
      <c r="A307" s="4"/>
      <c r="B307" s="12"/>
      <c r="C307" s="12"/>
      <c r="D307" s="17"/>
      <c r="E307" s="12"/>
      <c r="F307" s="3"/>
      <c r="G307" s="3"/>
      <c r="L307" s="8"/>
      <c r="M307" s="8"/>
      <c r="N307" s="8"/>
      <c r="O307" s="8"/>
      <c r="P307" s="8"/>
      <c r="Q307" s="8"/>
    </row>
    <row r="308" ht="12.75" spans="1:17">
      <c r="A308" s="4"/>
      <c r="B308" s="12"/>
      <c r="C308" s="12"/>
      <c r="D308" s="17"/>
      <c r="E308" s="12"/>
      <c r="F308" s="3"/>
      <c r="G308" s="3"/>
      <c r="L308" s="8"/>
      <c r="M308" s="8"/>
      <c r="N308" s="8"/>
      <c r="O308" s="8"/>
      <c r="P308" s="8"/>
      <c r="Q308" s="8"/>
    </row>
    <row r="309" ht="12.75" spans="1:17">
      <c r="A309" s="4"/>
      <c r="B309" s="12"/>
      <c r="C309" s="12"/>
      <c r="D309" s="17"/>
      <c r="E309" s="12"/>
      <c r="F309" s="3"/>
      <c r="G309" s="3"/>
      <c r="L309" s="8"/>
      <c r="M309" s="8"/>
      <c r="N309" s="8"/>
      <c r="O309" s="8"/>
      <c r="P309" s="8"/>
      <c r="Q309" s="8"/>
    </row>
    <row r="310" ht="12.75" spans="1:17">
      <c r="A310" s="4"/>
      <c r="B310" s="12"/>
      <c r="C310" s="12"/>
      <c r="D310" s="17"/>
      <c r="E310" s="12"/>
      <c r="F310" s="3"/>
      <c r="G310" s="3"/>
      <c r="L310" s="8"/>
      <c r="M310" s="8"/>
      <c r="N310" s="8"/>
      <c r="O310" s="8"/>
      <c r="P310" s="8"/>
      <c r="Q310" s="8"/>
    </row>
    <row r="311" ht="12.75" spans="1:17">
      <c r="A311" s="4"/>
      <c r="B311" s="12"/>
      <c r="C311" s="12"/>
      <c r="D311" s="17"/>
      <c r="E311" s="12"/>
      <c r="F311" s="3"/>
      <c r="G311" s="3"/>
      <c r="L311" s="8"/>
      <c r="M311" s="8"/>
      <c r="N311" s="8"/>
      <c r="O311" s="8"/>
      <c r="P311" s="8"/>
      <c r="Q311" s="8"/>
    </row>
    <row r="312" ht="12.75" spans="1:17">
      <c r="A312" s="4"/>
      <c r="B312" s="12"/>
      <c r="C312" s="12"/>
      <c r="D312" s="17"/>
      <c r="E312" s="12"/>
      <c r="F312" s="3"/>
      <c r="G312" s="3"/>
      <c r="L312" s="8"/>
      <c r="M312" s="8"/>
      <c r="N312" s="8"/>
      <c r="O312" s="8"/>
      <c r="P312" s="8"/>
      <c r="Q312" s="8"/>
    </row>
    <row r="313" ht="12.75" spans="1:17">
      <c r="A313" s="4"/>
      <c r="B313" s="12"/>
      <c r="C313" s="12"/>
      <c r="D313" s="17"/>
      <c r="E313" s="12"/>
      <c r="F313" s="3"/>
      <c r="G313" s="3"/>
      <c r="L313" s="8"/>
      <c r="M313" s="8"/>
      <c r="N313" s="8"/>
      <c r="O313" s="8"/>
      <c r="P313" s="8"/>
      <c r="Q313" s="8"/>
    </row>
    <row r="314" ht="12.75" spans="1:17">
      <c r="A314" s="4"/>
      <c r="B314" s="12"/>
      <c r="C314" s="12"/>
      <c r="D314" s="17"/>
      <c r="E314" s="12"/>
      <c r="F314" s="3"/>
      <c r="G314" s="3"/>
      <c r="L314" s="8"/>
      <c r="M314" s="8"/>
      <c r="N314" s="8"/>
      <c r="O314" s="8"/>
      <c r="P314" s="8"/>
      <c r="Q314" s="8"/>
    </row>
    <row r="315" ht="12.75" spans="1:17">
      <c r="A315" s="4"/>
      <c r="B315" s="12"/>
      <c r="C315" s="12"/>
      <c r="D315" s="17"/>
      <c r="E315" s="12"/>
      <c r="F315" s="3"/>
      <c r="G315" s="3"/>
      <c r="L315" s="8"/>
      <c r="M315" s="8"/>
      <c r="N315" s="8"/>
      <c r="O315" s="8"/>
      <c r="P315" s="8"/>
      <c r="Q315" s="8"/>
    </row>
    <row r="316" ht="12.75" spans="1:17">
      <c r="A316" s="4"/>
      <c r="B316" s="12"/>
      <c r="C316" s="12"/>
      <c r="D316" s="17"/>
      <c r="E316" s="12"/>
      <c r="F316" s="3"/>
      <c r="G316" s="3"/>
      <c r="L316" s="8"/>
      <c r="M316" s="8"/>
      <c r="N316" s="8"/>
      <c r="O316" s="8"/>
      <c r="P316" s="8"/>
      <c r="Q316" s="8"/>
    </row>
    <row r="317" ht="12.75" spans="1:17">
      <c r="A317" s="4"/>
      <c r="B317" s="12"/>
      <c r="C317" s="12"/>
      <c r="D317" s="17"/>
      <c r="E317" s="12"/>
      <c r="F317" s="3"/>
      <c r="G317" s="3"/>
      <c r="L317" s="8"/>
      <c r="M317" s="8"/>
      <c r="N317" s="8"/>
      <c r="O317" s="8"/>
      <c r="P317" s="8"/>
      <c r="Q317" s="8"/>
    </row>
    <row r="318" ht="12.75" spans="1:17">
      <c r="A318" s="4"/>
      <c r="B318" s="12"/>
      <c r="C318" s="12"/>
      <c r="D318" s="17"/>
      <c r="E318" s="12"/>
      <c r="F318" s="3"/>
      <c r="G318" s="3"/>
      <c r="L318" s="8"/>
      <c r="M318" s="8"/>
      <c r="N318" s="8"/>
      <c r="O318" s="8"/>
      <c r="P318" s="8"/>
      <c r="Q318" s="8"/>
    </row>
    <row r="319" ht="12.75" spans="1:17">
      <c r="A319" s="4"/>
      <c r="B319" s="12"/>
      <c r="C319" s="12"/>
      <c r="D319" s="17"/>
      <c r="E319" s="12"/>
      <c r="F319" s="3"/>
      <c r="G319" s="3"/>
      <c r="L319" s="8"/>
      <c r="M319" s="8"/>
      <c r="N319" s="8"/>
      <c r="O319" s="8"/>
      <c r="P319" s="8"/>
      <c r="Q319" s="8"/>
    </row>
    <row r="320" ht="12.75" spans="1:17">
      <c r="A320" s="4"/>
      <c r="B320" s="12"/>
      <c r="C320" s="12"/>
      <c r="D320" s="17"/>
      <c r="E320" s="12"/>
      <c r="F320" s="3"/>
      <c r="G320" s="3"/>
      <c r="L320" s="8"/>
      <c r="M320" s="8"/>
      <c r="N320" s="8"/>
      <c r="O320" s="8"/>
      <c r="P320" s="8"/>
      <c r="Q320" s="8"/>
    </row>
    <row r="321" ht="12.75" spans="1:17">
      <c r="A321" s="4"/>
      <c r="B321" s="12"/>
      <c r="C321" s="12"/>
      <c r="D321" s="17"/>
      <c r="E321" s="12"/>
      <c r="F321" s="3"/>
      <c r="G321" s="3"/>
      <c r="L321" s="8"/>
      <c r="M321" s="8"/>
      <c r="N321" s="8"/>
      <c r="O321" s="8"/>
      <c r="P321" s="8"/>
      <c r="Q321" s="8"/>
    </row>
    <row r="322" ht="12.75" spans="1:17">
      <c r="A322" s="4"/>
      <c r="B322" s="12"/>
      <c r="C322" s="12"/>
      <c r="D322" s="17"/>
      <c r="E322" s="12"/>
      <c r="F322" s="3"/>
      <c r="G322" s="3"/>
      <c r="L322" s="8"/>
      <c r="M322" s="8"/>
      <c r="N322" s="8"/>
      <c r="O322" s="8"/>
      <c r="P322" s="8"/>
      <c r="Q322" s="8"/>
    </row>
    <row r="323" ht="12.75" spans="1:17">
      <c r="A323" s="4"/>
      <c r="B323" s="12"/>
      <c r="C323" s="12"/>
      <c r="D323" s="17"/>
      <c r="E323" s="12"/>
      <c r="F323" s="3"/>
      <c r="G323" s="3"/>
      <c r="L323" s="8"/>
      <c r="M323" s="8"/>
      <c r="N323" s="8"/>
      <c r="O323" s="8"/>
      <c r="P323" s="8"/>
      <c r="Q323" s="8"/>
    </row>
    <row r="324" ht="12.75" spans="1:17">
      <c r="A324" s="4"/>
      <c r="B324" s="12"/>
      <c r="C324" s="12"/>
      <c r="D324" s="17"/>
      <c r="E324" s="12"/>
      <c r="F324" s="3"/>
      <c r="G324" s="3"/>
      <c r="L324" s="8"/>
      <c r="M324" s="8"/>
      <c r="N324" s="8"/>
      <c r="O324" s="8"/>
      <c r="P324" s="8"/>
      <c r="Q324" s="8"/>
    </row>
    <row r="325" ht="12.75" spans="1:17">
      <c r="A325" s="4"/>
      <c r="B325" s="12"/>
      <c r="C325" s="12"/>
      <c r="D325" s="17"/>
      <c r="E325" s="12"/>
      <c r="F325" s="3"/>
      <c r="G325" s="3"/>
      <c r="L325" s="8"/>
      <c r="M325" s="8"/>
      <c r="N325" s="8"/>
      <c r="O325" s="8"/>
      <c r="P325" s="8"/>
      <c r="Q325" s="8"/>
    </row>
    <row r="326" ht="12.75" spans="1:17">
      <c r="A326" s="4"/>
      <c r="B326" s="12"/>
      <c r="C326" s="12"/>
      <c r="D326" s="17"/>
      <c r="E326" s="12"/>
      <c r="F326" s="3"/>
      <c r="G326" s="3"/>
      <c r="L326" s="8"/>
      <c r="M326" s="8"/>
      <c r="N326" s="8"/>
      <c r="O326" s="8"/>
      <c r="P326" s="8"/>
      <c r="Q326" s="8"/>
    </row>
    <row r="327" ht="12.75" spans="1:17">
      <c r="A327" s="4"/>
      <c r="B327" s="12"/>
      <c r="C327" s="12"/>
      <c r="D327" s="17"/>
      <c r="E327" s="12"/>
      <c r="F327" s="3"/>
      <c r="G327" s="3"/>
      <c r="L327" s="8"/>
      <c r="M327" s="8"/>
      <c r="N327" s="8"/>
      <c r="O327" s="8"/>
      <c r="P327" s="8"/>
      <c r="Q327" s="8"/>
    </row>
    <row r="328" ht="12.75" spans="1:17">
      <c r="A328" s="4"/>
      <c r="B328" s="12"/>
      <c r="C328" s="12"/>
      <c r="D328" s="17"/>
      <c r="E328" s="12"/>
      <c r="F328" s="3"/>
      <c r="G328" s="3"/>
      <c r="L328" s="8"/>
      <c r="M328" s="8"/>
      <c r="N328" s="8"/>
      <c r="O328" s="8"/>
      <c r="P328" s="8"/>
      <c r="Q328" s="8"/>
    </row>
    <row r="329" ht="12.75" spans="1:17">
      <c r="A329" s="4"/>
      <c r="B329" s="12"/>
      <c r="C329" s="12"/>
      <c r="D329" s="17"/>
      <c r="E329" s="12"/>
      <c r="F329" s="3"/>
      <c r="G329" s="3"/>
      <c r="L329" s="8"/>
      <c r="M329" s="8"/>
      <c r="N329" s="8"/>
      <c r="O329" s="8"/>
      <c r="P329" s="8"/>
      <c r="Q329" s="8"/>
    </row>
    <row r="330" ht="12.75" spans="1:17">
      <c r="A330" s="4"/>
      <c r="B330" s="12"/>
      <c r="C330" s="12"/>
      <c r="D330" s="17"/>
      <c r="E330" s="12"/>
      <c r="F330" s="3"/>
      <c r="G330" s="3"/>
      <c r="L330" s="8"/>
      <c r="M330" s="8"/>
      <c r="N330" s="8"/>
      <c r="O330" s="8"/>
      <c r="P330" s="8"/>
      <c r="Q330" s="8"/>
    </row>
    <row r="331" ht="12.75" spans="1:17">
      <c r="A331" s="4"/>
      <c r="B331" s="12"/>
      <c r="C331" s="12"/>
      <c r="D331" s="17"/>
      <c r="E331" s="12"/>
      <c r="F331" s="3"/>
      <c r="G331" s="3"/>
      <c r="L331" s="8"/>
      <c r="M331" s="8"/>
      <c r="N331" s="8"/>
      <c r="O331" s="8"/>
      <c r="P331" s="8"/>
      <c r="Q331" s="8"/>
    </row>
    <row r="332" ht="12.75" spans="1:17">
      <c r="A332" s="4"/>
      <c r="B332" s="12"/>
      <c r="C332" s="12"/>
      <c r="D332" s="17"/>
      <c r="E332" s="12"/>
      <c r="F332" s="3"/>
      <c r="G332" s="3"/>
      <c r="L332" s="8"/>
      <c r="M332" s="8"/>
      <c r="N332" s="8"/>
      <c r="O332" s="8"/>
      <c r="P332" s="8"/>
      <c r="Q332" s="8"/>
    </row>
    <row r="333" ht="12.75" spans="1:17">
      <c r="A333" s="4"/>
      <c r="B333" s="12"/>
      <c r="C333" s="12"/>
      <c r="D333" s="17"/>
      <c r="E333" s="12"/>
      <c r="F333" s="3"/>
      <c r="G333" s="3"/>
      <c r="L333" s="8"/>
      <c r="M333" s="8"/>
      <c r="N333" s="8"/>
      <c r="O333" s="8"/>
      <c r="P333" s="8"/>
      <c r="Q333" s="8"/>
    </row>
    <row r="334" ht="12.75" spans="1:17">
      <c r="A334" s="4"/>
      <c r="B334" s="12"/>
      <c r="C334" s="12"/>
      <c r="D334" s="17"/>
      <c r="E334" s="12"/>
      <c r="F334" s="3"/>
      <c r="G334" s="3"/>
      <c r="L334" s="8"/>
      <c r="M334" s="8"/>
      <c r="N334" s="8"/>
      <c r="O334" s="8"/>
      <c r="P334" s="8"/>
      <c r="Q334" s="8"/>
    </row>
    <row r="335" ht="12.75" spans="1:17">
      <c r="A335" s="4"/>
      <c r="B335" s="12"/>
      <c r="C335" s="12"/>
      <c r="D335" s="17"/>
      <c r="E335" s="12"/>
      <c r="F335" s="3"/>
      <c r="G335" s="3"/>
      <c r="L335" s="8"/>
      <c r="M335" s="8"/>
      <c r="N335" s="8"/>
      <c r="O335" s="8"/>
      <c r="P335" s="8"/>
      <c r="Q335" s="8"/>
    </row>
    <row r="336" ht="12.75" spans="1:17">
      <c r="A336" s="4"/>
      <c r="B336" s="12"/>
      <c r="C336" s="12"/>
      <c r="D336" s="17"/>
      <c r="E336" s="12"/>
      <c r="F336" s="3"/>
      <c r="G336" s="3"/>
      <c r="L336" s="8"/>
      <c r="M336" s="8"/>
      <c r="N336" s="8"/>
      <c r="O336" s="8"/>
      <c r="P336" s="8"/>
      <c r="Q336" s="8"/>
    </row>
    <row r="337" ht="12.75" spans="1:17">
      <c r="A337" s="4"/>
      <c r="B337" s="12"/>
      <c r="C337" s="12"/>
      <c r="D337" s="17"/>
      <c r="E337" s="12"/>
      <c r="F337" s="3"/>
      <c r="G337" s="3"/>
      <c r="L337" s="8"/>
      <c r="M337" s="8"/>
      <c r="N337" s="8"/>
      <c r="O337" s="8"/>
      <c r="P337" s="8"/>
      <c r="Q337" s="8"/>
    </row>
    <row r="338" ht="12.75" spans="1:17">
      <c r="A338" s="4"/>
      <c r="B338" s="12"/>
      <c r="C338" s="12"/>
      <c r="D338" s="17"/>
      <c r="E338" s="12"/>
      <c r="F338" s="3"/>
      <c r="G338" s="3"/>
      <c r="L338" s="8"/>
      <c r="M338" s="8"/>
      <c r="N338" s="8"/>
      <c r="O338" s="8"/>
      <c r="P338" s="8"/>
      <c r="Q338" s="8"/>
    </row>
    <row r="339" ht="12.75" spans="1:17">
      <c r="A339" s="4"/>
      <c r="B339" s="12"/>
      <c r="C339" s="12"/>
      <c r="D339" s="17"/>
      <c r="E339" s="12"/>
      <c r="F339" s="3"/>
      <c r="G339" s="3"/>
      <c r="L339" s="8"/>
      <c r="M339" s="8"/>
      <c r="N339" s="8"/>
      <c r="O339" s="8"/>
      <c r="P339" s="8"/>
      <c r="Q339" s="8"/>
    </row>
    <row r="340" ht="12.75" spans="1:17">
      <c r="A340" s="4"/>
      <c r="B340" s="12"/>
      <c r="C340" s="12"/>
      <c r="D340" s="17"/>
      <c r="E340" s="12"/>
      <c r="F340" s="3"/>
      <c r="G340" s="3"/>
      <c r="L340" s="8"/>
      <c r="M340" s="8"/>
      <c r="N340" s="8"/>
      <c r="O340" s="8"/>
      <c r="P340" s="8"/>
      <c r="Q340" s="8"/>
    </row>
    <row r="341" ht="12.75" spans="1:17">
      <c r="A341" s="4"/>
      <c r="B341" s="12"/>
      <c r="C341" s="12"/>
      <c r="D341" s="17"/>
      <c r="E341" s="12"/>
      <c r="F341" s="3"/>
      <c r="G341" s="3"/>
      <c r="L341" s="8"/>
      <c r="M341" s="8"/>
      <c r="N341" s="8"/>
      <c r="O341" s="8"/>
      <c r="P341" s="8"/>
      <c r="Q341" s="8"/>
    </row>
    <row r="342" ht="12.75" spans="1:17">
      <c r="A342" s="4"/>
      <c r="B342" s="12"/>
      <c r="C342" s="12"/>
      <c r="D342" s="17"/>
      <c r="E342" s="12"/>
      <c r="F342" s="3"/>
      <c r="G342" s="3"/>
      <c r="L342" s="8"/>
      <c r="M342" s="8"/>
      <c r="N342" s="8"/>
      <c r="O342" s="8"/>
      <c r="P342" s="8"/>
      <c r="Q342" s="8"/>
    </row>
    <row r="343" ht="12.75" spans="1:17">
      <c r="A343" s="4"/>
      <c r="B343" s="12"/>
      <c r="C343" s="12"/>
      <c r="D343" s="17"/>
      <c r="E343" s="12"/>
      <c r="F343" s="3"/>
      <c r="G343" s="3"/>
      <c r="L343" s="8"/>
      <c r="M343" s="8"/>
      <c r="N343" s="8"/>
      <c r="O343" s="8"/>
      <c r="P343" s="8"/>
      <c r="Q343" s="8"/>
    </row>
    <row r="344" ht="12.75" spans="1:17">
      <c r="A344" s="4"/>
      <c r="B344" s="12"/>
      <c r="C344" s="12"/>
      <c r="D344" s="17"/>
      <c r="E344" s="12"/>
      <c r="F344" s="3"/>
      <c r="G344" s="3"/>
      <c r="L344" s="8"/>
      <c r="M344" s="8"/>
      <c r="N344" s="8"/>
      <c r="O344" s="8"/>
      <c r="P344" s="8"/>
      <c r="Q344" s="8"/>
    </row>
    <row r="345" ht="12.75" spans="1:17">
      <c r="A345" s="4"/>
      <c r="B345" s="12"/>
      <c r="C345" s="12"/>
      <c r="D345" s="17"/>
      <c r="E345" s="12"/>
      <c r="F345" s="3"/>
      <c r="G345" s="3"/>
      <c r="L345" s="8"/>
      <c r="M345" s="8"/>
      <c r="N345" s="8"/>
      <c r="O345" s="8"/>
      <c r="P345" s="8"/>
      <c r="Q345" s="8"/>
    </row>
    <row r="346" ht="12.75" spans="1:17">
      <c r="A346" s="4"/>
      <c r="B346" s="12"/>
      <c r="C346" s="12"/>
      <c r="D346" s="17"/>
      <c r="E346" s="12"/>
      <c r="F346" s="3"/>
      <c r="G346" s="3"/>
      <c r="L346" s="8"/>
      <c r="M346" s="8"/>
      <c r="N346" s="8"/>
      <c r="O346" s="8"/>
      <c r="P346" s="8"/>
      <c r="Q346" s="8"/>
    </row>
    <row r="347" ht="12.75" spans="1:17">
      <c r="A347" s="4"/>
      <c r="B347" s="12"/>
      <c r="C347" s="12"/>
      <c r="D347" s="17"/>
      <c r="E347" s="12"/>
      <c r="F347" s="3"/>
      <c r="G347" s="3"/>
      <c r="L347" s="8"/>
      <c r="M347" s="8"/>
      <c r="N347" s="8"/>
      <c r="O347" s="8"/>
      <c r="P347" s="8"/>
      <c r="Q347" s="8"/>
    </row>
    <row r="348" ht="12.75" spans="1:17">
      <c r="A348" s="4"/>
      <c r="B348" s="12"/>
      <c r="C348" s="12"/>
      <c r="D348" s="17"/>
      <c r="E348" s="12"/>
      <c r="F348" s="3"/>
      <c r="G348" s="3"/>
      <c r="L348" s="8"/>
      <c r="M348" s="8"/>
      <c r="N348" s="8"/>
      <c r="O348" s="8"/>
      <c r="P348" s="8"/>
      <c r="Q348" s="8"/>
    </row>
    <row r="349" ht="12.75" spans="1:17">
      <c r="A349" s="4"/>
      <c r="B349" s="12"/>
      <c r="C349" s="12"/>
      <c r="D349" s="17"/>
      <c r="E349" s="12"/>
      <c r="F349" s="3"/>
      <c r="G349" s="3"/>
      <c r="L349" s="8"/>
      <c r="M349" s="8"/>
      <c r="N349" s="8"/>
      <c r="O349" s="8"/>
      <c r="P349" s="8"/>
      <c r="Q349" s="8"/>
    </row>
    <row r="350" ht="12.75" spans="1:17">
      <c r="A350" s="4"/>
      <c r="B350" s="12"/>
      <c r="C350" s="12"/>
      <c r="D350" s="17"/>
      <c r="E350" s="12"/>
      <c r="F350" s="3"/>
      <c r="G350" s="3"/>
      <c r="L350" s="8"/>
      <c r="M350" s="8"/>
      <c r="N350" s="8"/>
      <c r="O350" s="8"/>
      <c r="P350" s="8"/>
      <c r="Q350" s="8"/>
    </row>
    <row r="351" ht="12.75" spans="1:17">
      <c r="A351" s="4"/>
      <c r="B351" s="12"/>
      <c r="C351" s="12"/>
      <c r="D351" s="17"/>
      <c r="E351" s="12"/>
      <c r="F351" s="3"/>
      <c r="G351" s="3"/>
      <c r="L351" s="8"/>
      <c r="M351" s="8"/>
      <c r="N351" s="8"/>
      <c r="O351" s="8"/>
      <c r="P351" s="8"/>
      <c r="Q351" s="8"/>
    </row>
    <row r="352" ht="12.75" spans="1:17">
      <c r="A352" s="4"/>
      <c r="B352" s="12"/>
      <c r="C352" s="12"/>
      <c r="D352" s="17"/>
      <c r="E352" s="12"/>
      <c r="F352" s="3"/>
      <c r="G352" s="3"/>
      <c r="L352" s="8"/>
      <c r="M352" s="8"/>
      <c r="N352" s="8"/>
      <c r="O352" s="8"/>
      <c r="P352" s="8"/>
      <c r="Q352" s="8"/>
    </row>
    <row r="353" ht="12.75" spans="1:17">
      <c r="A353" s="4"/>
      <c r="B353" s="12"/>
      <c r="C353" s="12"/>
      <c r="D353" s="17"/>
      <c r="E353" s="12"/>
      <c r="F353" s="3"/>
      <c r="G353" s="3"/>
      <c r="L353" s="8"/>
      <c r="M353" s="8"/>
      <c r="N353" s="8"/>
      <c r="O353" s="8"/>
      <c r="P353" s="8"/>
      <c r="Q353" s="8"/>
    </row>
    <row r="354" ht="12.75" spans="1:17">
      <c r="A354" s="4"/>
      <c r="B354" s="12"/>
      <c r="C354" s="12"/>
      <c r="D354" s="17"/>
      <c r="E354" s="12"/>
      <c r="F354" s="3"/>
      <c r="G354" s="3"/>
      <c r="L354" s="8"/>
      <c r="M354" s="8"/>
      <c r="N354" s="8"/>
      <c r="O354" s="8"/>
      <c r="P354" s="8"/>
      <c r="Q354" s="8"/>
    </row>
    <row r="355" ht="12.75" spans="1:17">
      <c r="A355" s="4"/>
      <c r="B355" s="12"/>
      <c r="C355" s="12"/>
      <c r="D355" s="17"/>
      <c r="E355" s="12"/>
      <c r="F355" s="3"/>
      <c r="G355" s="3"/>
      <c r="L355" s="8"/>
      <c r="M355" s="8"/>
      <c r="N355" s="8"/>
      <c r="O355" s="8"/>
      <c r="P355" s="8"/>
      <c r="Q355" s="8"/>
    </row>
    <row r="356" ht="12.75" spans="1:17">
      <c r="A356" s="4"/>
      <c r="B356" s="12"/>
      <c r="C356" s="12"/>
      <c r="D356" s="17"/>
      <c r="E356" s="12"/>
      <c r="F356" s="3"/>
      <c r="G356" s="3"/>
      <c r="L356" s="8"/>
      <c r="M356" s="8"/>
      <c r="N356" s="8"/>
      <c r="O356" s="8"/>
      <c r="P356" s="8"/>
      <c r="Q356" s="8"/>
    </row>
    <row r="357" ht="12.75" spans="1:17">
      <c r="A357" s="4"/>
      <c r="B357" s="12"/>
      <c r="C357" s="12"/>
      <c r="D357" s="17"/>
      <c r="E357" s="12"/>
      <c r="F357" s="3"/>
      <c r="G357" s="3"/>
      <c r="L357" s="8"/>
      <c r="M357" s="8"/>
      <c r="N357" s="8"/>
      <c r="O357" s="8"/>
      <c r="P357" s="8"/>
      <c r="Q357" s="8"/>
    </row>
    <row r="358" ht="12.75" spans="1:17">
      <c r="A358" s="4"/>
      <c r="B358" s="12"/>
      <c r="C358" s="12"/>
      <c r="D358" s="17"/>
      <c r="E358" s="12"/>
      <c r="F358" s="3"/>
      <c r="G358" s="3"/>
      <c r="L358" s="8"/>
      <c r="M358" s="8"/>
      <c r="N358" s="8"/>
      <c r="O358" s="8"/>
      <c r="P358" s="8"/>
      <c r="Q358" s="8"/>
    </row>
    <row r="359" ht="12.75" spans="1:17">
      <c r="A359" s="4"/>
      <c r="B359" s="12"/>
      <c r="C359" s="12"/>
      <c r="D359" s="17"/>
      <c r="E359" s="12"/>
      <c r="F359" s="3"/>
      <c r="G359" s="3"/>
      <c r="L359" s="8"/>
      <c r="M359" s="8"/>
      <c r="N359" s="8"/>
      <c r="O359" s="8"/>
      <c r="P359" s="8"/>
      <c r="Q359" s="8"/>
    </row>
    <row r="360" ht="12.75" spans="1:17">
      <c r="A360" s="4"/>
      <c r="B360" s="12"/>
      <c r="C360" s="12"/>
      <c r="D360" s="17"/>
      <c r="E360" s="12"/>
      <c r="F360" s="3"/>
      <c r="G360" s="3"/>
      <c r="L360" s="8"/>
      <c r="M360" s="8"/>
      <c r="N360" s="8"/>
      <c r="O360" s="8"/>
      <c r="P360" s="8"/>
      <c r="Q360" s="8"/>
    </row>
    <row r="361" ht="12.75" spans="1:17">
      <c r="A361" s="4"/>
      <c r="B361" s="12"/>
      <c r="C361" s="12"/>
      <c r="D361" s="17"/>
      <c r="E361" s="12"/>
      <c r="F361" s="3"/>
      <c r="G361" s="3"/>
      <c r="L361" s="8"/>
      <c r="M361" s="8"/>
      <c r="N361" s="8"/>
      <c r="O361" s="8"/>
      <c r="P361" s="8"/>
      <c r="Q361" s="8"/>
    </row>
    <row r="362" ht="12.75" spans="1:17">
      <c r="A362" s="4"/>
      <c r="B362" s="12"/>
      <c r="C362" s="12"/>
      <c r="D362" s="17"/>
      <c r="E362" s="12"/>
      <c r="F362" s="3"/>
      <c r="G362" s="3"/>
      <c r="L362" s="8"/>
      <c r="M362" s="8"/>
      <c r="N362" s="8"/>
      <c r="O362" s="8"/>
      <c r="P362" s="8"/>
      <c r="Q362" s="8"/>
    </row>
    <row r="363" ht="12.75" spans="1:17">
      <c r="A363" s="4"/>
      <c r="B363" s="12"/>
      <c r="C363" s="12"/>
      <c r="D363" s="17"/>
      <c r="E363" s="12"/>
      <c r="F363" s="3"/>
      <c r="G363" s="3"/>
      <c r="L363" s="8"/>
      <c r="M363" s="8"/>
      <c r="N363" s="8"/>
      <c r="O363" s="8"/>
      <c r="P363" s="8"/>
      <c r="Q363" s="8"/>
    </row>
    <row r="364" ht="12.75" spans="1:17">
      <c r="A364" s="4"/>
      <c r="B364" s="12"/>
      <c r="C364" s="12"/>
      <c r="D364" s="17"/>
      <c r="E364" s="12"/>
      <c r="F364" s="3"/>
      <c r="G364" s="3"/>
      <c r="L364" s="8"/>
      <c r="M364" s="8"/>
      <c r="N364" s="8"/>
      <c r="O364" s="8"/>
      <c r="P364" s="8"/>
      <c r="Q364" s="8"/>
    </row>
    <row r="365" ht="12.75" spans="1:17">
      <c r="A365" s="4"/>
      <c r="B365" s="12"/>
      <c r="C365" s="12"/>
      <c r="D365" s="17"/>
      <c r="E365" s="12"/>
      <c r="F365" s="3"/>
      <c r="G365" s="3"/>
      <c r="L365" s="8"/>
      <c r="M365" s="8"/>
      <c r="N365" s="8"/>
      <c r="O365" s="8"/>
      <c r="P365" s="8"/>
      <c r="Q365" s="8"/>
    </row>
    <row r="366" ht="12.75" spans="1:17">
      <c r="A366" s="4"/>
      <c r="B366" s="12"/>
      <c r="C366" s="12"/>
      <c r="D366" s="17"/>
      <c r="E366" s="12"/>
      <c r="F366" s="3"/>
      <c r="G366" s="3"/>
      <c r="L366" s="8"/>
      <c r="M366" s="8"/>
      <c r="N366" s="8"/>
      <c r="O366" s="8"/>
      <c r="P366" s="8"/>
      <c r="Q366" s="8"/>
    </row>
    <row r="367" ht="12.75" spans="1:17">
      <c r="A367" s="4"/>
      <c r="B367" s="12"/>
      <c r="C367" s="12"/>
      <c r="D367" s="17"/>
      <c r="E367" s="12"/>
      <c r="F367" s="3"/>
      <c r="G367" s="3"/>
      <c r="L367" s="8"/>
      <c r="M367" s="8"/>
      <c r="N367" s="8"/>
      <c r="O367" s="8"/>
      <c r="P367" s="8"/>
      <c r="Q367" s="8"/>
    </row>
    <row r="368" ht="12.75" spans="1:17">
      <c r="A368" s="4"/>
      <c r="B368" s="12"/>
      <c r="C368" s="12"/>
      <c r="D368" s="17"/>
      <c r="E368" s="12"/>
      <c r="F368" s="3"/>
      <c r="G368" s="3"/>
      <c r="L368" s="8"/>
      <c r="M368" s="8"/>
      <c r="N368" s="8"/>
      <c r="O368" s="8"/>
      <c r="P368" s="8"/>
      <c r="Q368" s="8"/>
    </row>
    <row r="369" ht="12.75" spans="1:17">
      <c r="A369" s="4"/>
      <c r="B369" s="12"/>
      <c r="C369" s="12"/>
      <c r="D369" s="17"/>
      <c r="E369" s="12"/>
      <c r="F369" s="3"/>
      <c r="G369" s="3"/>
      <c r="L369" s="8"/>
      <c r="M369" s="8"/>
      <c r="N369" s="8"/>
      <c r="O369" s="8"/>
      <c r="P369" s="8"/>
      <c r="Q369" s="8"/>
    </row>
    <row r="370" ht="12.75" spans="1:17">
      <c r="A370" s="4"/>
      <c r="B370" s="12"/>
      <c r="C370" s="12"/>
      <c r="D370" s="17"/>
      <c r="E370" s="12"/>
      <c r="F370" s="3"/>
      <c r="G370" s="3"/>
      <c r="L370" s="8"/>
      <c r="M370" s="8"/>
      <c r="N370" s="8"/>
      <c r="O370" s="8"/>
      <c r="P370" s="8"/>
      <c r="Q370" s="8"/>
    </row>
    <row r="371" ht="12.75" spans="1:17">
      <c r="A371" s="4"/>
      <c r="B371" s="12"/>
      <c r="C371" s="12"/>
      <c r="D371" s="17"/>
      <c r="E371" s="12"/>
      <c r="F371" s="3"/>
      <c r="G371" s="3"/>
      <c r="L371" s="8"/>
      <c r="M371" s="8"/>
      <c r="N371" s="8"/>
      <c r="O371" s="8"/>
      <c r="P371" s="8"/>
      <c r="Q371" s="8"/>
    </row>
    <row r="372" ht="12.75" spans="1:17">
      <c r="A372" s="4"/>
      <c r="B372" s="12"/>
      <c r="C372" s="12"/>
      <c r="D372" s="17"/>
      <c r="E372" s="12"/>
      <c r="F372" s="3"/>
      <c r="G372" s="3"/>
      <c r="L372" s="8"/>
      <c r="M372" s="8"/>
      <c r="N372" s="8"/>
      <c r="O372" s="8"/>
      <c r="P372" s="8"/>
      <c r="Q372" s="8"/>
    </row>
    <row r="373" ht="12.75" spans="1:17">
      <c r="A373" s="4"/>
      <c r="B373" s="12"/>
      <c r="C373" s="12"/>
      <c r="D373" s="17"/>
      <c r="E373" s="12"/>
      <c r="F373" s="3"/>
      <c r="G373" s="3"/>
      <c r="L373" s="8"/>
      <c r="M373" s="8"/>
      <c r="N373" s="8"/>
      <c r="O373" s="8"/>
      <c r="P373" s="8"/>
      <c r="Q373" s="8"/>
    </row>
    <row r="374" ht="12.75" spans="1:17">
      <c r="A374" s="4"/>
      <c r="B374" s="12"/>
      <c r="C374" s="12"/>
      <c r="D374" s="17"/>
      <c r="E374" s="12"/>
      <c r="F374" s="3"/>
      <c r="G374" s="3"/>
      <c r="L374" s="8"/>
      <c r="M374" s="8"/>
      <c r="N374" s="8"/>
      <c r="O374" s="8"/>
      <c r="P374" s="8"/>
      <c r="Q374" s="8"/>
    </row>
    <row r="375" ht="12.75" spans="1:17">
      <c r="A375" s="4"/>
      <c r="B375" s="12"/>
      <c r="C375" s="12"/>
      <c r="D375" s="17"/>
      <c r="E375" s="12"/>
      <c r="F375" s="3"/>
      <c r="G375" s="3"/>
      <c r="L375" s="8"/>
      <c r="M375" s="8"/>
      <c r="N375" s="8"/>
      <c r="O375" s="8"/>
      <c r="P375" s="8"/>
      <c r="Q375" s="8"/>
    </row>
    <row r="376" ht="12.75" spans="1:17">
      <c r="A376" s="4"/>
      <c r="B376" s="12"/>
      <c r="C376" s="12"/>
      <c r="D376" s="17"/>
      <c r="E376" s="12"/>
      <c r="F376" s="3"/>
      <c r="G376" s="3"/>
      <c r="L376" s="8"/>
      <c r="M376" s="8"/>
      <c r="N376" s="8"/>
      <c r="O376" s="8"/>
      <c r="P376" s="8"/>
      <c r="Q376" s="8"/>
    </row>
    <row r="377" ht="12.75" spans="1:17">
      <c r="A377" s="4"/>
      <c r="B377" s="12"/>
      <c r="C377" s="12"/>
      <c r="D377" s="17"/>
      <c r="E377" s="12"/>
      <c r="F377" s="3"/>
      <c r="G377" s="3"/>
      <c r="L377" s="8"/>
      <c r="M377" s="8"/>
      <c r="N377" s="8"/>
      <c r="O377" s="8"/>
      <c r="P377" s="8"/>
      <c r="Q377" s="8"/>
    </row>
    <row r="378" ht="12.75" spans="1:17">
      <c r="A378" s="4"/>
      <c r="B378" s="12"/>
      <c r="C378" s="12"/>
      <c r="D378" s="17"/>
      <c r="E378" s="12"/>
      <c r="F378" s="3"/>
      <c r="G378" s="3"/>
      <c r="L378" s="8"/>
      <c r="M378" s="8"/>
      <c r="N378" s="8"/>
      <c r="O378" s="8"/>
      <c r="P378" s="8"/>
      <c r="Q378" s="8"/>
    </row>
    <row r="379" ht="12.75" spans="1:17">
      <c r="A379" s="4"/>
      <c r="B379" s="12"/>
      <c r="C379" s="12"/>
      <c r="D379" s="17"/>
      <c r="E379" s="12"/>
      <c r="F379" s="3"/>
      <c r="G379" s="3"/>
      <c r="L379" s="8"/>
      <c r="M379" s="8"/>
      <c r="N379" s="8"/>
      <c r="O379" s="8"/>
      <c r="P379" s="8"/>
      <c r="Q379" s="8"/>
    </row>
    <row r="380" ht="12.75" spans="1:17">
      <c r="A380" s="4"/>
      <c r="B380" s="12"/>
      <c r="C380" s="12"/>
      <c r="D380" s="17"/>
      <c r="E380" s="12"/>
      <c r="F380" s="3"/>
      <c r="G380" s="3"/>
      <c r="L380" s="8"/>
      <c r="M380" s="8"/>
      <c r="N380" s="8"/>
      <c r="O380" s="8"/>
      <c r="P380" s="8"/>
      <c r="Q380" s="8"/>
    </row>
    <row r="381" ht="12.75" spans="1:17">
      <c r="A381" s="4"/>
      <c r="B381" s="12"/>
      <c r="C381" s="12"/>
      <c r="D381" s="17"/>
      <c r="E381" s="12"/>
      <c r="F381" s="3"/>
      <c r="G381" s="3"/>
      <c r="L381" s="8"/>
      <c r="M381" s="8"/>
      <c r="N381" s="8"/>
      <c r="O381" s="8"/>
      <c r="P381" s="8"/>
      <c r="Q381" s="8"/>
    </row>
    <row r="382" ht="12.75" spans="1:17">
      <c r="A382" s="4"/>
      <c r="B382" s="12"/>
      <c r="C382" s="12"/>
      <c r="D382" s="17"/>
      <c r="E382" s="12"/>
      <c r="F382" s="3"/>
      <c r="G382" s="3"/>
      <c r="L382" s="8"/>
      <c r="M382" s="8"/>
      <c r="N382" s="8"/>
      <c r="O382" s="8"/>
      <c r="P382" s="8"/>
      <c r="Q382" s="8"/>
    </row>
    <row r="383" ht="12.75" spans="1:17">
      <c r="A383" s="4"/>
      <c r="B383" s="12"/>
      <c r="C383" s="12"/>
      <c r="D383" s="17"/>
      <c r="E383" s="12"/>
      <c r="F383" s="3"/>
      <c r="G383" s="3"/>
      <c r="L383" s="8"/>
      <c r="M383" s="8"/>
      <c r="N383" s="8"/>
      <c r="O383" s="8"/>
      <c r="P383" s="8"/>
      <c r="Q383" s="8"/>
    </row>
    <row r="384" ht="12.75" spans="1:17">
      <c r="A384" s="4"/>
      <c r="B384" s="12"/>
      <c r="C384" s="12"/>
      <c r="D384" s="17"/>
      <c r="E384" s="12"/>
      <c r="F384" s="3"/>
      <c r="G384" s="3"/>
      <c r="L384" s="8"/>
      <c r="M384" s="8"/>
      <c r="N384" s="8"/>
      <c r="O384" s="8"/>
      <c r="P384" s="8"/>
      <c r="Q384" s="8"/>
    </row>
    <row r="385" ht="12.75" spans="1:17">
      <c r="A385" s="4"/>
      <c r="B385" s="12"/>
      <c r="C385" s="12"/>
      <c r="D385" s="17"/>
      <c r="E385" s="12"/>
      <c r="F385" s="3"/>
      <c r="G385" s="3"/>
      <c r="L385" s="8"/>
      <c r="M385" s="8"/>
      <c r="N385" s="8"/>
      <c r="O385" s="8"/>
      <c r="P385" s="8"/>
      <c r="Q385" s="8"/>
    </row>
    <row r="386" ht="12.75" spans="1:17">
      <c r="A386" s="4"/>
      <c r="B386" s="12"/>
      <c r="C386" s="12"/>
      <c r="D386" s="17"/>
      <c r="E386" s="12"/>
      <c r="F386" s="3"/>
      <c r="G386" s="3"/>
      <c r="L386" s="8"/>
      <c r="M386" s="8"/>
      <c r="N386" s="8"/>
      <c r="O386" s="8"/>
      <c r="P386" s="8"/>
      <c r="Q386" s="8"/>
    </row>
    <row r="387" ht="12.75" spans="1:17">
      <c r="A387" s="4"/>
      <c r="B387" s="12"/>
      <c r="C387" s="12"/>
      <c r="D387" s="17"/>
      <c r="E387" s="12"/>
      <c r="F387" s="3"/>
      <c r="G387" s="3"/>
      <c r="L387" s="8"/>
      <c r="M387" s="8"/>
      <c r="N387" s="8"/>
      <c r="O387" s="8"/>
      <c r="P387" s="8"/>
      <c r="Q387" s="8"/>
    </row>
    <row r="388" ht="12.75" spans="1:17">
      <c r="A388" s="4"/>
      <c r="B388" s="12"/>
      <c r="C388" s="12"/>
      <c r="D388" s="17"/>
      <c r="E388" s="12"/>
      <c r="F388" s="3"/>
      <c r="G388" s="3"/>
      <c r="L388" s="8"/>
      <c r="M388" s="8"/>
      <c r="N388" s="8"/>
      <c r="O388" s="8"/>
      <c r="P388" s="8"/>
      <c r="Q388" s="8"/>
    </row>
    <row r="389" ht="12.75" spans="1:17">
      <c r="A389" s="4"/>
      <c r="B389" s="12"/>
      <c r="C389" s="12"/>
      <c r="D389" s="17"/>
      <c r="E389" s="12"/>
      <c r="F389" s="3"/>
      <c r="G389" s="3"/>
      <c r="L389" s="8"/>
      <c r="M389" s="8"/>
      <c r="N389" s="8"/>
      <c r="O389" s="8"/>
      <c r="P389" s="8"/>
      <c r="Q389" s="8"/>
    </row>
    <row r="390" ht="12.75" spans="1:17">
      <c r="A390" s="4"/>
      <c r="B390" s="12"/>
      <c r="C390" s="12"/>
      <c r="D390" s="17"/>
      <c r="E390" s="12"/>
      <c r="F390" s="3"/>
      <c r="G390" s="3"/>
      <c r="L390" s="8"/>
      <c r="M390" s="8"/>
      <c r="N390" s="8"/>
      <c r="O390" s="8"/>
      <c r="P390" s="8"/>
      <c r="Q390" s="8"/>
    </row>
    <row r="391" ht="12.75" spans="1:17">
      <c r="A391" s="4"/>
      <c r="B391" s="12"/>
      <c r="C391" s="12"/>
      <c r="D391" s="17"/>
      <c r="E391" s="12"/>
      <c r="F391" s="3"/>
      <c r="G391" s="3"/>
      <c r="L391" s="8"/>
      <c r="M391" s="8"/>
      <c r="N391" s="8"/>
      <c r="O391" s="8"/>
      <c r="P391" s="8"/>
      <c r="Q391" s="8"/>
    </row>
    <row r="392" ht="12.75" spans="1:17">
      <c r="A392" s="4"/>
      <c r="B392" s="12"/>
      <c r="C392" s="12"/>
      <c r="D392" s="17"/>
      <c r="E392" s="12"/>
      <c r="F392" s="3"/>
      <c r="G392" s="3"/>
      <c r="L392" s="8"/>
      <c r="M392" s="8"/>
      <c r="N392" s="8"/>
      <c r="O392" s="8"/>
      <c r="P392" s="8"/>
      <c r="Q392" s="8"/>
    </row>
    <row r="393" ht="12.75" spans="1:17">
      <c r="A393" s="4"/>
      <c r="B393" s="12"/>
      <c r="C393" s="12"/>
      <c r="D393" s="17"/>
      <c r="E393" s="12"/>
      <c r="F393" s="3"/>
      <c r="G393" s="3"/>
      <c r="L393" s="8"/>
      <c r="M393" s="8"/>
      <c r="N393" s="8"/>
      <c r="O393" s="8"/>
      <c r="P393" s="8"/>
      <c r="Q393" s="8"/>
    </row>
    <row r="394" ht="12.75" spans="1:17">
      <c r="A394" s="4"/>
      <c r="B394" s="12"/>
      <c r="C394" s="12"/>
      <c r="D394" s="17"/>
      <c r="E394" s="12"/>
      <c r="F394" s="3"/>
      <c r="G394" s="3"/>
      <c r="L394" s="8"/>
      <c r="M394" s="8"/>
      <c r="N394" s="8"/>
      <c r="O394" s="8"/>
      <c r="P394" s="8"/>
      <c r="Q394" s="8"/>
    </row>
    <row r="395" ht="12.75" spans="1:17">
      <c r="A395" s="4"/>
      <c r="B395" s="12"/>
      <c r="C395" s="12"/>
      <c r="D395" s="17"/>
      <c r="E395" s="12"/>
      <c r="F395" s="3"/>
      <c r="G395" s="3"/>
      <c r="L395" s="8"/>
      <c r="M395" s="8"/>
      <c r="N395" s="8"/>
      <c r="O395" s="8"/>
      <c r="P395" s="8"/>
      <c r="Q395" s="8"/>
    </row>
    <row r="396" ht="12.75" spans="1:17">
      <c r="A396" s="4"/>
      <c r="B396" s="12"/>
      <c r="C396" s="12"/>
      <c r="D396" s="17"/>
      <c r="E396" s="12"/>
      <c r="F396" s="3"/>
      <c r="G396" s="3"/>
      <c r="L396" s="8"/>
      <c r="M396" s="8"/>
      <c r="N396" s="8"/>
      <c r="O396" s="8"/>
      <c r="P396" s="8"/>
      <c r="Q396" s="8"/>
    </row>
    <row r="397" ht="12.75" spans="1:17">
      <c r="A397" s="4"/>
      <c r="B397" s="12"/>
      <c r="C397" s="12"/>
      <c r="D397" s="17"/>
      <c r="E397" s="12"/>
      <c r="F397" s="3"/>
      <c r="G397" s="3"/>
      <c r="L397" s="8"/>
      <c r="M397" s="8"/>
      <c r="N397" s="8"/>
      <c r="O397" s="8"/>
      <c r="P397" s="8"/>
      <c r="Q397" s="8"/>
    </row>
    <row r="398" ht="12.75" spans="1:17">
      <c r="A398" s="4"/>
      <c r="B398" s="12"/>
      <c r="C398" s="12"/>
      <c r="D398" s="17"/>
      <c r="E398" s="12"/>
      <c r="F398" s="3"/>
      <c r="G398" s="3"/>
      <c r="L398" s="8"/>
      <c r="M398" s="8"/>
      <c r="N398" s="8"/>
      <c r="O398" s="8"/>
      <c r="P398" s="8"/>
      <c r="Q398" s="8"/>
    </row>
    <row r="399" ht="12.75" spans="1:17">
      <c r="A399" s="4"/>
      <c r="B399" s="12"/>
      <c r="C399" s="12"/>
      <c r="D399" s="17"/>
      <c r="E399" s="12"/>
      <c r="F399" s="3"/>
      <c r="G399" s="3"/>
      <c r="L399" s="8"/>
      <c r="M399" s="8"/>
      <c r="N399" s="8"/>
      <c r="O399" s="8"/>
      <c r="P399" s="8"/>
      <c r="Q399" s="8"/>
    </row>
    <row r="400" ht="12.75" spans="1:17">
      <c r="A400" s="4"/>
      <c r="B400" s="12"/>
      <c r="C400" s="12"/>
      <c r="D400" s="17"/>
      <c r="E400" s="12"/>
      <c r="F400" s="3"/>
      <c r="G400" s="3"/>
      <c r="L400" s="8"/>
      <c r="M400" s="8"/>
      <c r="N400" s="8"/>
      <c r="O400" s="8"/>
      <c r="P400" s="8"/>
      <c r="Q400" s="8"/>
    </row>
    <row r="401" ht="12.75" spans="1:17">
      <c r="A401" s="4"/>
      <c r="B401" s="12"/>
      <c r="C401" s="12"/>
      <c r="D401" s="17"/>
      <c r="E401" s="12"/>
      <c r="F401" s="3"/>
      <c r="G401" s="3"/>
      <c r="L401" s="8"/>
      <c r="M401" s="8"/>
      <c r="N401" s="8"/>
      <c r="O401" s="8"/>
      <c r="P401" s="8"/>
      <c r="Q401" s="8"/>
    </row>
    <row r="402" ht="12.75" spans="1:17">
      <c r="A402" s="4"/>
      <c r="B402" s="12"/>
      <c r="C402" s="12"/>
      <c r="D402" s="17"/>
      <c r="E402" s="12"/>
      <c r="F402" s="3"/>
      <c r="G402" s="3"/>
      <c r="L402" s="8"/>
      <c r="M402" s="8"/>
      <c r="N402" s="8"/>
      <c r="O402" s="8"/>
      <c r="P402" s="8"/>
      <c r="Q402" s="8"/>
    </row>
    <row r="403" ht="12.75" spans="1:17">
      <c r="A403" s="4"/>
      <c r="B403" s="12"/>
      <c r="C403" s="12"/>
      <c r="D403" s="17"/>
      <c r="E403" s="12"/>
      <c r="F403" s="3"/>
      <c r="G403" s="3"/>
      <c r="L403" s="8"/>
      <c r="M403" s="8"/>
      <c r="N403" s="8"/>
      <c r="O403" s="8"/>
      <c r="P403" s="8"/>
      <c r="Q403" s="8"/>
    </row>
    <row r="404" ht="12.75" spans="1:17">
      <c r="A404" s="4"/>
      <c r="B404" s="12"/>
      <c r="C404" s="12"/>
      <c r="D404" s="17"/>
      <c r="E404" s="12"/>
      <c r="F404" s="3"/>
      <c r="G404" s="3"/>
      <c r="L404" s="8"/>
      <c r="M404" s="8"/>
      <c r="N404" s="8"/>
      <c r="O404" s="8"/>
      <c r="P404" s="8"/>
      <c r="Q404" s="8"/>
    </row>
    <row r="405" ht="12.75" spans="1:17">
      <c r="A405" s="4"/>
      <c r="B405" s="12"/>
      <c r="C405" s="12"/>
      <c r="D405" s="17"/>
      <c r="E405" s="12"/>
      <c r="F405" s="3"/>
      <c r="G405" s="3"/>
      <c r="L405" s="8"/>
      <c r="M405" s="8"/>
      <c r="N405" s="8"/>
      <c r="O405" s="8"/>
      <c r="P405" s="8"/>
      <c r="Q405" s="8"/>
    </row>
    <row r="406" ht="12.75" spans="1:17">
      <c r="A406" s="4"/>
      <c r="B406" s="12"/>
      <c r="C406" s="12"/>
      <c r="D406" s="17"/>
      <c r="E406" s="12"/>
      <c r="F406" s="3"/>
      <c r="G406" s="3"/>
      <c r="L406" s="8"/>
      <c r="M406" s="8"/>
      <c r="N406" s="8"/>
      <c r="O406" s="8"/>
      <c r="P406" s="8"/>
      <c r="Q406" s="8"/>
    </row>
    <row r="407" ht="12.75" spans="1:17">
      <c r="A407" s="4"/>
      <c r="B407" s="12"/>
      <c r="C407" s="12"/>
      <c r="D407" s="17"/>
      <c r="E407" s="12"/>
      <c r="F407" s="3"/>
      <c r="G407" s="3"/>
      <c r="L407" s="8"/>
      <c r="M407" s="8"/>
      <c r="N407" s="8"/>
      <c r="O407" s="8"/>
      <c r="P407" s="8"/>
      <c r="Q407" s="8"/>
    </row>
    <row r="408" ht="12.75" spans="1:17">
      <c r="A408" s="4"/>
      <c r="B408" s="12"/>
      <c r="C408" s="12"/>
      <c r="D408" s="17"/>
      <c r="E408" s="12"/>
      <c r="F408" s="3"/>
      <c r="G408" s="3"/>
      <c r="L408" s="8"/>
      <c r="M408" s="8"/>
      <c r="N408" s="8"/>
      <c r="O408" s="8"/>
      <c r="P408" s="8"/>
      <c r="Q408" s="8"/>
    </row>
    <row r="409" ht="12.75" spans="1:17">
      <c r="A409" s="4"/>
      <c r="B409" s="12"/>
      <c r="C409" s="12"/>
      <c r="D409" s="17"/>
      <c r="E409" s="12"/>
      <c r="F409" s="3"/>
      <c r="G409" s="3"/>
      <c r="L409" s="8"/>
      <c r="M409" s="8"/>
      <c r="N409" s="8"/>
      <c r="O409" s="8"/>
      <c r="P409" s="8"/>
      <c r="Q409" s="8"/>
    </row>
    <row r="410" ht="12.75" spans="1:17">
      <c r="A410" s="4"/>
      <c r="B410" s="12"/>
      <c r="C410" s="12"/>
      <c r="D410" s="17"/>
      <c r="E410" s="12"/>
      <c r="F410" s="3"/>
      <c r="G410" s="3"/>
      <c r="L410" s="8"/>
      <c r="M410" s="8"/>
      <c r="N410" s="8"/>
      <c r="O410" s="8"/>
      <c r="P410" s="8"/>
      <c r="Q410" s="8"/>
    </row>
    <row r="411" ht="12.75" spans="1:17">
      <c r="A411" s="4"/>
      <c r="B411" s="12"/>
      <c r="C411" s="12"/>
      <c r="D411" s="17"/>
      <c r="E411" s="12"/>
      <c r="F411" s="3"/>
      <c r="G411" s="3"/>
      <c r="L411" s="8"/>
      <c r="M411" s="8"/>
      <c r="N411" s="8"/>
      <c r="O411" s="8"/>
      <c r="P411" s="8"/>
      <c r="Q411" s="8"/>
    </row>
    <row r="412" ht="12.75" spans="1:17">
      <c r="A412" s="4"/>
      <c r="B412" s="12"/>
      <c r="C412" s="12"/>
      <c r="D412" s="17"/>
      <c r="E412" s="12"/>
      <c r="F412" s="3"/>
      <c r="G412" s="3"/>
      <c r="L412" s="8"/>
      <c r="M412" s="8"/>
      <c r="N412" s="8"/>
      <c r="O412" s="8"/>
      <c r="P412" s="8"/>
      <c r="Q412" s="8"/>
    </row>
    <row r="413" ht="12.75" spans="1:17">
      <c r="A413" s="4"/>
      <c r="B413" s="12"/>
      <c r="C413" s="12"/>
      <c r="D413" s="17"/>
      <c r="E413" s="12"/>
      <c r="F413" s="3"/>
      <c r="G413" s="3"/>
      <c r="L413" s="8"/>
      <c r="M413" s="8"/>
      <c r="N413" s="8"/>
      <c r="O413" s="8"/>
      <c r="P413" s="8"/>
      <c r="Q413" s="8"/>
    </row>
    <row r="414" ht="12.75" spans="1:17">
      <c r="A414" s="4"/>
      <c r="B414" s="12"/>
      <c r="C414" s="12"/>
      <c r="D414" s="17"/>
      <c r="E414" s="12"/>
      <c r="F414" s="3"/>
      <c r="G414" s="3"/>
      <c r="L414" s="8"/>
      <c r="M414" s="8"/>
      <c r="N414" s="8"/>
      <c r="O414" s="8"/>
      <c r="P414" s="8"/>
      <c r="Q414" s="8"/>
    </row>
    <row r="415" ht="12.75" spans="1:17">
      <c r="A415" s="4"/>
      <c r="B415" s="12"/>
      <c r="C415" s="12"/>
      <c r="D415" s="17"/>
      <c r="E415" s="12"/>
      <c r="F415" s="3"/>
      <c r="G415" s="3"/>
      <c r="L415" s="8"/>
      <c r="M415" s="8"/>
      <c r="N415" s="8"/>
      <c r="O415" s="8"/>
      <c r="P415" s="8"/>
      <c r="Q415" s="8"/>
    </row>
    <row r="416" ht="12.75" spans="1:17">
      <c r="A416" s="4"/>
      <c r="B416" s="12"/>
      <c r="C416" s="12"/>
      <c r="D416" s="17"/>
      <c r="E416" s="12"/>
      <c r="F416" s="3"/>
      <c r="G416" s="3"/>
      <c r="L416" s="8"/>
      <c r="M416" s="8"/>
      <c r="N416" s="8"/>
      <c r="O416" s="8"/>
      <c r="P416" s="8"/>
      <c r="Q416" s="8"/>
    </row>
    <row r="417" ht="12.75" spans="1:17">
      <c r="A417" s="4"/>
      <c r="B417" s="12"/>
      <c r="C417" s="12"/>
      <c r="D417" s="17"/>
      <c r="E417" s="12"/>
      <c r="F417" s="3"/>
      <c r="G417" s="3"/>
      <c r="L417" s="8"/>
      <c r="M417" s="8"/>
      <c r="N417" s="8"/>
      <c r="O417" s="8"/>
      <c r="P417" s="8"/>
      <c r="Q417" s="8"/>
    </row>
    <row r="418" ht="12.75" spans="1:17">
      <c r="A418" s="4"/>
      <c r="B418" s="12"/>
      <c r="C418" s="12"/>
      <c r="D418" s="17"/>
      <c r="E418" s="12"/>
      <c r="F418" s="3"/>
      <c r="G418" s="3"/>
      <c r="L418" s="8"/>
      <c r="M418" s="8"/>
      <c r="N418" s="8"/>
      <c r="O418" s="8"/>
      <c r="P418" s="8"/>
      <c r="Q418" s="8"/>
    </row>
    <row r="419" ht="12.75" spans="1:17">
      <c r="A419" s="4"/>
      <c r="B419" s="12"/>
      <c r="C419" s="12"/>
      <c r="D419" s="17"/>
      <c r="E419" s="12"/>
      <c r="F419" s="3"/>
      <c r="G419" s="3"/>
      <c r="L419" s="8"/>
      <c r="M419" s="8"/>
      <c r="N419" s="8"/>
      <c r="O419" s="8"/>
      <c r="P419" s="8"/>
      <c r="Q419" s="8"/>
    </row>
    <row r="420" ht="12.75" spans="1:17">
      <c r="A420" s="4"/>
      <c r="B420" s="12"/>
      <c r="C420" s="12"/>
      <c r="D420" s="17"/>
      <c r="E420" s="12"/>
      <c r="F420" s="3"/>
      <c r="G420" s="3"/>
      <c r="L420" s="8"/>
      <c r="M420" s="8"/>
      <c r="N420" s="8"/>
      <c r="O420" s="8"/>
      <c r="P420" s="8"/>
      <c r="Q420" s="8"/>
    </row>
    <row r="421" ht="12.75" spans="1:17">
      <c r="A421" s="4"/>
      <c r="B421" s="12"/>
      <c r="C421" s="12"/>
      <c r="D421" s="17"/>
      <c r="E421" s="12"/>
      <c r="F421" s="3"/>
      <c r="G421" s="3"/>
      <c r="L421" s="8"/>
      <c r="M421" s="8"/>
      <c r="N421" s="8"/>
      <c r="O421" s="8"/>
      <c r="P421" s="8"/>
      <c r="Q421" s="8"/>
    </row>
    <row r="422" ht="12.75" spans="1:17">
      <c r="A422" s="4"/>
      <c r="B422" s="12"/>
      <c r="C422" s="12"/>
      <c r="D422" s="17"/>
      <c r="E422" s="12"/>
      <c r="F422" s="3"/>
      <c r="G422" s="3"/>
      <c r="L422" s="8"/>
      <c r="M422" s="8"/>
      <c r="N422" s="8"/>
      <c r="O422" s="8"/>
      <c r="P422" s="8"/>
      <c r="Q422" s="8"/>
    </row>
    <row r="423" ht="12.75" spans="1:17">
      <c r="A423" s="4"/>
      <c r="B423" s="12"/>
      <c r="C423" s="12"/>
      <c r="D423" s="17"/>
      <c r="E423" s="12"/>
      <c r="F423" s="3"/>
      <c r="G423" s="3"/>
      <c r="L423" s="8"/>
      <c r="M423" s="8"/>
      <c r="N423" s="8"/>
      <c r="O423" s="8"/>
      <c r="P423" s="8"/>
      <c r="Q423" s="8"/>
    </row>
    <row r="424" ht="12.75" spans="1:17">
      <c r="A424" s="4"/>
      <c r="B424" s="12"/>
      <c r="C424" s="12"/>
      <c r="D424" s="17"/>
      <c r="E424" s="12"/>
      <c r="F424" s="3"/>
      <c r="G424" s="3"/>
      <c r="L424" s="8"/>
      <c r="M424" s="8"/>
      <c r="N424" s="8"/>
      <c r="O424" s="8"/>
      <c r="P424" s="8"/>
      <c r="Q424" s="8"/>
    </row>
    <row r="425" ht="12.75" spans="1:17">
      <c r="A425" s="4"/>
      <c r="B425" s="12"/>
      <c r="C425" s="12"/>
      <c r="D425" s="17"/>
      <c r="E425" s="12"/>
      <c r="F425" s="3"/>
      <c r="G425" s="3"/>
      <c r="L425" s="8"/>
      <c r="M425" s="8"/>
      <c r="N425" s="8"/>
      <c r="O425" s="8"/>
      <c r="P425" s="8"/>
      <c r="Q425" s="8"/>
    </row>
    <row r="426" ht="12.75" spans="1:17">
      <c r="A426" s="4"/>
      <c r="B426" s="12"/>
      <c r="C426" s="12"/>
      <c r="D426" s="17"/>
      <c r="E426" s="12"/>
      <c r="F426" s="3"/>
      <c r="G426" s="3"/>
      <c r="L426" s="8"/>
      <c r="M426" s="8"/>
      <c r="N426" s="8"/>
      <c r="O426" s="8"/>
      <c r="P426" s="8"/>
      <c r="Q426" s="8"/>
    </row>
    <row r="427" ht="12.75" spans="1:17">
      <c r="A427" s="4"/>
      <c r="B427" s="12"/>
      <c r="C427" s="12"/>
      <c r="D427" s="17"/>
      <c r="E427" s="12"/>
      <c r="F427" s="3"/>
      <c r="G427" s="3"/>
      <c r="L427" s="8"/>
      <c r="M427" s="8"/>
      <c r="N427" s="8"/>
      <c r="O427" s="8"/>
      <c r="P427" s="8"/>
      <c r="Q427" s="8"/>
    </row>
    <row r="428" ht="12.75" spans="1:17">
      <c r="A428" s="4"/>
      <c r="B428" s="12"/>
      <c r="C428" s="12"/>
      <c r="D428" s="17"/>
      <c r="E428" s="12"/>
      <c r="F428" s="3"/>
      <c r="G428" s="3"/>
      <c r="L428" s="8"/>
      <c r="M428" s="8"/>
      <c r="N428" s="8"/>
      <c r="O428" s="8"/>
      <c r="P428" s="8"/>
      <c r="Q428" s="8"/>
    </row>
    <row r="429" ht="12.75" spans="1:17">
      <c r="A429" s="4"/>
      <c r="B429" s="12"/>
      <c r="C429" s="12"/>
      <c r="D429" s="17"/>
      <c r="E429" s="12"/>
      <c r="F429" s="3"/>
      <c r="G429" s="3"/>
      <c r="L429" s="8"/>
      <c r="M429" s="8"/>
      <c r="N429" s="8"/>
      <c r="O429" s="8"/>
      <c r="P429" s="8"/>
      <c r="Q429" s="8"/>
    </row>
    <row r="430" ht="12.75" spans="1:17">
      <c r="A430" s="4"/>
      <c r="B430" s="12"/>
      <c r="C430" s="12"/>
      <c r="D430" s="17"/>
      <c r="E430" s="12"/>
      <c r="F430" s="3"/>
      <c r="G430" s="3"/>
      <c r="L430" s="8"/>
      <c r="M430" s="8"/>
      <c r="N430" s="8"/>
      <c r="O430" s="8"/>
      <c r="P430" s="8"/>
      <c r="Q430" s="8"/>
    </row>
    <row r="431" ht="12.75" spans="1:17">
      <c r="A431" s="4"/>
      <c r="B431" s="12"/>
      <c r="C431" s="12"/>
      <c r="D431" s="17"/>
      <c r="E431" s="12"/>
      <c r="F431" s="3"/>
      <c r="G431" s="3"/>
      <c r="L431" s="8"/>
      <c r="M431" s="8"/>
      <c r="N431" s="8"/>
      <c r="O431" s="8"/>
      <c r="P431" s="8"/>
      <c r="Q431" s="8"/>
    </row>
    <row r="432" ht="12.75" spans="1:17">
      <c r="A432" s="4"/>
      <c r="B432" s="12"/>
      <c r="C432" s="12"/>
      <c r="D432" s="17"/>
      <c r="E432" s="12"/>
      <c r="F432" s="3"/>
      <c r="G432" s="3"/>
      <c r="L432" s="8"/>
      <c r="M432" s="8"/>
      <c r="N432" s="8"/>
      <c r="O432" s="8"/>
      <c r="P432" s="8"/>
      <c r="Q432" s="8"/>
    </row>
    <row r="433" ht="12.75" spans="1:17">
      <c r="A433" s="4"/>
      <c r="B433" s="12"/>
      <c r="C433" s="12"/>
      <c r="D433" s="17"/>
      <c r="E433" s="12"/>
      <c r="F433" s="3"/>
      <c r="G433" s="3"/>
      <c r="L433" s="8"/>
      <c r="M433" s="8"/>
      <c r="N433" s="8"/>
      <c r="O433" s="8"/>
      <c r="P433" s="8"/>
      <c r="Q433" s="8"/>
    </row>
    <row r="434" ht="12.75" spans="1:17">
      <c r="A434" s="4"/>
      <c r="B434" s="12"/>
      <c r="C434" s="12"/>
      <c r="D434" s="17"/>
      <c r="E434" s="12"/>
      <c r="F434" s="3"/>
      <c r="G434" s="3"/>
      <c r="L434" s="8"/>
      <c r="M434" s="8"/>
      <c r="N434" s="8"/>
      <c r="O434" s="8"/>
      <c r="P434" s="8"/>
      <c r="Q434" s="8"/>
    </row>
    <row r="435" ht="12.75" spans="1:17">
      <c r="A435" s="4"/>
      <c r="B435" s="12"/>
      <c r="C435" s="12"/>
      <c r="D435" s="17"/>
      <c r="E435" s="12"/>
      <c r="F435" s="3"/>
      <c r="G435" s="3"/>
      <c r="L435" s="8"/>
      <c r="M435" s="8"/>
      <c r="N435" s="8"/>
      <c r="O435" s="8"/>
      <c r="P435" s="8"/>
      <c r="Q435" s="8"/>
    </row>
    <row r="436" ht="12.75" spans="1:17">
      <c r="A436" s="4"/>
      <c r="B436" s="12"/>
      <c r="C436" s="12"/>
      <c r="D436" s="17"/>
      <c r="E436" s="12"/>
      <c r="F436" s="3"/>
      <c r="G436" s="3"/>
      <c r="L436" s="8"/>
      <c r="M436" s="8"/>
      <c r="N436" s="8"/>
      <c r="O436" s="8"/>
      <c r="P436" s="8"/>
      <c r="Q436" s="8"/>
    </row>
    <row r="437" ht="12.75" spans="1:17">
      <c r="A437" s="4"/>
      <c r="B437" s="12"/>
      <c r="C437" s="12"/>
      <c r="D437" s="17"/>
      <c r="E437" s="12"/>
      <c r="F437" s="3"/>
      <c r="G437" s="3"/>
      <c r="L437" s="8"/>
      <c r="M437" s="8"/>
      <c r="N437" s="8"/>
      <c r="O437" s="8"/>
      <c r="P437" s="8"/>
      <c r="Q437" s="8"/>
    </row>
    <row r="438" ht="12.75" spans="1:17">
      <c r="A438" s="4"/>
      <c r="B438" s="12"/>
      <c r="C438" s="12"/>
      <c r="D438" s="17"/>
      <c r="E438" s="12"/>
      <c r="F438" s="3"/>
      <c r="G438" s="3"/>
      <c r="L438" s="8"/>
      <c r="M438" s="8"/>
      <c r="N438" s="8"/>
      <c r="O438" s="8"/>
      <c r="P438" s="8"/>
      <c r="Q438" s="8"/>
    </row>
    <row r="439" ht="12.75" spans="1:17">
      <c r="A439" s="4"/>
      <c r="B439" s="12"/>
      <c r="C439" s="12"/>
      <c r="D439" s="17"/>
      <c r="E439" s="12"/>
      <c r="F439" s="3"/>
      <c r="G439" s="3"/>
      <c r="L439" s="8"/>
      <c r="M439" s="8"/>
      <c r="N439" s="8"/>
      <c r="O439" s="8"/>
      <c r="P439" s="8"/>
      <c r="Q439" s="8"/>
    </row>
    <row r="440" ht="12.75" spans="1:17">
      <c r="A440" s="4"/>
      <c r="B440" s="12"/>
      <c r="C440" s="12"/>
      <c r="D440" s="17"/>
      <c r="E440" s="12"/>
      <c r="F440" s="3"/>
      <c r="G440" s="3"/>
      <c r="L440" s="8"/>
      <c r="M440" s="8"/>
      <c r="N440" s="8"/>
      <c r="O440" s="8"/>
      <c r="P440" s="8"/>
      <c r="Q440" s="8"/>
    </row>
    <row r="441" ht="12.75" spans="1:17">
      <c r="A441" s="4"/>
      <c r="B441" s="12"/>
      <c r="C441" s="12"/>
      <c r="D441" s="17"/>
      <c r="E441" s="12"/>
      <c r="F441" s="3"/>
      <c r="G441" s="3"/>
      <c r="L441" s="8"/>
      <c r="M441" s="8"/>
      <c r="N441" s="8"/>
      <c r="O441" s="8"/>
      <c r="P441" s="8"/>
      <c r="Q441" s="8"/>
    </row>
    <row r="442" ht="12.75" spans="1:17">
      <c r="A442" s="4"/>
      <c r="B442" s="12"/>
      <c r="C442" s="12"/>
      <c r="D442" s="17"/>
      <c r="E442" s="12"/>
      <c r="F442" s="3"/>
      <c r="G442" s="3"/>
      <c r="L442" s="8"/>
      <c r="M442" s="8"/>
      <c r="N442" s="8"/>
      <c r="O442" s="8"/>
      <c r="P442" s="8"/>
      <c r="Q442" s="8"/>
    </row>
    <row r="443" ht="12.75" spans="1:17">
      <c r="A443" s="4"/>
      <c r="B443" s="12"/>
      <c r="C443" s="12"/>
      <c r="D443" s="17"/>
      <c r="E443" s="12"/>
      <c r="F443" s="3"/>
      <c r="G443" s="3"/>
      <c r="L443" s="8"/>
      <c r="M443" s="8"/>
      <c r="N443" s="8"/>
      <c r="O443" s="8"/>
      <c r="P443" s="8"/>
      <c r="Q443" s="8"/>
    </row>
    <row r="444" ht="12.75" spans="1:17">
      <c r="A444" s="4"/>
      <c r="B444" s="12"/>
      <c r="C444" s="12"/>
      <c r="D444" s="17"/>
      <c r="E444" s="12"/>
      <c r="F444" s="3"/>
      <c r="G444" s="3"/>
      <c r="L444" s="8"/>
      <c r="M444" s="8"/>
      <c r="N444" s="8"/>
      <c r="O444" s="8"/>
      <c r="P444" s="8"/>
      <c r="Q444" s="8"/>
    </row>
    <row r="445" ht="12.75" spans="1:17">
      <c r="A445" s="4"/>
      <c r="B445" s="12"/>
      <c r="C445" s="12"/>
      <c r="D445" s="17"/>
      <c r="E445" s="12"/>
      <c r="F445" s="3"/>
      <c r="G445" s="3"/>
      <c r="L445" s="8"/>
      <c r="M445" s="8"/>
      <c r="N445" s="8"/>
      <c r="O445" s="8"/>
      <c r="P445" s="8"/>
      <c r="Q445" s="8"/>
    </row>
    <row r="446" ht="12.75" spans="1:17">
      <c r="A446" s="4"/>
      <c r="B446" s="12"/>
      <c r="C446" s="12"/>
      <c r="D446" s="17"/>
      <c r="E446" s="12"/>
      <c r="F446" s="3"/>
      <c r="G446" s="3"/>
      <c r="L446" s="8"/>
      <c r="M446" s="8"/>
      <c r="N446" s="8"/>
      <c r="O446" s="8"/>
      <c r="P446" s="8"/>
      <c r="Q446" s="8"/>
    </row>
    <row r="447" ht="12.75" spans="1:17">
      <c r="A447" s="4"/>
      <c r="B447" s="12"/>
      <c r="C447" s="12"/>
      <c r="D447" s="17"/>
      <c r="E447" s="12"/>
      <c r="F447" s="3"/>
      <c r="G447" s="3"/>
      <c r="L447" s="8"/>
      <c r="M447" s="8"/>
      <c r="N447" s="8"/>
      <c r="O447" s="8"/>
      <c r="P447" s="8"/>
      <c r="Q447" s="8"/>
    </row>
    <row r="448" ht="12.75" spans="1:17">
      <c r="A448" s="4"/>
      <c r="B448" s="12"/>
      <c r="C448" s="12"/>
      <c r="D448" s="17"/>
      <c r="E448" s="12"/>
      <c r="F448" s="3"/>
      <c r="G448" s="3"/>
      <c r="L448" s="8"/>
      <c r="M448" s="8"/>
      <c r="N448" s="8"/>
      <c r="O448" s="8"/>
      <c r="P448" s="8"/>
      <c r="Q448" s="8"/>
    </row>
    <row r="449" ht="12.75" spans="1:17">
      <c r="A449" s="4"/>
      <c r="B449" s="12"/>
      <c r="C449" s="12"/>
      <c r="D449" s="17"/>
      <c r="E449" s="12"/>
      <c r="F449" s="3"/>
      <c r="G449" s="3"/>
      <c r="L449" s="8"/>
      <c r="M449" s="8"/>
      <c r="N449" s="8"/>
      <c r="O449" s="8"/>
      <c r="P449" s="8"/>
      <c r="Q449" s="8"/>
    </row>
    <row r="450" ht="12.75" spans="1:17">
      <c r="A450" s="4"/>
      <c r="B450" s="12"/>
      <c r="C450" s="12"/>
      <c r="D450" s="17"/>
      <c r="E450" s="12"/>
      <c r="F450" s="3"/>
      <c r="G450" s="3"/>
      <c r="L450" s="8"/>
      <c r="M450" s="8"/>
      <c r="N450" s="8"/>
      <c r="O450" s="8"/>
      <c r="P450" s="8"/>
      <c r="Q450" s="8"/>
    </row>
    <row r="451" ht="12.75" spans="1:17">
      <c r="A451" s="4"/>
      <c r="B451" s="12"/>
      <c r="C451" s="12"/>
      <c r="D451" s="17"/>
      <c r="E451" s="12"/>
      <c r="F451" s="3"/>
      <c r="G451" s="3"/>
      <c r="L451" s="8"/>
      <c r="M451" s="8"/>
      <c r="N451" s="8"/>
      <c r="O451" s="8"/>
      <c r="P451" s="8"/>
      <c r="Q451" s="8"/>
    </row>
    <row r="452" ht="12.75" spans="1:17">
      <c r="A452" s="4"/>
      <c r="B452" s="12"/>
      <c r="C452" s="12"/>
      <c r="D452" s="17"/>
      <c r="E452" s="12"/>
      <c r="F452" s="3"/>
      <c r="G452" s="3"/>
      <c r="L452" s="8"/>
      <c r="M452" s="8"/>
      <c r="N452" s="8"/>
      <c r="O452" s="8"/>
      <c r="P452" s="8"/>
      <c r="Q452" s="8"/>
    </row>
    <row r="453" ht="12.75" spans="1:17">
      <c r="A453" s="4"/>
      <c r="B453" s="12"/>
      <c r="C453" s="12"/>
      <c r="D453" s="17"/>
      <c r="E453" s="12"/>
      <c r="F453" s="3"/>
      <c r="G453" s="3"/>
      <c r="L453" s="8"/>
      <c r="M453" s="8"/>
      <c r="N453" s="8"/>
      <c r="O453" s="8"/>
      <c r="P453" s="8"/>
      <c r="Q453" s="8"/>
    </row>
    <row r="454" ht="12.75" spans="1:17">
      <c r="A454" s="4"/>
      <c r="B454" s="12"/>
      <c r="C454" s="12"/>
      <c r="D454" s="17"/>
      <c r="E454" s="12"/>
      <c r="F454" s="3"/>
      <c r="G454" s="3"/>
      <c r="L454" s="8"/>
      <c r="M454" s="8"/>
      <c r="N454" s="8"/>
      <c r="O454" s="8"/>
      <c r="P454" s="8"/>
      <c r="Q454" s="8"/>
    </row>
    <row r="455" ht="12.75" spans="1:17">
      <c r="A455" s="4"/>
      <c r="B455" s="12"/>
      <c r="C455" s="12"/>
      <c r="D455" s="17"/>
      <c r="E455" s="12"/>
      <c r="F455" s="3"/>
      <c r="G455" s="3"/>
      <c r="L455" s="8"/>
      <c r="M455" s="8"/>
      <c r="N455" s="8"/>
      <c r="O455" s="8"/>
      <c r="P455" s="8"/>
      <c r="Q455" s="8"/>
    </row>
    <row r="456" ht="12.75" spans="1:17">
      <c r="A456" s="4"/>
      <c r="B456" s="12"/>
      <c r="C456" s="12"/>
      <c r="D456" s="17"/>
      <c r="E456" s="12"/>
      <c r="F456" s="3"/>
      <c r="G456" s="3"/>
      <c r="L456" s="8"/>
      <c r="M456" s="8"/>
      <c r="N456" s="8"/>
      <c r="O456" s="8"/>
      <c r="P456" s="8"/>
      <c r="Q456" s="8"/>
    </row>
    <row r="457" ht="12.75" spans="1:17">
      <c r="A457" s="4"/>
      <c r="B457" s="12"/>
      <c r="C457" s="12"/>
      <c r="D457" s="17"/>
      <c r="E457" s="12"/>
      <c r="F457" s="3"/>
      <c r="G457" s="3"/>
      <c r="L457" s="8"/>
      <c r="M457" s="8"/>
      <c r="N457" s="8"/>
      <c r="O457" s="8"/>
      <c r="P457" s="8"/>
      <c r="Q457" s="8"/>
    </row>
    <row r="458" ht="12.75" spans="1:17">
      <c r="A458" s="4"/>
      <c r="B458" s="12"/>
      <c r="C458" s="12"/>
      <c r="D458" s="17"/>
      <c r="E458" s="12"/>
      <c r="F458" s="3"/>
      <c r="G458" s="3"/>
      <c r="L458" s="8"/>
      <c r="M458" s="8"/>
      <c r="N458" s="8"/>
      <c r="O458" s="8"/>
      <c r="P458" s="8"/>
      <c r="Q458" s="8"/>
    </row>
    <row r="459" ht="12.75" spans="1:17">
      <c r="A459" s="4"/>
      <c r="B459" s="12"/>
      <c r="C459" s="12"/>
      <c r="D459" s="17"/>
      <c r="E459" s="12"/>
      <c r="F459" s="3"/>
      <c r="G459" s="3"/>
      <c r="L459" s="8"/>
      <c r="M459" s="8"/>
      <c r="N459" s="8"/>
      <c r="O459" s="8"/>
      <c r="P459" s="8"/>
      <c r="Q459" s="8"/>
    </row>
    <row r="460" ht="12.75" spans="1:17">
      <c r="A460" s="4"/>
      <c r="B460" s="12"/>
      <c r="C460" s="12"/>
      <c r="D460" s="17"/>
      <c r="E460" s="12"/>
      <c r="F460" s="3"/>
      <c r="G460" s="3"/>
      <c r="L460" s="8"/>
      <c r="M460" s="8"/>
      <c r="N460" s="8"/>
      <c r="O460" s="8"/>
      <c r="P460" s="8"/>
      <c r="Q460" s="8"/>
    </row>
    <row r="461" ht="12.75" spans="1:17">
      <c r="A461" s="4"/>
      <c r="B461" s="12"/>
      <c r="C461" s="12"/>
      <c r="D461" s="17"/>
      <c r="E461" s="12"/>
      <c r="F461" s="3"/>
      <c r="G461" s="3"/>
      <c r="L461" s="8"/>
      <c r="M461" s="8"/>
      <c r="N461" s="8"/>
      <c r="O461" s="8"/>
      <c r="P461" s="8"/>
      <c r="Q461" s="8"/>
    </row>
    <row r="462" ht="12.75" spans="1:17">
      <c r="A462" s="4"/>
      <c r="B462" s="12"/>
      <c r="C462" s="12"/>
      <c r="D462" s="17"/>
      <c r="E462" s="12"/>
      <c r="F462" s="3"/>
      <c r="G462" s="3"/>
      <c r="L462" s="8"/>
      <c r="M462" s="8"/>
      <c r="N462" s="8"/>
      <c r="O462" s="8"/>
      <c r="P462" s="8"/>
      <c r="Q462" s="8"/>
    </row>
    <row r="463" ht="12.75" spans="1:17">
      <c r="A463" s="4"/>
      <c r="B463" s="12"/>
      <c r="C463" s="12"/>
      <c r="D463" s="17"/>
      <c r="E463" s="12"/>
      <c r="F463" s="3"/>
      <c r="G463" s="3"/>
      <c r="L463" s="8"/>
      <c r="M463" s="8"/>
      <c r="N463" s="8"/>
      <c r="O463" s="8"/>
      <c r="P463" s="8"/>
      <c r="Q463" s="8"/>
    </row>
    <row r="464" ht="12.75" spans="1:17">
      <c r="A464" s="4"/>
      <c r="B464" s="12"/>
      <c r="C464" s="12"/>
      <c r="D464" s="17"/>
      <c r="E464" s="12"/>
      <c r="F464" s="3"/>
      <c r="G464" s="3"/>
      <c r="L464" s="8"/>
      <c r="M464" s="8"/>
      <c r="N464" s="8"/>
      <c r="O464" s="8"/>
      <c r="P464" s="8"/>
      <c r="Q464" s="8"/>
    </row>
    <row r="465" ht="12.75" spans="1:17">
      <c r="A465" s="4"/>
      <c r="B465" s="12"/>
      <c r="C465" s="12"/>
      <c r="D465" s="17"/>
      <c r="E465" s="12"/>
      <c r="F465" s="3"/>
      <c r="G465" s="3"/>
      <c r="L465" s="8"/>
      <c r="M465" s="8"/>
      <c r="N465" s="8"/>
      <c r="O465" s="8"/>
      <c r="P465" s="8"/>
      <c r="Q465" s="8"/>
    </row>
    <row r="466" ht="12.75" spans="1:17">
      <c r="A466" s="4"/>
      <c r="B466" s="12"/>
      <c r="C466" s="12"/>
      <c r="D466" s="17"/>
      <c r="E466" s="12"/>
      <c r="F466" s="3"/>
      <c r="G466" s="3"/>
      <c r="L466" s="8"/>
      <c r="M466" s="8"/>
      <c r="N466" s="8"/>
      <c r="O466" s="8"/>
      <c r="P466" s="8"/>
      <c r="Q466" s="8"/>
    </row>
    <row r="467" ht="12.75" spans="1:17">
      <c r="A467" s="4"/>
      <c r="B467" s="12"/>
      <c r="C467" s="12"/>
      <c r="D467" s="17"/>
      <c r="E467" s="12"/>
      <c r="F467" s="3"/>
      <c r="G467" s="3"/>
      <c r="L467" s="8"/>
      <c r="M467" s="8"/>
      <c r="N467" s="8"/>
      <c r="O467" s="8"/>
      <c r="P467" s="8"/>
      <c r="Q467" s="8"/>
    </row>
    <row r="468" ht="12.75" spans="1:17">
      <c r="A468" s="4"/>
      <c r="B468" s="12"/>
      <c r="C468" s="12"/>
      <c r="D468" s="17"/>
      <c r="E468" s="12"/>
      <c r="F468" s="3"/>
      <c r="G468" s="3"/>
      <c r="L468" s="8"/>
      <c r="M468" s="8"/>
      <c r="N468" s="8"/>
      <c r="O468" s="8"/>
      <c r="P468" s="8"/>
      <c r="Q468" s="8"/>
    </row>
    <row r="469" ht="12.75" spans="1:17">
      <c r="A469" s="4"/>
      <c r="B469" s="12"/>
      <c r="C469" s="12"/>
      <c r="D469" s="17"/>
      <c r="E469" s="12"/>
      <c r="F469" s="3"/>
      <c r="G469" s="3"/>
      <c r="L469" s="8"/>
      <c r="M469" s="8"/>
      <c r="N469" s="8"/>
      <c r="O469" s="8"/>
      <c r="P469" s="8"/>
      <c r="Q469" s="8"/>
    </row>
    <row r="470" ht="12.75" spans="1:17">
      <c r="A470" s="4"/>
      <c r="B470" s="12"/>
      <c r="C470" s="12"/>
      <c r="D470" s="17"/>
      <c r="E470" s="12"/>
      <c r="F470" s="3"/>
      <c r="G470" s="3"/>
      <c r="L470" s="8"/>
      <c r="M470" s="8"/>
      <c r="N470" s="8"/>
      <c r="O470" s="8"/>
      <c r="P470" s="8"/>
      <c r="Q470" s="8"/>
    </row>
    <row r="471" ht="12.75" spans="1:17">
      <c r="A471" s="4"/>
      <c r="B471" s="12"/>
      <c r="C471" s="12"/>
      <c r="D471" s="17"/>
      <c r="E471" s="12"/>
      <c r="F471" s="3"/>
      <c r="G471" s="3"/>
      <c r="L471" s="8"/>
      <c r="M471" s="8"/>
      <c r="N471" s="8"/>
      <c r="O471" s="8"/>
      <c r="P471" s="8"/>
      <c r="Q471" s="8"/>
    </row>
    <row r="472" ht="12.75" spans="1:17">
      <c r="A472" s="4"/>
      <c r="B472" s="12"/>
      <c r="C472" s="12"/>
      <c r="D472" s="17"/>
      <c r="E472" s="12"/>
      <c r="F472" s="3"/>
      <c r="G472" s="3"/>
      <c r="L472" s="8"/>
      <c r="M472" s="8"/>
      <c r="N472" s="8"/>
      <c r="O472" s="8"/>
      <c r="P472" s="8"/>
      <c r="Q472" s="8"/>
    </row>
    <row r="473" ht="12.75" spans="1:17">
      <c r="A473" s="4"/>
      <c r="B473" s="12"/>
      <c r="C473" s="12"/>
      <c r="D473" s="17"/>
      <c r="E473" s="12"/>
      <c r="F473" s="3"/>
      <c r="G473" s="3"/>
      <c r="L473" s="8"/>
      <c r="M473" s="8"/>
      <c r="N473" s="8"/>
      <c r="O473" s="8"/>
      <c r="P473" s="8"/>
      <c r="Q473" s="8"/>
    </row>
    <row r="474" ht="12.75" spans="1:17">
      <c r="A474" s="4"/>
      <c r="B474" s="12"/>
      <c r="C474" s="12"/>
      <c r="D474" s="17"/>
      <c r="E474" s="12"/>
      <c r="F474" s="3"/>
      <c r="G474" s="3"/>
      <c r="L474" s="8"/>
      <c r="M474" s="8"/>
      <c r="N474" s="8"/>
      <c r="O474" s="8"/>
      <c r="P474" s="8"/>
      <c r="Q474" s="8"/>
    </row>
    <row r="475" ht="12.75" spans="1:17">
      <c r="A475" s="4"/>
      <c r="B475" s="12"/>
      <c r="C475" s="12"/>
      <c r="D475" s="17"/>
      <c r="E475" s="12"/>
      <c r="F475" s="3"/>
      <c r="G475" s="3"/>
      <c r="L475" s="8"/>
      <c r="M475" s="8"/>
      <c r="N475" s="8"/>
      <c r="O475" s="8"/>
      <c r="P475" s="8"/>
      <c r="Q475" s="8"/>
    </row>
    <row r="476" ht="12.75" spans="1:17">
      <c r="A476" s="4"/>
      <c r="B476" s="12"/>
      <c r="C476" s="12"/>
      <c r="D476" s="17"/>
      <c r="E476" s="12"/>
      <c r="F476" s="3"/>
      <c r="G476" s="3"/>
      <c r="L476" s="8"/>
      <c r="M476" s="8"/>
      <c r="N476" s="8"/>
      <c r="O476" s="8"/>
      <c r="P476" s="8"/>
      <c r="Q476" s="8"/>
    </row>
    <row r="477" ht="12.75" spans="1:17">
      <c r="A477" s="4"/>
      <c r="B477" s="12"/>
      <c r="C477" s="12"/>
      <c r="D477" s="17"/>
      <c r="E477" s="12"/>
      <c r="F477" s="3"/>
      <c r="G477" s="3"/>
      <c r="L477" s="8"/>
      <c r="M477" s="8"/>
      <c r="N477" s="8"/>
      <c r="O477" s="8"/>
      <c r="P477" s="8"/>
      <c r="Q477" s="8"/>
    </row>
    <row r="478" ht="12.75" spans="1:17">
      <c r="A478" s="4"/>
      <c r="B478" s="12"/>
      <c r="C478" s="12"/>
      <c r="D478" s="17"/>
      <c r="E478" s="12"/>
      <c r="F478" s="3"/>
      <c r="G478" s="3"/>
      <c r="L478" s="8"/>
      <c r="M478" s="8"/>
      <c r="N478" s="8"/>
      <c r="O478" s="8"/>
      <c r="P478" s="8"/>
      <c r="Q478" s="8"/>
    </row>
    <row r="479" ht="12.75" spans="1:17">
      <c r="A479" s="4"/>
      <c r="B479" s="12"/>
      <c r="C479" s="12"/>
      <c r="D479" s="17"/>
      <c r="E479" s="12"/>
      <c r="F479" s="3"/>
      <c r="G479" s="3"/>
      <c r="L479" s="8"/>
      <c r="M479" s="8"/>
      <c r="N479" s="8"/>
      <c r="O479" s="8"/>
      <c r="P479" s="8"/>
      <c r="Q479" s="8"/>
    </row>
    <row r="480" ht="12.75" spans="1:17">
      <c r="A480" s="4"/>
      <c r="B480" s="12"/>
      <c r="C480" s="12"/>
      <c r="D480" s="17"/>
      <c r="E480" s="12"/>
      <c r="F480" s="3"/>
      <c r="G480" s="3"/>
      <c r="L480" s="8"/>
      <c r="M480" s="8"/>
      <c r="N480" s="8"/>
      <c r="O480" s="8"/>
      <c r="P480" s="8"/>
      <c r="Q480" s="8"/>
    </row>
    <row r="481" ht="12.75" spans="1:17">
      <c r="A481" s="4"/>
      <c r="B481" s="12"/>
      <c r="C481" s="12"/>
      <c r="D481" s="17"/>
      <c r="E481" s="12"/>
      <c r="F481" s="3"/>
      <c r="G481" s="3"/>
      <c r="L481" s="8"/>
      <c r="M481" s="8"/>
      <c r="N481" s="8"/>
      <c r="O481" s="8"/>
      <c r="P481" s="8"/>
      <c r="Q481" s="8"/>
    </row>
    <row r="482" ht="12.75" spans="1:17">
      <c r="A482" s="4"/>
      <c r="B482" s="12"/>
      <c r="C482" s="12"/>
      <c r="D482" s="17"/>
      <c r="E482" s="12"/>
      <c r="F482" s="3"/>
      <c r="G482" s="3"/>
      <c r="L482" s="8"/>
      <c r="M482" s="8"/>
      <c r="N482" s="8"/>
      <c r="O482" s="8"/>
      <c r="P482" s="8"/>
      <c r="Q482" s="8"/>
    </row>
    <row r="483" ht="12.75" spans="1:17">
      <c r="A483" s="4"/>
      <c r="B483" s="12"/>
      <c r="C483" s="12"/>
      <c r="D483" s="17"/>
      <c r="E483" s="12"/>
      <c r="F483" s="3"/>
      <c r="G483" s="3"/>
      <c r="L483" s="8"/>
      <c r="M483" s="8"/>
      <c r="N483" s="8"/>
      <c r="O483" s="8"/>
      <c r="P483" s="8"/>
      <c r="Q483" s="8"/>
    </row>
    <row r="484" ht="12.75" spans="1:17">
      <c r="A484" s="4"/>
      <c r="B484" s="12"/>
      <c r="C484" s="12"/>
      <c r="D484" s="17"/>
      <c r="E484" s="12"/>
      <c r="F484" s="3"/>
      <c r="G484" s="3"/>
      <c r="L484" s="8"/>
      <c r="M484" s="8"/>
      <c r="N484" s="8"/>
      <c r="O484" s="8"/>
      <c r="P484" s="8"/>
      <c r="Q484" s="8"/>
    </row>
    <row r="485" ht="12.75" spans="1:17">
      <c r="A485" s="4"/>
      <c r="B485" s="12"/>
      <c r="C485" s="12"/>
      <c r="D485" s="17"/>
      <c r="E485" s="12"/>
      <c r="F485" s="3"/>
      <c r="G485" s="3"/>
      <c r="L485" s="8"/>
      <c r="M485" s="8"/>
      <c r="N485" s="8"/>
      <c r="O485" s="8"/>
      <c r="P485" s="8"/>
      <c r="Q485" s="8"/>
    </row>
    <row r="486" ht="12.75" spans="1:17">
      <c r="A486" s="4"/>
      <c r="B486" s="12"/>
      <c r="C486" s="12"/>
      <c r="D486" s="17"/>
      <c r="E486" s="12"/>
      <c r="F486" s="3"/>
      <c r="G486" s="3"/>
      <c r="L486" s="8"/>
      <c r="M486" s="8"/>
      <c r="N486" s="8"/>
      <c r="O486" s="8"/>
      <c r="P486" s="8"/>
      <c r="Q486" s="8"/>
    </row>
    <row r="487" ht="12.75" spans="1:17">
      <c r="A487" s="4"/>
      <c r="B487" s="12"/>
      <c r="C487" s="12"/>
      <c r="D487" s="17"/>
      <c r="E487" s="12"/>
      <c r="F487" s="3"/>
      <c r="G487" s="3"/>
      <c r="L487" s="8"/>
      <c r="M487" s="8"/>
      <c r="N487" s="8"/>
      <c r="O487" s="8"/>
      <c r="P487" s="8"/>
      <c r="Q487" s="8"/>
    </row>
    <row r="488" ht="12.75" spans="1:17">
      <c r="A488" s="4"/>
      <c r="B488" s="12"/>
      <c r="C488" s="12"/>
      <c r="D488" s="17"/>
      <c r="E488" s="12"/>
      <c r="F488" s="3"/>
      <c r="G488" s="3"/>
      <c r="L488" s="8"/>
      <c r="M488" s="8"/>
      <c r="N488" s="8"/>
      <c r="O488" s="8"/>
      <c r="P488" s="8"/>
      <c r="Q488" s="8"/>
    </row>
    <row r="489" ht="12.75" spans="1:17">
      <c r="A489" s="4"/>
      <c r="B489" s="12"/>
      <c r="C489" s="12"/>
      <c r="D489" s="17"/>
      <c r="E489" s="12"/>
      <c r="F489" s="3"/>
      <c r="G489" s="3"/>
      <c r="L489" s="8"/>
      <c r="M489" s="8"/>
      <c r="N489" s="8"/>
      <c r="O489" s="8"/>
      <c r="P489" s="8"/>
      <c r="Q489" s="8"/>
    </row>
    <row r="490" ht="12.75" spans="1:17">
      <c r="A490" s="4"/>
      <c r="B490" s="12"/>
      <c r="C490" s="12"/>
      <c r="D490" s="17"/>
      <c r="E490" s="12"/>
      <c r="F490" s="3"/>
      <c r="G490" s="3"/>
      <c r="L490" s="8"/>
      <c r="M490" s="8"/>
      <c r="N490" s="8"/>
      <c r="O490" s="8"/>
      <c r="P490" s="8"/>
      <c r="Q490" s="8"/>
    </row>
    <row r="491" ht="12.75" spans="1:17">
      <c r="A491" s="4"/>
      <c r="B491" s="12"/>
      <c r="C491" s="12"/>
      <c r="D491" s="17"/>
      <c r="E491" s="12"/>
      <c r="F491" s="3"/>
      <c r="G491" s="3"/>
      <c r="L491" s="8"/>
      <c r="M491" s="8"/>
      <c r="N491" s="8"/>
      <c r="O491" s="8"/>
      <c r="P491" s="8"/>
      <c r="Q491" s="8"/>
    </row>
    <row r="492" ht="12.75" spans="1:17">
      <c r="A492" s="4"/>
      <c r="B492" s="12"/>
      <c r="C492" s="12"/>
      <c r="D492" s="17"/>
      <c r="E492" s="12"/>
      <c r="F492" s="3"/>
      <c r="G492" s="3"/>
      <c r="L492" s="8"/>
      <c r="M492" s="8"/>
      <c r="N492" s="8"/>
      <c r="O492" s="8"/>
      <c r="P492" s="8"/>
      <c r="Q492" s="8"/>
    </row>
    <row r="493" ht="12.75" spans="1:17">
      <c r="A493" s="4"/>
      <c r="B493" s="12"/>
      <c r="C493" s="12"/>
      <c r="D493" s="17"/>
      <c r="E493" s="12"/>
      <c r="F493" s="3"/>
      <c r="G493" s="3"/>
      <c r="L493" s="8"/>
      <c r="M493" s="8"/>
      <c r="N493" s="8"/>
      <c r="O493" s="8"/>
      <c r="P493" s="8"/>
      <c r="Q493" s="8"/>
    </row>
    <row r="494" ht="12.75" spans="1:17">
      <c r="A494" s="4"/>
      <c r="B494" s="12"/>
      <c r="C494" s="12"/>
      <c r="D494" s="17"/>
      <c r="E494" s="12"/>
      <c r="F494" s="3"/>
      <c r="G494" s="3"/>
      <c r="L494" s="8"/>
      <c r="M494" s="8"/>
      <c r="N494" s="8"/>
      <c r="O494" s="8"/>
      <c r="P494" s="8"/>
      <c r="Q494" s="8"/>
    </row>
    <row r="495" ht="12.75" spans="1:17">
      <c r="A495" s="4"/>
      <c r="B495" s="12"/>
      <c r="C495" s="12"/>
      <c r="D495" s="17"/>
      <c r="E495" s="12"/>
      <c r="F495" s="3"/>
      <c r="G495" s="3"/>
      <c r="L495" s="8"/>
      <c r="M495" s="8"/>
      <c r="N495" s="8"/>
      <c r="O495" s="8"/>
      <c r="P495" s="8"/>
      <c r="Q495" s="8"/>
    </row>
    <row r="496" ht="12.75" spans="1:17">
      <c r="A496" s="4"/>
      <c r="B496" s="12"/>
      <c r="C496" s="12"/>
      <c r="D496" s="17"/>
      <c r="E496" s="12"/>
      <c r="F496" s="3"/>
      <c r="G496" s="3"/>
      <c r="L496" s="8"/>
      <c r="M496" s="8"/>
      <c r="N496" s="8"/>
      <c r="O496" s="8"/>
      <c r="P496" s="8"/>
      <c r="Q496" s="8"/>
    </row>
    <row r="497" ht="12.75" spans="1:17">
      <c r="A497" s="4"/>
      <c r="B497" s="12"/>
      <c r="C497" s="12"/>
      <c r="D497" s="17"/>
      <c r="E497" s="12"/>
      <c r="F497" s="3"/>
      <c r="G497" s="3"/>
      <c r="L497" s="8"/>
      <c r="M497" s="8"/>
      <c r="N497" s="8"/>
      <c r="O497" s="8"/>
      <c r="P497" s="8"/>
      <c r="Q497" s="8"/>
    </row>
    <row r="498" ht="12.75" spans="1:17">
      <c r="A498" s="4"/>
      <c r="B498" s="12"/>
      <c r="C498" s="12"/>
      <c r="D498" s="17"/>
      <c r="E498" s="12"/>
      <c r="F498" s="3"/>
      <c r="G498" s="3"/>
      <c r="L498" s="8"/>
      <c r="M498" s="8"/>
      <c r="N498" s="8"/>
      <c r="O498" s="8"/>
      <c r="P498" s="8"/>
      <c r="Q498" s="8"/>
    </row>
    <row r="499" ht="12.75" spans="1:17">
      <c r="A499" s="4"/>
      <c r="B499" s="12"/>
      <c r="C499" s="12"/>
      <c r="D499" s="17"/>
      <c r="E499" s="12"/>
      <c r="F499" s="3"/>
      <c r="G499" s="3"/>
      <c r="L499" s="8"/>
      <c r="M499" s="8"/>
      <c r="N499" s="8"/>
      <c r="O499" s="8"/>
      <c r="P499" s="8"/>
      <c r="Q499" s="8"/>
    </row>
    <row r="500" ht="12.75" spans="1:17">
      <c r="A500" s="4"/>
      <c r="B500" s="12"/>
      <c r="C500" s="12"/>
      <c r="D500" s="17"/>
      <c r="E500" s="12"/>
      <c r="F500" s="3"/>
      <c r="G500" s="3"/>
      <c r="L500" s="8"/>
      <c r="M500" s="8"/>
      <c r="N500" s="8"/>
      <c r="O500" s="8"/>
      <c r="P500" s="8"/>
      <c r="Q500" s="8"/>
    </row>
    <row r="501" ht="12.75" spans="1:17">
      <c r="A501" s="4"/>
      <c r="B501" s="12"/>
      <c r="C501" s="12"/>
      <c r="D501" s="17"/>
      <c r="E501" s="12"/>
      <c r="F501" s="3"/>
      <c r="G501" s="3"/>
      <c r="L501" s="8"/>
      <c r="M501" s="8"/>
      <c r="N501" s="8"/>
      <c r="O501" s="8"/>
      <c r="P501" s="8"/>
      <c r="Q501" s="8"/>
    </row>
    <row r="502" ht="12.75" spans="1:17">
      <c r="A502" s="4"/>
      <c r="B502" s="12"/>
      <c r="C502" s="12"/>
      <c r="D502" s="17"/>
      <c r="E502" s="12"/>
      <c r="F502" s="3"/>
      <c r="G502" s="3"/>
      <c r="L502" s="8"/>
      <c r="M502" s="8"/>
      <c r="N502" s="8"/>
      <c r="O502" s="8"/>
      <c r="P502" s="8"/>
      <c r="Q502" s="8"/>
    </row>
    <row r="503" ht="12.75" spans="1:17">
      <c r="A503" s="4"/>
      <c r="B503" s="12"/>
      <c r="C503" s="12"/>
      <c r="D503" s="17"/>
      <c r="E503" s="12"/>
      <c r="F503" s="3"/>
      <c r="G503" s="3"/>
      <c r="L503" s="8"/>
      <c r="M503" s="8"/>
      <c r="N503" s="8"/>
      <c r="O503" s="8"/>
      <c r="P503" s="8"/>
      <c r="Q503" s="8"/>
    </row>
    <row r="504" ht="12.75" spans="1:17">
      <c r="A504" s="4"/>
      <c r="B504" s="12"/>
      <c r="C504" s="12"/>
      <c r="D504" s="17"/>
      <c r="E504" s="12"/>
      <c r="F504" s="3"/>
      <c r="G504" s="3"/>
      <c r="L504" s="8"/>
      <c r="M504" s="8"/>
      <c r="N504" s="8"/>
      <c r="O504" s="8"/>
      <c r="P504" s="8"/>
      <c r="Q504" s="8"/>
    </row>
    <row r="505" ht="12.75" spans="1:17">
      <c r="A505" s="4"/>
      <c r="B505" s="12"/>
      <c r="C505" s="12"/>
      <c r="D505" s="17"/>
      <c r="E505" s="12"/>
      <c r="F505" s="3"/>
      <c r="G505" s="3"/>
      <c r="L505" s="8"/>
      <c r="M505" s="8"/>
      <c r="N505" s="8"/>
      <c r="O505" s="8"/>
      <c r="P505" s="8"/>
      <c r="Q505" s="8"/>
    </row>
    <row r="506" ht="12.75" spans="1:17">
      <c r="A506" s="4"/>
      <c r="B506" s="12"/>
      <c r="C506" s="12"/>
      <c r="D506" s="17"/>
      <c r="E506" s="12"/>
      <c r="F506" s="3"/>
      <c r="G506" s="3"/>
      <c r="L506" s="8"/>
      <c r="M506" s="8"/>
      <c r="N506" s="8"/>
      <c r="O506" s="8"/>
      <c r="P506" s="8"/>
      <c r="Q506" s="8"/>
    </row>
    <row r="507" ht="12.75" spans="1:17">
      <c r="A507" s="4"/>
      <c r="B507" s="12"/>
      <c r="C507" s="12"/>
      <c r="D507" s="17"/>
      <c r="E507" s="12"/>
      <c r="F507" s="3"/>
      <c r="G507" s="3"/>
      <c r="L507" s="8"/>
      <c r="M507" s="8"/>
      <c r="N507" s="8"/>
      <c r="O507" s="8"/>
      <c r="P507" s="8"/>
      <c r="Q507" s="8"/>
    </row>
    <row r="508" ht="12.75" spans="1:17">
      <c r="A508" s="4"/>
      <c r="B508" s="12"/>
      <c r="C508" s="12"/>
      <c r="D508" s="17"/>
      <c r="E508" s="12"/>
      <c r="F508" s="3"/>
      <c r="G508" s="3"/>
      <c r="L508" s="8"/>
      <c r="M508" s="8"/>
      <c r="N508" s="8"/>
      <c r="O508" s="8"/>
      <c r="P508" s="8"/>
      <c r="Q508" s="8"/>
    </row>
    <row r="509" ht="12.75" spans="1:17">
      <c r="A509" s="4"/>
      <c r="B509" s="12"/>
      <c r="C509" s="12"/>
      <c r="D509" s="17"/>
      <c r="E509" s="12"/>
      <c r="F509" s="3"/>
      <c r="G509" s="3"/>
      <c r="L509" s="8"/>
      <c r="M509" s="8"/>
      <c r="N509" s="8"/>
      <c r="O509" s="8"/>
      <c r="P509" s="8"/>
      <c r="Q509" s="8"/>
    </row>
    <row r="510" ht="12.75" spans="1:17">
      <c r="A510" s="4"/>
      <c r="B510" s="12"/>
      <c r="C510" s="12"/>
      <c r="D510" s="17"/>
      <c r="E510" s="12"/>
      <c r="F510" s="3"/>
      <c r="G510" s="3"/>
      <c r="L510" s="8"/>
      <c r="M510" s="8"/>
      <c r="N510" s="8"/>
      <c r="O510" s="8"/>
      <c r="P510" s="8"/>
      <c r="Q510" s="8"/>
    </row>
    <row r="511" ht="12.75" spans="1:17">
      <c r="A511" s="4"/>
      <c r="B511" s="12"/>
      <c r="C511" s="12"/>
      <c r="D511" s="17"/>
      <c r="E511" s="12"/>
      <c r="F511" s="3"/>
      <c r="G511" s="3"/>
      <c r="L511" s="8"/>
      <c r="M511" s="8"/>
      <c r="N511" s="8"/>
      <c r="O511" s="8"/>
      <c r="P511" s="8"/>
      <c r="Q511" s="8"/>
    </row>
    <row r="512" ht="12.75" spans="1:17">
      <c r="A512" s="4"/>
      <c r="B512" s="12"/>
      <c r="C512" s="12"/>
      <c r="D512" s="17"/>
      <c r="E512" s="12"/>
      <c r="F512" s="3"/>
      <c r="G512" s="3"/>
      <c r="L512" s="8"/>
      <c r="M512" s="8"/>
      <c r="N512" s="8"/>
      <c r="O512" s="8"/>
      <c r="P512" s="8"/>
      <c r="Q512" s="8"/>
    </row>
    <row r="513" ht="12.75" spans="1:17">
      <c r="A513" s="4"/>
      <c r="B513" s="12"/>
      <c r="C513" s="12"/>
      <c r="D513" s="17"/>
      <c r="E513" s="12"/>
      <c r="F513" s="3"/>
      <c r="G513" s="3"/>
      <c r="L513" s="8"/>
      <c r="M513" s="8"/>
      <c r="N513" s="8"/>
      <c r="O513" s="8"/>
      <c r="P513" s="8"/>
      <c r="Q513" s="8"/>
    </row>
    <row r="514" ht="12.75" spans="1:17">
      <c r="A514" s="4"/>
      <c r="B514" s="12"/>
      <c r="C514" s="12"/>
      <c r="D514" s="17"/>
      <c r="E514" s="12"/>
      <c r="F514" s="3"/>
      <c r="G514" s="3"/>
      <c r="L514" s="8"/>
      <c r="M514" s="8"/>
      <c r="N514" s="8"/>
      <c r="O514" s="8"/>
      <c r="P514" s="8"/>
      <c r="Q514" s="8"/>
    </row>
    <row r="515" ht="12.75" spans="1:17">
      <c r="A515" s="4"/>
      <c r="B515" s="12"/>
      <c r="C515" s="12"/>
      <c r="D515" s="17"/>
      <c r="E515" s="12"/>
      <c r="F515" s="3"/>
      <c r="G515" s="3"/>
      <c r="L515" s="8"/>
      <c r="M515" s="8"/>
      <c r="N515" s="8"/>
      <c r="O515" s="8"/>
      <c r="P515" s="8"/>
      <c r="Q515" s="8"/>
    </row>
    <row r="516" ht="12.75" spans="1:17">
      <c r="A516" s="4"/>
      <c r="B516" s="12"/>
      <c r="C516" s="12"/>
      <c r="D516" s="17"/>
      <c r="E516" s="12"/>
      <c r="F516" s="3"/>
      <c r="G516" s="3"/>
      <c r="L516" s="8"/>
      <c r="M516" s="8"/>
      <c r="N516" s="8"/>
      <c r="O516" s="8"/>
      <c r="P516" s="8"/>
      <c r="Q516" s="8"/>
    </row>
    <row r="517" ht="12.75" spans="1:17">
      <c r="A517" s="4"/>
      <c r="B517" s="12"/>
      <c r="C517" s="12"/>
      <c r="D517" s="17"/>
      <c r="E517" s="12"/>
      <c r="F517" s="3"/>
      <c r="G517" s="3"/>
      <c r="L517" s="8"/>
      <c r="M517" s="8"/>
      <c r="N517" s="8"/>
      <c r="O517" s="8"/>
      <c r="P517" s="8"/>
      <c r="Q517" s="8"/>
    </row>
    <row r="518" ht="12.75" spans="1:17">
      <c r="A518" s="4"/>
      <c r="B518" s="12"/>
      <c r="C518" s="12"/>
      <c r="D518" s="17"/>
      <c r="E518" s="12"/>
      <c r="F518" s="3"/>
      <c r="G518" s="3"/>
      <c r="L518" s="8"/>
      <c r="M518" s="8"/>
      <c r="N518" s="8"/>
      <c r="O518" s="8"/>
      <c r="P518" s="8"/>
      <c r="Q518" s="8"/>
    </row>
    <row r="519" ht="12.75" spans="1:17">
      <c r="A519" s="4"/>
      <c r="B519" s="12"/>
      <c r="C519" s="12"/>
      <c r="D519" s="17"/>
      <c r="E519" s="12"/>
      <c r="F519" s="3"/>
      <c r="G519" s="3"/>
      <c r="L519" s="8"/>
      <c r="M519" s="8"/>
      <c r="N519" s="8"/>
      <c r="O519" s="8"/>
      <c r="P519" s="8"/>
      <c r="Q519" s="8"/>
    </row>
    <row r="520" ht="12.75" spans="1:17">
      <c r="A520" s="4"/>
      <c r="B520" s="12"/>
      <c r="C520" s="12"/>
      <c r="D520" s="17"/>
      <c r="E520" s="12"/>
      <c r="F520" s="3"/>
      <c r="G520" s="3"/>
      <c r="L520" s="8"/>
      <c r="M520" s="8"/>
      <c r="N520" s="8"/>
      <c r="O520" s="8"/>
      <c r="P520" s="8"/>
      <c r="Q520" s="8"/>
    </row>
    <row r="521" ht="12.75" spans="1:17">
      <c r="A521" s="4"/>
      <c r="B521" s="12"/>
      <c r="C521" s="12"/>
      <c r="D521" s="17"/>
      <c r="E521" s="12"/>
      <c r="F521" s="3"/>
      <c r="G521" s="3"/>
      <c r="L521" s="8"/>
      <c r="M521" s="8"/>
      <c r="N521" s="8"/>
      <c r="O521" s="8"/>
      <c r="P521" s="8"/>
      <c r="Q521" s="8"/>
    </row>
    <row r="522" ht="12.75" spans="1:17">
      <c r="A522" s="4"/>
      <c r="B522" s="12"/>
      <c r="C522" s="12"/>
      <c r="D522" s="17"/>
      <c r="E522" s="12"/>
      <c r="F522" s="3"/>
      <c r="G522" s="3"/>
      <c r="L522" s="8"/>
      <c r="M522" s="8"/>
      <c r="N522" s="8"/>
      <c r="O522" s="8"/>
      <c r="P522" s="8"/>
      <c r="Q522" s="8"/>
    </row>
    <row r="523" ht="12.75" spans="1:17">
      <c r="A523" s="4"/>
      <c r="B523" s="12"/>
      <c r="C523" s="12"/>
      <c r="D523" s="17"/>
      <c r="E523" s="12"/>
      <c r="F523" s="3"/>
      <c r="G523" s="3"/>
      <c r="L523" s="8"/>
      <c r="M523" s="8"/>
      <c r="N523" s="8"/>
      <c r="O523" s="8"/>
      <c r="P523" s="8"/>
      <c r="Q523" s="8"/>
    </row>
    <row r="524" ht="12.75" spans="1:17">
      <c r="A524" s="4"/>
      <c r="B524" s="12"/>
      <c r="C524" s="12"/>
      <c r="D524" s="17"/>
      <c r="E524" s="12"/>
      <c r="F524" s="3"/>
      <c r="G524" s="3"/>
      <c r="L524" s="8"/>
      <c r="M524" s="8"/>
      <c r="N524" s="8"/>
      <c r="O524" s="8"/>
      <c r="P524" s="8"/>
      <c r="Q524" s="8"/>
    </row>
    <row r="525" ht="12.75" spans="1:17">
      <c r="A525" s="4"/>
      <c r="B525" s="12"/>
      <c r="C525" s="12"/>
      <c r="D525" s="17"/>
      <c r="E525" s="12"/>
      <c r="F525" s="3"/>
      <c r="G525" s="3"/>
      <c r="L525" s="8"/>
      <c r="M525" s="8"/>
      <c r="N525" s="8"/>
      <c r="O525" s="8"/>
      <c r="P525" s="8"/>
      <c r="Q525" s="8"/>
    </row>
    <row r="526" ht="12.75" spans="1:17">
      <c r="A526" s="4"/>
      <c r="B526" s="12"/>
      <c r="C526" s="12"/>
      <c r="D526" s="17"/>
      <c r="E526" s="12"/>
      <c r="F526" s="3"/>
      <c r="G526" s="3"/>
      <c r="L526" s="8"/>
      <c r="M526" s="8"/>
      <c r="N526" s="8"/>
      <c r="O526" s="8"/>
      <c r="P526" s="8"/>
      <c r="Q526" s="8"/>
    </row>
    <row r="527" ht="12.75" spans="1:17">
      <c r="A527" s="4"/>
      <c r="B527" s="12"/>
      <c r="C527" s="12"/>
      <c r="D527" s="17"/>
      <c r="E527" s="12"/>
      <c r="F527" s="3"/>
      <c r="G527" s="3"/>
      <c r="L527" s="8"/>
      <c r="M527" s="8"/>
      <c r="N527" s="8"/>
      <c r="O527" s="8"/>
      <c r="P527" s="8"/>
      <c r="Q527" s="8"/>
    </row>
    <row r="528" ht="12.75" spans="1:17">
      <c r="A528" s="4"/>
      <c r="B528" s="12"/>
      <c r="C528" s="12"/>
      <c r="D528" s="17"/>
      <c r="E528" s="12"/>
      <c r="F528" s="3"/>
      <c r="G528" s="3"/>
      <c r="L528" s="8"/>
      <c r="M528" s="8"/>
      <c r="N528" s="8"/>
      <c r="O528" s="8"/>
      <c r="P528" s="8"/>
      <c r="Q528" s="8"/>
    </row>
    <row r="529" ht="12.75" spans="1:17">
      <c r="A529" s="4"/>
      <c r="B529" s="12"/>
      <c r="C529" s="12"/>
      <c r="D529" s="17"/>
      <c r="E529" s="12"/>
      <c r="F529" s="3"/>
      <c r="G529" s="3"/>
      <c r="L529" s="8"/>
      <c r="M529" s="8"/>
      <c r="N529" s="8"/>
      <c r="O529" s="8"/>
      <c r="P529" s="8"/>
      <c r="Q529" s="8"/>
    </row>
    <row r="530" ht="12.75" spans="1:17">
      <c r="A530" s="4"/>
      <c r="B530" s="12"/>
      <c r="C530" s="12"/>
      <c r="D530" s="17"/>
      <c r="E530" s="12"/>
      <c r="F530" s="3"/>
      <c r="G530" s="3"/>
      <c r="L530" s="8"/>
      <c r="M530" s="8"/>
      <c r="N530" s="8"/>
      <c r="O530" s="8"/>
      <c r="P530" s="8"/>
      <c r="Q530" s="8"/>
    </row>
    <row r="531" ht="12.75" spans="1:17">
      <c r="A531" s="4"/>
      <c r="B531" s="12"/>
      <c r="C531" s="12"/>
      <c r="D531" s="17"/>
      <c r="E531" s="12"/>
      <c r="F531" s="3"/>
      <c r="G531" s="3"/>
      <c r="L531" s="8"/>
      <c r="M531" s="8"/>
      <c r="N531" s="8"/>
      <c r="O531" s="8"/>
      <c r="P531" s="8"/>
      <c r="Q531" s="8"/>
    </row>
    <row r="532" ht="12.75" spans="1:17">
      <c r="A532" s="4"/>
      <c r="B532" s="12"/>
      <c r="C532" s="12"/>
      <c r="D532" s="17"/>
      <c r="E532" s="12"/>
      <c r="F532" s="3"/>
      <c r="G532" s="3"/>
      <c r="L532" s="8"/>
      <c r="M532" s="8"/>
      <c r="N532" s="8"/>
      <c r="O532" s="8"/>
      <c r="P532" s="8"/>
      <c r="Q532" s="8"/>
    </row>
    <row r="533" ht="12.75" spans="1:17">
      <c r="A533" s="4"/>
      <c r="B533" s="12"/>
      <c r="C533" s="12"/>
      <c r="D533" s="17"/>
      <c r="E533" s="12"/>
      <c r="F533" s="3"/>
      <c r="G533" s="3"/>
      <c r="L533" s="8"/>
      <c r="M533" s="8"/>
      <c r="N533" s="8"/>
      <c r="O533" s="8"/>
      <c r="P533" s="8"/>
      <c r="Q533" s="8"/>
    </row>
    <row r="534" ht="12.75" spans="1:17">
      <c r="A534" s="4"/>
      <c r="B534" s="12"/>
      <c r="C534" s="12"/>
      <c r="D534" s="17"/>
      <c r="E534" s="12"/>
      <c r="F534" s="3"/>
      <c r="G534" s="3"/>
      <c r="L534" s="8"/>
      <c r="M534" s="8"/>
      <c r="N534" s="8"/>
      <c r="O534" s="8"/>
      <c r="P534" s="8"/>
      <c r="Q534" s="8"/>
    </row>
    <row r="535" ht="12.75" spans="1:17">
      <c r="A535" s="4"/>
      <c r="B535" s="12"/>
      <c r="C535" s="12"/>
      <c r="D535" s="17"/>
      <c r="E535" s="12"/>
      <c r="F535" s="3"/>
      <c r="G535" s="3"/>
      <c r="L535" s="8"/>
      <c r="M535" s="8"/>
      <c r="N535" s="8"/>
      <c r="O535" s="8"/>
      <c r="P535" s="8"/>
      <c r="Q535" s="8"/>
    </row>
    <row r="536" ht="12.75" spans="1:17">
      <c r="A536" s="4"/>
      <c r="B536" s="12"/>
      <c r="C536" s="12"/>
      <c r="D536" s="17"/>
      <c r="E536" s="12"/>
      <c r="F536" s="3"/>
      <c r="G536" s="3"/>
      <c r="L536" s="8"/>
      <c r="M536" s="8"/>
      <c r="N536" s="8"/>
      <c r="O536" s="8"/>
      <c r="P536" s="8"/>
      <c r="Q536" s="8"/>
    </row>
    <row r="537" ht="12.75" spans="1:17">
      <c r="A537" s="4"/>
      <c r="B537" s="12"/>
      <c r="C537" s="12"/>
      <c r="D537" s="17"/>
      <c r="E537" s="12"/>
      <c r="F537" s="3"/>
      <c r="G537" s="3"/>
      <c r="L537" s="8"/>
      <c r="M537" s="8"/>
      <c r="N537" s="8"/>
      <c r="O537" s="8"/>
      <c r="P537" s="8"/>
      <c r="Q537" s="8"/>
    </row>
    <row r="538" ht="12.75" spans="1:17">
      <c r="A538" s="4"/>
      <c r="B538" s="12"/>
      <c r="C538" s="12"/>
      <c r="D538" s="17"/>
      <c r="E538" s="12"/>
      <c r="F538" s="3"/>
      <c r="G538" s="3"/>
      <c r="L538" s="8"/>
      <c r="M538" s="8"/>
      <c r="N538" s="8"/>
      <c r="O538" s="8"/>
      <c r="P538" s="8"/>
      <c r="Q538" s="8"/>
    </row>
    <row r="539" ht="12.75" spans="1:17">
      <c r="A539" s="4"/>
      <c r="B539" s="12"/>
      <c r="C539" s="12"/>
      <c r="D539" s="17"/>
      <c r="E539" s="12"/>
      <c r="F539" s="3"/>
      <c r="G539" s="3"/>
      <c r="L539" s="8"/>
      <c r="M539" s="8"/>
      <c r="N539" s="8"/>
      <c r="O539" s="8"/>
      <c r="P539" s="8"/>
      <c r="Q539" s="8"/>
    </row>
    <row r="540" ht="12.75" spans="1:17">
      <c r="A540" s="4"/>
      <c r="B540" s="12"/>
      <c r="C540" s="12"/>
      <c r="D540" s="17"/>
      <c r="E540" s="12"/>
      <c r="F540" s="3"/>
      <c r="G540" s="3"/>
      <c r="L540" s="8"/>
      <c r="M540" s="8"/>
      <c r="N540" s="8"/>
      <c r="O540" s="8"/>
      <c r="P540" s="8"/>
      <c r="Q540" s="8"/>
    </row>
    <row r="541" ht="12.75" spans="1:17">
      <c r="A541" s="4"/>
      <c r="B541" s="12"/>
      <c r="C541" s="12"/>
      <c r="D541" s="17"/>
      <c r="E541" s="12"/>
      <c r="F541" s="3"/>
      <c r="G541" s="3"/>
      <c r="L541" s="8"/>
      <c r="M541" s="8"/>
      <c r="N541" s="8"/>
      <c r="O541" s="8"/>
      <c r="P541" s="8"/>
      <c r="Q541" s="8"/>
    </row>
    <row r="542" ht="12.75" spans="1:17">
      <c r="A542" s="4"/>
      <c r="B542" s="12"/>
      <c r="C542" s="12"/>
      <c r="D542" s="17"/>
      <c r="E542" s="12"/>
      <c r="F542" s="3"/>
      <c r="G542" s="3"/>
      <c r="L542" s="8"/>
      <c r="M542" s="8"/>
      <c r="N542" s="8"/>
      <c r="O542" s="8"/>
      <c r="P542" s="8"/>
      <c r="Q542" s="8"/>
    </row>
    <row r="543" ht="12.75" spans="1:17">
      <c r="A543" s="4"/>
      <c r="B543" s="12"/>
      <c r="C543" s="12"/>
      <c r="D543" s="17"/>
      <c r="E543" s="12"/>
      <c r="F543" s="3"/>
      <c r="G543" s="3"/>
      <c r="L543" s="8"/>
      <c r="M543" s="8"/>
      <c r="N543" s="8"/>
      <c r="O543" s="8"/>
      <c r="P543" s="8"/>
      <c r="Q543" s="8"/>
    </row>
    <row r="544" ht="12.75" spans="1:17">
      <c r="A544" s="4"/>
      <c r="B544" s="12"/>
      <c r="C544" s="12"/>
      <c r="D544" s="17"/>
      <c r="E544" s="12"/>
      <c r="F544" s="3"/>
      <c r="G544" s="3"/>
      <c r="L544" s="8"/>
      <c r="M544" s="8"/>
      <c r="N544" s="8"/>
      <c r="O544" s="8"/>
      <c r="P544" s="8"/>
      <c r="Q544" s="8"/>
    </row>
    <row r="545" ht="12.75" spans="1:17">
      <c r="A545" s="4"/>
      <c r="B545" s="12"/>
      <c r="C545" s="12"/>
      <c r="D545" s="17"/>
      <c r="E545" s="12"/>
      <c r="F545" s="3"/>
      <c r="G545" s="3"/>
      <c r="L545" s="8"/>
      <c r="M545" s="8"/>
      <c r="N545" s="8"/>
      <c r="O545" s="8"/>
      <c r="P545" s="8"/>
      <c r="Q545" s="8"/>
    </row>
    <row r="546" ht="12.75" spans="1:17">
      <c r="A546" s="4"/>
      <c r="B546" s="12"/>
      <c r="C546" s="12"/>
      <c r="D546" s="17"/>
      <c r="E546" s="12"/>
      <c r="F546" s="3"/>
      <c r="G546" s="3"/>
      <c r="L546" s="8"/>
      <c r="M546" s="8"/>
      <c r="N546" s="8"/>
      <c r="O546" s="8"/>
      <c r="P546" s="8"/>
      <c r="Q546" s="8"/>
    </row>
    <row r="547" ht="12.75" spans="1:17">
      <c r="A547" s="4"/>
      <c r="B547" s="12"/>
      <c r="C547" s="12"/>
      <c r="D547" s="17"/>
      <c r="E547" s="12"/>
      <c r="F547" s="3"/>
      <c r="G547" s="3"/>
      <c r="L547" s="8"/>
      <c r="M547" s="8"/>
      <c r="N547" s="8"/>
      <c r="O547" s="8"/>
      <c r="P547" s="8"/>
      <c r="Q547" s="8"/>
    </row>
    <row r="548" ht="12.75" spans="1:17">
      <c r="A548" s="4"/>
      <c r="B548" s="12"/>
      <c r="C548" s="12"/>
      <c r="D548" s="17"/>
      <c r="E548" s="12"/>
      <c r="F548" s="3"/>
      <c r="G548" s="3"/>
      <c r="L548" s="8"/>
      <c r="M548" s="8"/>
      <c r="N548" s="8"/>
      <c r="O548" s="8"/>
      <c r="P548" s="8"/>
      <c r="Q548" s="8"/>
    </row>
    <row r="549" ht="12.75" spans="1:17">
      <c r="A549" s="4"/>
      <c r="B549" s="12"/>
      <c r="C549" s="12"/>
      <c r="D549" s="17"/>
      <c r="E549" s="12"/>
      <c r="F549" s="3"/>
      <c r="G549" s="3"/>
      <c r="L549" s="8"/>
      <c r="M549" s="8"/>
      <c r="N549" s="8"/>
      <c r="O549" s="8"/>
      <c r="P549" s="8"/>
      <c r="Q549" s="8"/>
    </row>
    <row r="550" ht="12.75" spans="1:17">
      <c r="A550" s="4"/>
      <c r="B550" s="12"/>
      <c r="C550" s="12"/>
      <c r="D550" s="17"/>
      <c r="E550" s="12"/>
      <c r="F550" s="3"/>
      <c r="G550" s="3"/>
      <c r="L550" s="8"/>
      <c r="M550" s="8"/>
      <c r="N550" s="8"/>
      <c r="O550" s="8"/>
      <c r="P550" s="8"/>
      <c r="Q550" s="8"/>
    </row>
    <row r="551" ht="12.75" spans="1:17">
      <c r="A551" s="4"/>
      <c r="B551" s="12"/>
      <c r="C551" s="12"/>
      <c r="D551" s="17"/>
      <c r="E551" s="12"/>
      <c r="F551" s="3"/>
      <c r="G551" s="3"/>
      <c r="L551" s="8"/>
      <c r="M551" s="8"/>
      <c r="N551" s="8"/>
      <c r="O551" s="8"/>
      <c r="P551" s="8"/>
      <c r="Q551" s="8"/>
    </row>
    <row r="552" ht="12.75" spans="1:17">
      <c r="A552" s="4"/>
      <c r="B552" s="12"/>
      <c r="C552" s="12"/>
      <c r="D552" s="17"/>
      <c r="E552" s="12"/>
      <c r="F552" s="3"/>
      <c r="G552" s="3"/>
      <c r="L552" s="8"/>
      <c r="M552" s="8"/>
      <c r="N552" s="8"/>
      <c r="O552" s="8"/>
      <c r="P552" s="8"/>
      <c r="Q552" s="8"/>
    </row>
    <row r="553" ht="12.75" spans="1:17">
      <c r="A553" s="4"/>
      <c r="B553" s="12"/>
      <c r="C553" s="12"/>
      <c r="D553" s="17"/>
      <c r="E553" s="12"/>
      <c r="F553" s="3"/>
      <c r="G553" s="3"/>
      <c r="L553" s="8"/>
      <c r="M553" s="8"/>
      <c r="N553" s="8"/>
      <c r="O553" s="8"/>
      <c r="P553" s="8"/>
      <c r="Q553" s="8"/>
    </row>
    <row r="554" ht="12.75" spans="1:17">
      <c r="A554" s="4"/>
      <c r="B554" s="12"/>
      <c r="C554" s="12"/>
      <c r="D554" s="17"/>
      <c r="E554" s="12"/>
      <c r="F554" s="3"/>
      <c r="G554" s="3"/>
      <c r="L554" s="8"/>
      <c r="M554" s="8"/>
      <c r="N554" s="8"/>
      <c r="O554" s="8"/>
      <c r="P554" s="8"/>
      <c r="Q554" s="8"/>
    </row>
    <row r="555" ht="12.75" spans="1:17">
      <c r="A555" s="4"/>
      <c r="B555" s="12"/>
      <c r="C555" s="12"/>
      <c r="D555" s="17"/>
      <c r="E555" s="12"/>
      <c r="F555" s="3"/>
      <c r="G555" s="3"/>
      <c r="L555" s="8"/>
      <c r="M555" s="8"/>
      <c r="N555" s="8"/>
      <c r="O555" s="8"/>
      <c r="P555" s="8"/>
      <c r="Q555" s="8"/>
    </row>
    <row r="556" ht="12.75" spans="1:17">
      <c r="A556" s="4"/>
      <c r="B556" s="12"/>
      <c r="C556" s="12"/>
      <c r="D556" s="17"/>
      <c r="E556" s="12"/>
      <c r="F556" s="3"/>
      <c r="G556" s="3"/>
      <c r="L556" s="8"/>
      <c r="M556" s="8"/>
      <c r="N556" s="8"/>
      <c r="O556" s="8"/>
      <c r="P556" s="8"/>
      <c r="Q556" s="8"/>
    </row>
    <row r="557" ht="12.75" spans="1:17">
      <c r="A557" s="4"/>
      <c r="B557" s="12"/>
      <c r="C557" s="12"/>
      <c r="D557" s="17"/>
      <c r="E557" s="12"/>
      <c r="F557" s="3"/>
      <c r="G557" s="3"/>
      <c r="L557" s="8"/>
      <c r="M557" s="8"/>
      <c r="N557" s="8"/>
      <c r="O557" s="8"/>
      <c r="P557" s="8"/>
      <c r="Q557" s="8"/>
    </row>
    <row r="558" ht="12.75" spans="1:17">
      <c r="A558" s="4"/>
      <c r="B558" s="12"/>
      <c r="C558" s="12"/>
      <c r="D558" s="17"/>
      <c r="E558" s="12"/>
      <c r="F558" s="3"/>
      <c r="G558" s="3"/>
      <c r="L558" s="8"/>
      <c r="M558" s="8"/>
      <c r="N558" s="8"/>
      <c r="O558" s="8"/>
      <c r="P558" s="8"/>
      <c r="Q558" s="8"/>
    </row>
    <row r="559" ht="12.75" spans="1:17">
      <c r="A559" s="4"/>
      <c r="B559" s="12"/>
      <c r="C559" s="12"/>
      <c r="D559" s="17"/>
      <c r="E559" s="12"/>
      <c r="F559" s="3"/>
      <c r="G559" s="3"/>
      <c r="L559" s="8"/>
      <c r="M559" s="8"/>
      <c r="N559" s="8"/>
      <c r="O559" s="8"/>
      <c r="P559" s="8"/>
      <c r="Q559" s="8"/>
    </row>
    <row r="560" ht="12.75" spans="1:17">
      <c r="A560" s="4"/>
      <c r="B560" s="12"/>
      <c r="C560" s="12"/>
      <c r="D560" s="17"/>
      <c r="E560" s="12"/>
      <c r="F560" s="3"/>
      <c r="G560" s="3"/>
      <c r="L560" s="8"/>
      <c r="M560" s="8"/>
      <c r="N560" s="8"/>
      <c r="O560" s="8"/>
      <c r="P560" s="8"/>
      <c r="Q560" s="8"/>
    </row>
    <row r="561" ht="12.75" spans="1:17">
      <c r="A561" s="4"/>
      <c r="B561" s="12"/>
      <c r="C561" s="12"/>
      <c r="D561" s="17"/>
      <c r="E561" s="12"/>
      <c r="F561" s="3"/>
      <c r="G561" s="3"/>
      <c r="L561" s="8"/>
      <c r="M561" s="8"/>
      <c r="N561" s="8"/>
      <c r="O561" s="8"/>
      <c r="P561" s="8"/>
      <c r="Q561" s="8"/>
    </row>
    <row r="562" ht="12.75" spans="1:17">
      <c r="A562" s="4"/>
      <c r="B562" s="12"/>
      <c r="C562" s="12"/>
      <c r="D562" s="17"/>
      <c r="E562" s="12"/>
      <c r="F562" s="3"/>
      <c r="G562" s="3"/>
      <c r="L562" s="8"/>
      <c r="M562" s="8"/>
      <c r="N562" s="8"/>
      <c r="O562" s="8"/>
      <c r="P562" s="8"/>
      <c r="Q562" s="8"/>
    </row>
    <row r="563" ht="12.75" spans="1:17">
      <c r="A563" s="4"/>
      <c r="B563" s="12"/>
      <c r="C563" s="12"/>
      <c r="D563" s="17"/>
      <c r="E563" s="12"/>
      <c r="F563" s="3"/>
      <c r="G563" s="3"/>
      <c r="L563" s="8"/>
      <c r="M563" s="8"/>
      <c r="N563" s="8"/>
      <c r="O563" s="8"/>
      <c r="P563" s="8"/>
      <c r="Q563" s="8"/>
    </row>
    <row r="564" ht="12.75" spans="1:17">
      <c r="A564" s="4"/>
      <c r="B564" s="12"/>
      <c r="C564" s="12"/>
      <c r="D564" s="17"/>
      <c r="E564" s="12"/>
      <c r="F564" s="3"/>
      <c r="G564" s="3"/>
      <c r="L564" s="8"/>
      <c r="M564" s="8"/>
      <c r="N564" s="8"/>
      <c r="O564" s="8"/>
      <c r="P564" s="8"/>
      <c r="Q564" s="8"/>
    </row>
    <row r="565" ht="12.75" spans="1:17">
      <c r="A565" s="4"/>
      <c r="B565" s="12"/>
      <c r="C565" s="12"/>
      <c r="D565" s="17"/>
      <c r="E565" s="12"/>
      <c r="F565" s="3"/>
      <c r="G565" s="3"/>
      <c r="L565" s="8"/>
      <c r="M565" s="8"/>
      <c r="N565" s="8"/>
      <c r="O565" s="8"/>
      <c r="P565" s="8"/>
      <c r="Q565" s="8"/>
    </row>
    <row r="566" ht="12.75" spans="1:17">
      <c r="A566" s="4"/>
      <c r="B566" s="12"/>
      <c r="C566" s="12"/>
      <c r="D566" s="17"/>
      <c r="E566" s="12"/>
      <c r="F566" s="3"/>
      <c r="G566" s="3"/>
      <c r="L566" s="8"/>
      <c r="M566" s="8"/>
      <c r="N566" s="8"/>
      <c r="O566" s="8"/>
      <c r="P566" s="8"/>
      <c r="Q566" s="8"/>
    </row>
    <row r="567" ht="12.75" spans="1:17">
      <c r="A567" s="4"/>
      <c r="B567" s="12"/>
      <c r="C567" s="12"/>
      <c r="D567" s="17"/>
      <c r="E567" s="12"/>
      <c r="F567" s="3"/>
      <c r="G567" s="3"/>
      <c r="L567" s="8"/>
      <c r="M567" s="8"/>
      <c r="N567" s="8"/>
      <c r="O567" s="8"/>
      <c r="P567" s="8"/>
      <c r="Q567" s="8"/>
    </row>
    <row r="568" ht="12.75" spans="1:17">
      <c r="A568" s="4"/>
      <c r="B568" s="12"/>
      <c r="C568" s="12"/>
      <c r="D568" s="17"/>
      <c r="E568" s="12"/>
      <c r="F568" s="3"/>
      <c r="G568" s="3"/>
      <c r="L568" s="8"/>
      <c r="M568" s="8"/>
      <c r="N568" s="8"/>
      <c r="O568" s="8"/>
      <c r="P568" s="8"/>
      <c r="Q568" s="8"/>
    </row>
    <row r="569" ht="12.75" spans="1:17">
      <c r="A569" s="4"/>
      <c r="B569" s="12"/>
      <c r="C569" s="12"/>
      <c r="D569" s="17"/>
      <c r="E569" s="12"/>
      <c r="F569" s="3"/>
      <c r="G569" s="3"/>
      <c r="L569" s="8"/>
      <c r="M569" s="8"/>
      <c r="N569" s="8"/>
      <c r="O569" s="8"/>
      <c r="P569" s="8"/>
      <c r="Q569" s="8"/>
    </row>
    <row r="570" ht="12.75" spans="1:17">
      <c r="A570" s="4"/>
      <c r="B570" s="12"/>
      <c r="C570" s="12"/>
      <c r="D570" s="17"/>
      <c r="E570" s="12"/>
      <c r="F570" s="3"/>
      <c r="G570" s="3"/>
      <c r="L570" s="8"/>
      <c r="M570" s="8"/>
      <c r="N570" s="8"/>
      <c r="O570" s="8"/>
      <c r="P570" s="8"/>
      <c r="Q570" s="8"/>
    </row>
    <row r="571" ht="12.75" spans="1:17">
      <c r="A571" s="4"/>
      <c r="B571" s="12"/>
      <c r="C571" s="12"/>
      <c r="D571" s="17"/>
      <c r="E571" s="12"/>
      <c r="F571" s="3"/>
      <c r="G571" s="3"/>
      <c r="L571" s="8"/>
      <c r="M571" s="8"/>
      <c r="N571" s="8"/>
      <c r="O571" s="8"/>
      <c r="P571" s="8"/>
      <c r="Q571" s="8"/>
    </row>
    <row r="572" ht="12.75" spans="1:17">
      <c r="A572" s="4"/>
      <c r="B572" s="12"/>
      <c r="C572" s="12"/>
      <c r="D572" s="17"/>
      <c r="E572" s="12"/>
      <c r="F572" s="3"/>
      <c r="G572" s="3"/>
      <c r="L572" s="8"/>
      <c r="M572" s="8"/>
      <c r="N572" s="8"/>
      <c r="O572" s="8"/>
      <c r="P572" s="8"/>
      <c r="Q572" s="8"/>
    </row>
    <row r="573" ht="12.75" spans="1:17">
      <c r="A573" s="4"/>
      <c r="B573" s="12"/>
      <c r="C573" s="12"/>
      <c r="D573" s="17"/>
      <c r="E573" s="12"/>
      <c r="F573" s="3"/>
      <c r="G573" s="3"/>
      <c r="L573" s="8"/>
      <c r="M573" s="8"/>
      <c r="N573" s="8"/>
      <c r="O573" s="8"/>
      <c r="P573" s="8"/>
      <c r="Q573" s="8"/>
    </row>
    <row r="574" ht="12.75" spans="1:17">
      <c r="A574" s="4"/>
      <c r="B574" s="12"/>
      <c r="C574" s="12"/>
      <c r="D574" s="17"/>
      <c r="E574" s="12"/>
      <c r="F574" s="3"/>
      <c r="G574" s="3"/>
      <c r="L574" s="8"/>
      <c r="M574" s="8"/>
      <c r="N574" s="8"/>
      <c r="O574" s="8"/>
      <c r="P574" s="8"/>
      <c r="Q574" s="8"/>
    </row>
    <row r="575" ht="12.75" spans="1:17">
      <c r="A575" s="4"/>
      <c r="B575" s="12"/>
      <c r="C575" s="12"/>
      <c r="D575" s="17"/>
      <c r="E575" s="12"/>
      <c r="F575" s="3"/>
      <c r="G575" s="3"/>
      <c r="L575" s="8"/>
      <c r="M575" s="8"/>
      <c r="N575" s="8"/>
      <c r="O575" s="8"/>
      <c r="P575" s="8"/>
      <c r="Q575" s="8"/>
    </row>
    <row r="576" ht="12.75" spans="1:17">
      <c r="A576" s="4"/>
      <c r="B576" s="12"/>
      <c r="C576" s="12"/>
      <c r="D576" s="17"/>
      <c r="E576" s="12"/>
      <c r="F576" s="3"/>
      <c r="G576" s="3"/>
      <c r="L576" s="8"/>
      <c r="M576" s="8"/>
      <c r="N576" s="8"/>
      <c r="O576" s="8"/>
      <c r="P576" s="8"/>
      <c r="Q576" s="8"/>
    </row>
    <row r="577" ht="12.75" spans="1:17">
      <c r="A577" s="4"/>
      <c r="B577" s="12"/>
      <c r="C577" s="12"/>
      <c r="D577" s="17"/>
      <c r="E577" s="12"/>
      <c r="F577" s="3"/>
      <c r="G577" s="3"/>
      <c r="L577" s="8"/>
      <c r="M577" s="8"/>
      <c r="N577" s="8"/>
      <c r="O577" s="8"/>
      <c r="P577" s="8"/>
      <c r="Q577" s="8"/>
    </row>
    <row r="578" ht="12.75" spans="1:17">
      <c r="A578" s="4"/>
      <c r="B578" s="12"/>
      <c r="C578" s="12"/>
      <c r="D578" s="17"/>
      <c r="E578" s="12"/>
      <c r="F578" s="3"/>
      <c r="G578" s="3"/>
      <c r="L578" s="8"/>
      <c r="M578" s="8"/>
      <c r="N578" s="8"/>
      <c r="O578" s="8"/>
      <c r="P578" s="8"/>
      <c r="Q578" s="8"/>
    </row>
    <row r="579" ht="12.75" spans="1:17">
      <c r="A579" s="4"/>
      <c r="B579" s="12"/>
      <c r="C579" s="12"/>
      <c r="D579" s="17"/>
      <c r="E579" s="12"/>
      <c r="F579" s="3"/>
      <c r="G579" s="3"/>
      <c r="L579" s="8"/>
      <c r="M579" s="8"/>
      <c r="N579" s="8"/>
      <c r="O579" s="8"/>
      <c r="P579" s="8"/>
      <c r="Q579" s="8"/>
    </row>
    <row r="580" ht="12.75" spans="1:17">
      <c r="A580" s="4"/>
      <c r="B580" s="12"/>
      <c r="C580" s="12"/>
      <c r="D580" s="17"/>
      <c r="E580" s="12"/>
      <c r="F580" s="3"/>
      <c r="G580" s="3"/>
      <c r="L580" s="8"/>
      <c r="M580" s="8"/>
      <c r="N580" s="8"/>
      <c r="O580" s="8"/>
      <c r="P580" s="8"/>
      <c r="Q580" s="8"/>
    </row>
    <row r="581" ht="12.75" spans="1:17">
      <c r="A581" s="4"/>
      <c r="B581" s="12"/>
      <c r="C581" s="12"/>
      <c r="D581" s="17"/>
      <c r="E581" s="12"/>
      <c r="F581" s="3"/>
      <c r="G581" s="3"/>
      <c r="L581" s="8"/>
      <c r="M581" s="8"/>
      <c r="N581" s="8"/>
      <c r="O581" s="8"/>
      <c r="P581" s="8"/>
      <c r="Q581" s="8"/>
    </row>
    <row r="582" ht="12.75" spans="1:17">
      <c r="A582" s="4"/>
      <c r="B582" s="12"/>
      <c r="C582" s="12"/>
      <c r="D582" s="17"/>
      <c r="E582" s="12"/>
      <c r="F582" s="3"/>
      <c r="G582" s="3"/>
      <c r="L582" s="8"/>
      <c r="M582" s="8"/>
      <c r="N582" s="8"/>
      <c r="O582" s="8"/>
      <c r="P582" s="8"/>
      <c r="Q582" s="8"/>
    </row>
    <row r="583" ht="12.75" spans="1:17">
      <c r="A583" s="4"/>
      <c r="B583" s="12"/>
      <c r="C583" s="12"/>
      <c r="D583" s="17"/>
      <c r="E583" s="12"/>
      <c r="F583" s="3"/>
      <c r="G583" s="3"/>
      <c r="L583" s="8"/>
      <c r="M583" s="8"/>
      <c r="N583" s="8"/>
      <c r="O583" s="8"/>
      <c r="P583" s="8"/>
      <c r="Q583" s="8"/>
    </row>
    <row r="584" ht="12.75" spans="1:17">
      <c r="A584" s="4"/>
      <c r="B584" s="12"/>
      <c r="C584" s="12"/>
      <c r="D584" s="17"/>
      <c r="E584" s="12"/>
      <c r="F584" s="3"/>
      <c r="G584" s="3"/>
      <c r="L584" s="8"/>
      <c r="M584" s="8"/>
      <c r="N584" s="8"/>
      <c r="O584" s="8"/>
      <c r="P584" s="8"/>
      <c r="Q584" s="8"/>
    </row>
    <row r="585" ht="12.75" spans="1:17">
      <c r="A585" s="4"/>
      <c r="B585" s="12"/>
      <c r="C585" s="12"/>
      <c r="D585" s="17"/>
      <c r="E585" s="12"/>
      <c r="F585" s="3"/>
      <c r="G585" s="3"/>
      <c r="L585" s="8"/>
      <c r="M585" s="8"/>
      <c r="N585" s="8"/>
      <c r="O585" s="8"/>
      <c r="P585" s="8"/>
      <c r="Q585" s="8"/>
    </row>
    <row r="586" ht="12.75" spans="1:17">
      <c r="A586" s="4"/>
      <c r="B586" s="12"/>
      <c r="C586" s="12"/>
      <c r="D586" s="17"/>
      <c r="E586" s="12"/>
      <c r="F586" s="3"/>
      <c r="G586" s="3"/>
      <c r="L586" s="8"/>
      <c r="M586" s="8"/>
      <c r="N586" s="8"/>
      <c r="O586" s="8"/>
      <c r="P586" s="8"/>
      <c r="Q586" s="8"/>
    </row>
    <row r="587" ht="12.75" spans="1:17">
      <c r="A587" s="4"/>
      <c r="B587" s="12"/>
      <c r="C587" s="12"/>
      <c r="D587" s="17"/>
      <c r="E587" s="12"/>
      <c r="F587" s="3"/>
      <c r="G587" s="3"/>
      <c r="L587" s="8"/>
      <c r="M587" s="8"/>
      <c r="N587" s="8"/>
      <c r="O587" s="8"/>
      <c r="P587" s="8"/>
      <c r="Q587" s="8"/>
    </row>
    <row r="588" ht="12.75" spans="1:17">
      <c r="A588" s="4"/>
      <c r="B588" s="12"/>
      <c r="C588" s="12"/>
      <c r="D588" s="17"/>
      <c r="E588" s="12"/>
      <c r="F588" s="3"/>
      <c r="G588" s="3"/>
      <c r="L588" s="8"/>
      <c r="M588" s="8"/>
      <c r="N588" s="8"/>
      <c r="O588" s="8"/>
      <c r="P588" s="8"/>
      <c r="Q588" s="8"/>
    </row>
    <row r="589" ht="12.75" spans="1:17">
      <c r="A589" s="4"/>
      <c r="B589" s="12"/>
      <c r="C589" s="12"/>
      <c r="D589" s="17"/>
      <c r="E589" s="12"/>
      <c r="F589" s="3"/>
      <c r="G589" s="3"/>
      <c r="L589" s="8"/>
      <c r="M589" s="8"/>
      <c r="N589" s="8"/>
      <c r="O589" s="8"/>
      <c r="P589" s="8"/>
      <c r="Q589" s="8"/>
    </row>
    <row r="590" ht="12.75" spans="1:17">
      <c r="A590" s="4"/>
      <c r="B590" s="12"/>
      <c r="C590" s="12"/>
      <c r="D590" s="17"/>
      <c r="E590" s="12"/>
      <c r="F590" s="3"/>
      <c r="G590" s="3"/>
      <c r="L590" s="8"/>
      <c r="M590" s="8"/>
      <c r="N590" s="8"/>
      <c r="O590" s="8"/>
      <c r="P590" s="8"/>
      <c r="Q590" s="8"/>
    </row>
    <row r="591" ht="12.75" spans="1:17">
      <c r="A591" s="4"/>
      <c r="B591" s="12"/>
      <c r="C591" s="12"/>
      <c r="D591" s="17"/>
      <c r="E591" s="12"/>
      <c r="F591" s="3"/>
      <c r="G591" s="3"/>
      <c r="L591" s="8"/>
      <c r="M591" s="8"/>
      <c r="N591" s="8"/>
      <c r="O591" s="8"/>
      <c r="P591" s="8"/>
      <c r="Q591" s="8"/>
    </row>
    <row r="592" ht="12.75" spans="1:17">
      <c r="A592" s="4"/>
      <c r="B592" s="12"/>
      <c r="C592" s="12"/>
      <c r="D592" s="17"/>
      <c r="E592" s="12"/>
      <c r="F592" s="3"/>
      <c r="G592" s="3"/>
      <c r="L592" s="8"/>
      <c r="M592" s="8"/>
      <c r="N592" s="8"/>
      <c r="O592" s="8"/>
      <c r="P592" s="8"/>
      <c r="Q592" s="8"/>
    </row>
    <row r="593" ht="12.75" spans="1:17">
      <c r="A593" s="4"/>
      <c r="B593" s="12"/>
      <c r="C593" s="12"/>
      <c r="D593" s="17"/>
      <c r="E593" s="12"/>
      <c r="F593" s="3"/>
      <c r="G593" s="3"/>
      <c r="L593" s="8"/>
      <c r="M593" s="8"/>
      <c r="N593" s="8"/>
      <c r="O593" s="8"/>
      <c r="P593" s="8"/>
      <c r="Q593" s="8"/>
    </row>
    <row r="594" ht="12.75" spans="1:17">
      <c r="A594" s="4"/>
      <c r="B594" s="12"/>
      <c r="C594" s="12"/>
      <c r="D594" s="17"/>
      <c r="E594" s="12"/>
      <c r="F594" s="3"/>
      <c r="G594" s="3"/>
      <c r="L594" s="8"/>
      <c r="M594" s="8"/>
      <c r="N594" s="8"/>
      <c r="O594" s="8"/>
      <c r="P594" s="8"/>
      <c r="Q594" s="8"/>
    </row>
    <row r="595" ht="12.75" spans="1:17">
      <c r="A595" s="4"/>
      <c r="B595" s="12"/>
      <c r="C595" s="12"/>
      <c r="D595" s="17"/>
      <c r="E595" s="12"/>
      <c r="F595" s="3"/>
      <c r="G595" s="3"/>
      <c r="L595" s="8"/>
      <c r="M595" s="8"/>
      <c r="N595" s="8"/>
      <c r="O595" s="8"/>
      <c r="P595" s="8"/>
      <c r="Q595" s="8"/>
    </row>
    <row r="596" ht="12.75" spans="1:17">
      <c r="A596" s="4"/>
      <c r="B596" s="12"/>
      <c r="C596" s="12"/>
      <c r="D596" s="17"/>
      <c r="E596" s="12"/>
      <c r="F596" s="3"/>
      <c r="G596" s="3"/>
      <c r="L596" s="8"/>
      <c r="M596" s="8"/>
      <c r="N596" s="8"/>
      <c r="O596" s="8"/>
      <c r="P596" s="8"/>
      <c r="Q596" s="8"/>
    </row>
    <row r="597" ht="12.75" spans="1:17">
      <c r="A597" s="4"/>
      <c r="B597" s="12"/>
      <c r="C597" s="12"/>
      <c r="D597" s="17"/>
      <c r="E597" s="12"/>
      <c r="F597" s="3"/>
      <c r="G597" s="3"/>
      <c r="L597" s="8"/>
      <c r="M597" s="8"/>
      <c r="N597" s="8"/>
      <c r="O597" s="8"/>
      <c r="P597" s="8"/>
      <c r="Q597" s="8"/>
    </row>
    <row r="598" ht="12.75" spans="1:17">
      <c r="A598" s="4"/>
      <c r="B598" s="12"/>
      <c r="C598" s="12"/>
      <c r="D598" s="17"/>
      <c r="E598" s="12"/>
      <c r="F598" s="3"/>
      <c r="G598" s="3"/>
      <c r="L598" s="8"/>
      <c r="M598" s="8"/>
      <c r="N598" s="8"/>
      <c r="O598" s="8"/>
      <c r="P598" s="8"/>
      <c r="Q598" s="8"/>
    </row>
    <row r="599" ht="12.75" spans="1:17">
      <c r="A599" s="4"/>
      <c r="B599" s="12"/>
      <c r="C599" s="12"/>
      <c r="D599" s="17"/>
      <c r="E599" s="12"/>
      <c r="F599" s="3"/>
      <c r="G599" s="3"/>
      <c r="L599" s="8"/>
      <c r="M599" s="8"/>
      <c r="N599" s="8"/>
      <c r="O599" s="8"/>
      <c r="P599" s="8"/>
      <c r="Q599" s="8"/>
    </row>
    <row r="600" ht="12.75" spans="1:17">
      <c r="A600" s="4"/>
      <c r="B600" s="12"/>
      <c r="C600" s="12"/>
      <c r="D600" s="17"/>
      <c r="E600" s="12"/>
      <c r="F600" s="3"/>
      <c r="G600" s="3"/>
      <c r="L600" s="8"/>
      <c r="M600" s="8"/>
      <c r="N600" s="8"/>
      <c r="O600" s="8"/>
      <c r="P600" s="8"/>
      <c r="Q600" s="8"/>
    </row>
    <row r="601" ht="12.75" spans="1:17">
      <c r="A601" s="4"/>
      <c r="B601" s="12"/>
      <c r="C601" s="12"/>
      <c r="D601" s="17"/>
      <c r="E601" s="12"/>
      <c r="F601" s="3"/>
      <c r="G601" s="3"/>
      <c r="L601" s="8"/>
      <c r="M601" s="8"/>
      <c r="N601" s="8"/>
      <c r="O601" s="8"/>
      <c r="P601" s="8"/>
      <c r="Q601" s="8"/>
    </row>
    <row r="602" ht="12.75" spans="1:17">
      <c r="A602" s="4"/>
      <c r="B602" s="12"/>
      <c r="C602" s="12"/>
      <c r="D602" s="17"/>
      <c r="E602" s="12"/>
      <c r="F602" s="3"/>
      <c r="G602" s="3"/>
      <c r="L602" s="8"/>
      <c r="M602" s="8"/>
      <c r="N602" s="8"/>
      <c r="O602" s="8"/>
      <c r="P602" s="8"/>
      <c r="Q602" s="8"/>
    </row>
    <row r="603" ht="12.75" spans="1:17">
      <c r="A603" s="4"/>
      <c r="B603" s="12"/>
      <c r="C603" s="12"/>
      <c r="D603" s="17"/>
      <c r="E603" s="12"/>
      <c r="F603" s="3"/>
      <c r="G603" s="3"/>
      <c r="L603" s="8"/>
      <c r="M603" s="8"/>
      <c r="N603" s="8"/>
      <c r="O603" s="8"/>
      <c r="P603" s="8"/>
      <c r="Q603" s="8"/>
    </row>
    <row r="604" ht="12.75" spans="1:17">
      <c r="A604" s="4"/>
      <c r="B604" s="12"/>
      <c r="C604" s="12"/>
      <c r="D604" s="17"/>
      <c r="E604" s="12"/>
      <c r="F604" s="3"/>
      <c r="G604" s="3"/>
      <c r="L604" s="8"/>
      <c r="M604" s="8"/>
      <c r="N604" s="8"/>
      <c r="O604" s="8"/>
      <c r="P604" s="8"/>
      <c r="Q604" s="8"/>
    </row>
    <row r="605" ht="12.75" spans="1:17">
      <c r="A605" s="4"/>
      <c r="B605" s="12"/>
      <c r="C605" s="12"/>
      <c r="D605" s="17"/>
      <c r="E605" s="12"/>
      <c r="F605" s="3"/>
      <c r="G605" s="3"/>
      <c r="L605" s="8"/>
      <c r="M605" s="8"/>
      <c r="N605" s="8"/>
      <c r="O605" s="8"/>
      <c r="P605" s="8"/>
      <c r="Q605" s="8"/>
    </row>
    <row r="606" ht="12.75" spans="1:17">
      <c r="A606" s="4"/>
      <c r="B606" s="12"/>
      <c r="C606" s="12"/>
      <c r="D606" s="17"/>
      <c r="E606" s="12"/>
      <c r="F606" s="3"/>
      <c r="G606" s="3"/>
      <c r="L606" s="8"/>
      <c r="M606" s="8"/>
      <c r="N606" s="8"/>
      <c r="O606" s="8"/>
      <c r="P606" s="8"/>
      <c r="Q606" s="8"/>
    </row>
    <row r="607" ht="12.75" spans="1:17">
      <c r="A607" s="4"/>
      <c r="B607" s="12"/>
      <c r="C607" s="12"/>
      <c r="D607" s="17"/>
      <c r="E607" s="12"/>
      <c r="F607" s="3"/>
      <c r="G607" s="3"/>
      <c r="L607" s="8"/>
      <c r="M607" s="8"/>
      <c r="N607" s="8"/>
      <c r="O607" s="8"/>
      <c r="P607" s="8"/>
      <c r="Q607" s="8"/>
    </row>
    <row r="608" ht="12.75" spans="1:17">
      <c r="A608" s="4"/>
      <c r="B608" s="12"/>
      <c r="C608" s="12"/>
      <c r="D608" s="17"/>
      <c r="E608" s="12"/>
      <c r="F608" s="3"/>
      <c r="G608" s="3"/>
      <c r="L608" s="8"/>
      <c r="M608" s="8"/>
      <c r="N608" s="8"/>
      <c r="O608" s="8"/>
      <c r="P608" s="8"/>
      <c r="Q608" s="8"/>
    </row>
    <row r="609" ht="12.75" spans="1:17">
      <c r="A609" s="4"/>
      <c r="B609" s="12"/>
      <c r="C609" s="12"/>
      <c r="D609" s="17"/>
      <c r="E609" s="12"/>
      <c r="F609" s="3"/>
      <c r="G609" s="3"/>
      <c r="L609" s="8"/>
      <c r="M609" s="8"/>
      <c r="N609" s="8"/>
      <c r="O609" s="8"/>
      <c r="P609" s="8"/>
      <c r="Q609" s="8"/>
    </row>
    <row r="610" ht="12.75" spans="1:17">
      <c r="A610" s="4"/>
      <c r="B610" s="12"/>
      <c r="C610" s="12"/>
      <c r="D610" s="17"/>
      <c r="E610" s="12"/>
      <c r="F610" s="3"/>
      <c r="G610" s="3"/>
      <c r="L610" s="8"/>
      <c r="M610" s="8"/>
      <c r="N610" s="8"/>
      <c r="O610" s="8"/>
      <c r="P610" s="8"/>
      <c r="Q610" s="8"/>
    </row>
    <row r="611" ht="12.75" spans="1:17">
      <c r="A611" s="4"/>
      <c r="B611" s="12"/>
      <c r="C611" s="12"/>
      <c r="D611" s="17"/>
      <c r="E611" s="12"/>
      <c r="F611" s="3"/>
      <c r="G611" s="3"/>
      <c r="L611" s="8"/>
      <c r="M611" s="8"/>
      <c r="N611" s="8"/>
      <c r="O611" s="8"/>
      <c r="P611" s="8"/>
      <c r="Q611" s="8"/>
    </row>
    <row r="612" ht="12.75" spans="1:17">
      <c r="A612" s="4"/>
      <c r="B612" s="12"/>
      <c r="C612" s="12"/>
      <c r="D612" s="17"/>
      <c r="E612" s="12"/>
      <c r="F612" s="3"/>
      <c r="G612" s="3"/>
      <c r="L612" s="8"/>
      <c r="M612" s="8"/>
      <c r="N612" s="8"/>
      <c r="O612" s="8"/>
      <c r="P612" s="8"/>
      <c r="Q612" s="8"/>
    </row>
    <row r="613" ht="12.75" spans="1:17">
      <c r="A613" s="4"/>
      <c r="B613" s="12"/>
      <c r="C613" s="12"/>
      <c r="D613" s="17"/>
      <c r="E613" s="12"/>
      <c r="F613" s="3"/>
      <c r="G613" s="3"/>
      <c r="L613" s="8"/>
      <c r="M613" s="8"/>
      <c r="N613" s="8"/>
      <c r="O613" s="8"/>
      <c r="P613" s="8"/>
      <c r="Q613" s="8"/>
    </row>
    <row r="614" ht="12.75" spans="1:17">
      <c r="A614" s="4"/>
      <c r="B614" s="12"/>
      <c r="C614" s="12"/>
      <c r="D614" s="17"/>
      <c r="E614" s="12"/>
      <c r="F614" s="3"/>
      <c r="G614" s="3"/>
      <c r="L614" s="8"/>
      <c r="M614" s="8"/>
      <c r="N614" s="8"/>
      <c r="O614" s="8"/>
      <c r="P614" s="8"/>
      <c r="Q614" s="8"/>
    </row>
    <row r="615" ht="12.75" spans="1:17">
      <c r="A615" s="4"/>
      <c r="B615" s="12"/>
      <c r="C615" s="12"/>
      <c r="D615" s="17"/>
      <c r="E615" s="12"/>
      <c r="F615" s="3"/>
      <c r="G615" s="3"/>
      <c r="L615" s="8"/>
      <c r="M615" s="8"/>
      <c r="N615" s="8"/>
      <c r="O615" s="8"/>
      <c r="P615" s="8"/>
      <c r="Q615" s="8"/>
    </row>
    <row r="616" ht="12.75" spans="1:17">
      <c r="A616" s="4"/>
      <c r="B616" s="12"/>
      <c r="C616" s="12"/>
      <c r="D616" s="17"/>
      <c r="E616" s="12"/>
      <c r="F616" s="3"/>
      <c r="G616" s="3"/>
      <c r="L616" s="8"/>
      <c r="M616" s="8"/>
      <c r="N616" s="8"/>
      <c r="O616" s="8"/>
      <c r="P616" s="8"/>
      <c r="Q616" s="8"/>
    </row>
    <row r="617" ht="12.75" spans="1:17">
      <c r="A617" s="4"/>
      <c r="B617" s="12"/>
      <c r="C617" s="12"/>
      <c r="D617" s="17"/>
      <c r="E617" s="12"/>
      <c r="F617" s="3"/>
      <c r="G617" s="3"/>
      <c r="L617" s="8"/>
      <c r="M617" s="8"/>
      <c r="N617" s="8"/>
      <c r="O617" s="8"/>
      <c r="P617" s="8"/>
      <c r="Q617" s="8"/>
    </row>
    <row r="618" ht="12.75" spans="1:17">
      <c r="A618" s="4"/>
      <c r="B618" s="12"/>
      <c r="C618" s="12"/>
      <c r="D618" s="17"/>
      <c r="E618" s="12"/>
      <c r="F618" s="3"/>
      <c r="G618" s="3"/>
      <c r="L618" s="8"/>
      <c r="M618" s="8"/>
      <c r="N618" s="8"/>
      <c r="O618" s="8"/>
      <c r="P618" s="8"/>
      <c r="Q618" s="8"/>
    </row>
    <row r="619" ht="12.75" spans="1:17">
      <c r="A619" s="4"/>
      <c r="B619" s="12"/>
      <c r="C619" s="12"/>
      <c r="D619" s="17"/>
      <c r="E619" s="12"/>
      <c r="F619" s="3"/>
      <c r="G619" s="3"/>
      <c r="L619" s="8"/>
      <c r="M619" s="8"/>
      <c r="N619" s="8"/>
      <c r="O619" s="8"/>
      <c r="P619" s="8"/>
      <c r="Q619" s="8"/>
    </row>
    <row r="620" ht="12.75" spans="1:17">
      <c r="A620" s="4"/>
      <c r="B620" s="12"/>
      <c r="C620" s="12"/>
      <c r="D620" s="17"/>
      <c r="E620" s="12"/>
      <c r="F620" s="3"/>
      <c r="G620" s="3"/>
      <c r="L620" s="8"/>
      <c r="M620" s="8"/>
      <c r="N620" s="8"/>
      <c r="O620" s="8"/>
      <c r="P620" s="8"/>
      <c r="Q620" s="8"/>
    </row>
    <row r="621" ht="12.75" spans="1:17">
      <c r="A621" s="4"/>
      <c r="B621" s="12"/>
      <c r="C621" s="12"/>
      <c r="D621" s="17"/>
      <c r="E621" s="12"/>
      <c r="F621" s="3"/>
      <c r="G621" s="3"/>
      <c r="L621" s="8"/>
      <c r="M621" s="8"/>
      <c r="N621" s="8"/>
      <c r="O621" s="8"/>
      <c r="P621" s="8"/>
      <c r="Q621" s="8"/>
    </row>
    <row r="622" ht="12.75" spans="1:17">
      <c r="A622" s="4"/>
      <c r="B622" s="12"/>
      <c r="C622" s="12"/>
      <c r="D622" s="17"/>
      <c r="E622" s="12"/>
      <c r="F622" s="3"/>
      <c r="G622" s="3"/>
      <c r="L622" s="8"/>
      <c r="M622" s="8"/>
      <c r="N622" s="8"/>
      <c r="O622" s="8"/>
      <c r="P622" s="8"/>
      <c r="Q622" s="8"/>
    </row>
    <row r="623" ht="12.75" spans="1:17">
      <c r="A623" s="4"/>
      <c r="B623" s="12"/>
      <c r="C623" s="12"/>
      <c r="D623" s="17"/>
      <c r="E623" s="12"/>
      <c r="F623" s="3"/>
      <c r="G623" s="3"/>
      <c r="L623" s="8"/>
      <c r="M623" s="8"/>
      <c r="N623" s="8"/>
      <c r="O623" s="8"/>
      <c r="P623" s="8"/>
      <c r="Q623" s="8"/>
    </row>
    <row r="624" ht="12.75" spans="1:17">
      <c r="A624" s="4"/>
      <c r="B624" s="12"/>
      <c r="C624" s="12"/>
      <c r="D624" s="17"/>
      <c r="E624" s="12"/>
      <c r="F624" s="3"/>
      <c r="G624" s="3"/>
      <c r="L624" s="8"/>
      <c r="M624" s="8"/>
      <c r="N624" s="8"/>
      <c r="O624" s="8"/>
      <c r="P624" s="8"/>
      <c r="Q624" s="8"/>
    </row>
    <row r="625" ht="12.75" spans="1:17">
      <c r="A625" s="4"/>
      <c r="B625" s="12"/>
      <c r="C625" s="12"/>
      <c r="D625" s="17"/>
      <c r="E625" s="12"/>
      <c r="F625" s="3"/>
      <c r="G625" s="3"/>
      <c r="L625" s="8"/>
      <c r="M625" s="8"/>
      <c r="N625" s="8"/>
      <c r="O625" s="8"/>
      <c r="P625" s="8"/>
      <c r="Q625" s="8"/>
    </row>
    <row r="626" ht="12.75" spans="1:17">
      <c r="A626" s="4"/>
      <c r="B626" s="12"/>
      <c r="C626" s="12"/>
      <c r="D626" s="17"/>
      <c r="E626" s="12"/>
      <c r="F626" s="3"/>
      <c r="G626" s="3"/>
      <c r="L626" s="8"/>
      <c r="M626" s="8"/>
      <c r="N626" s="8"/>
      <c r="O626" s="8"/>
      <c r="P626" s="8"/>
      <c r="Q626" s="8"/>
    </row>
    <row r="627" ht="12.75" spans="1:17">
      <c r="A627" s="4"/>
      <c r="B627" s="12"/>
      <c r="C627" s="12"/>
      <c r="D627" s="17"/>
      <c r="E627" s="12"/>
      <c r="F627" s="3"/>
      <c r="G627" s="3"/>
      <c r="L627" s="8"/>
      <c r="M627" s="8"/>
      <c r="N627" s="8"/>
      <c r="O627" s="8"/>
      <c r="P627" s="8"/>
      <c r="Q627" s="8"/>
    </row>
    <row r="628" ht="12.75" spans="1:17">
      <c r="A628" s="4"/>
      <c r="B628" s="12"/>
      <c r="C628" s="12"/>
      <c r="D628" s="17"/>
      <c r="E628" s="12"/>
      <c r="F628" s="3"/>
      <c r="G628" s="3"/>
      <c r="L628" s="8"/>
      <c r="M628" s="8"/>
      <c r="N628" s="8"/>
      <c r="O628" s="8"/>
      <c r="P628" s="8"/>
      <c r="Q628" s="8"/>
    </row>
    <row r="629" ht="12.75" spans="1:17">
      <c r="A629" s="4"/>
      <c r="B629" s="12"/>
      <c r="C629" s="12"/>
      <c r="D629" s="17"/>
      <c r="E629" s="12"/>
      <c r="F629" s="3"/>
      <c r="G629" s="3"/>
      <c r="L629" s="8"/>
      <c r="M629" s="8"/>
      <c r="N629" s="8"/>
      <c r="O629" s="8"/>
      <c r="P629" s="8"/>
      <c r="Q629" s="8"/>
    </row>
    <row r="630" ht="12.75" spans="1:17">
      <c r="A630" s="4"/>
      <c r="B630" s="12"/>
      <c r="C630" s="12"/>
      <c r="D630" s="17"/>
      <c r="E630" s="12"/>
      <c r="F630" s="3"/>
      <c r="G630" s="3"/>
      <c r="L630" s="8"/>
      <c r="M630" s="8"/>
      <c r="N630" s="8"/>
      <c r="O630" s="8"/>
      <c r="P630" s="8"/>
      <c r="Q630" s="8"/>
    </row>
    <row r="631" ht="12.75" spans="1:17">
      <c r="A631" s="4"/>
      <c r="B631" s="12"/>
      <c r="C631" s="12"/>
      <c r="D631" s="17"/>
      <c r="E631" s="12"/>
      <c r="F631" s="3"/>
      <c r="G631" s="3"/>
      <c r="L631" s="8"/>
      <c r="M631" s="8"/>
      <c r="N631" s="8"/>
      <c r="O631" s="8"/>
      <c r="P631" s="8"/>
      <c r="Q631" s="8"/>
    </row>
    <row r="632" ht="12.75" spans="1:17">
      <c r="A632" s="4"/>
      <c r="B632" s="12"/>
      <c r="C632" s="12"/>
      <c r="D632" s="17"/>
      <c r="E632" s="12"/>
      <c r="F632" s="3"/>
      <c r="G632" s="3"/>
      <c r="L632" s="8"/>
      <c r="M632" s="8"/>
      <c r="N632" s="8"/>
      <c r="O632" s="8"/>
      <c r="P632" s="8"/>
      <c r="Q632" s="8"/>
    </row>
    <row r="633" ht="12.75" spans="1:17">
      <c r="A633" s="4"/>
      <c r="B633" s="12"/>
      <c r="C633" s="12"/>
      <c r="D633" s="17"/>
      <c r="E633" s="12"/>
      <c r="F633" s="3"/>
      <c r="G633" s="3"/>
      <c r="L633" s="8"/>
      <c r="M633" s="8"/>
      <c r="N633" s="8"/>
      <c r="O633" s="8"/>
      <c r="P633" s="8"/>
      <c r="Q633" s="8"/>
    </row>
    <row r="634" ht="12.75" spans="1:17">
      <c r="A634" s="4"/>
      <c r="B634" s="12"/>
      <c r="C634" s="12"/>
      <c r="D634" s="17"/>
      <c r="E634" s="12"/>
      <c r="F634" s="3"/>
      <c r="G634" s="3"/>
      <c r="L634" s="8"/>
      <c r="M634" s="8"/>
      <c r="N634" s="8"/>
      <c r="O634" s="8"/>
      <c r="P634" s="8"/>
      <c r="Q634" s="8"/>
    </row>
    <row r="635" ht="12.75" spans="1:17">
      <c r="A635" s="4"/>
      <c r="B635" s="12"/>
      <c r="C635" s="12"/>
      <c r="D635" s="17"/>
      <c r="E635" s="12"/>
      <c r="F635" s="3"/>
      <c r="G635" s="3"/>
      <c r="L635" s="8"/>
      <c r="M635" s="8"/>
      <c r="N635" s="8"/>
      <c r="O635" s="8"/>
      <c r="P635" s="8"/>
      <c r="Q635" s="8"/>
    </row>
    <row r="636" ht="12.75" spans="1:17">
      <c r="A636" s="4"/>
      <c r="B636" s="12"/>
      <c r="C636" s="12"/>
      <c r="D636" s="17"/>
      <c r="E636" s="12"/>
      <c r="F636" s="3"/>
      <c r="G636" s="3"/>
      <c r="L636" s="8"/>
      <c r="M636" s="8"/>
      <c r="N636" s="8"/>
      <c r="O636" s="8"/>
      <c r="P636" s="8"/>
      <c r="Q636" s="8"/>
    </row>
    <row r="637" ht="12.75" spans="1:17">
      <c r="A637" s="4"/>
      <c r="B637" s="12"/>
      <c r="C637" s="12"/>
      <c r="D637" s="17"/>
      <c r="E637" s="12"/>
      <c r="F637" s="3"/>
      <c r="G637" s="3"/>
      <c r="L637" s="8"/>
      <c r="M637" s="8"/>
      <c r="N637" s="8"/>
      <c r="O637" s="8"/>
      <c r="P637" s="8"/>
      <c r="Q637" s="8"/>
    </row>
    <row r="638" ht="12.75" spans="1:17">
      <c r="A638" s="4"/>
      <c r="B638" s="12"/>
      <c r="C638" s="12"/>
      <c r="D638" s="17"/>
      <c r="E638" s="12"/>
      <c r="F638" s="3"/>
      <c r="G638" s="3"/>
      <c r="L638" s="8"/>
      <c r="M638" s="8"/>
      <c r="N638" s="8"/>
      <c r="O638" s="8"/>
      <c r="P638" s="8"/>
      <c r="Q638" s="8"/>
    </row>
    <row r="639" ht="12.75" spans="1:17">
      <c r="A639" s="4"/>
      <c r="B639" s="12"/>
      <c r="C639" s="12"/>
      <c r="D639" s="17"/>
      <c r="E639" s="12"/>
      <c r="F639" s="3"/>
      <c r="G639" s="3"/>
      <c r="L639" s="8"/>
      <c r="M639" s="8"/>
      <c r="N639" s="8"/>
      <c r="O639" s="8"/>
      <c r="P639" s="8"/>
      <c r="Q639" s="8"/>
    </row>
    <row r="640" ht="12.75" spans="1:17">
      <c r="A640" s="4"/>
      <c r="B640" s="12"/>
      <c r="C640" s="12"/>
      <c r="D640" s="17"/>
      <c r="E640" s="12"/>
      <c r="F640" s="3"/>
      <c r="G640" s="3"/>
      <c r="L640" s="8"/>
      <c r="M640" s="8"/>
      <c r="N640" s="8"/>
      <c r="O640" s="8"/>
      <c r="P640" s="8"/>
      <c r="Q640" s="8"/>
    </row>
    <row r="641" ht="12.75" spans="1:17">
      <c r="A641" s="4"/>
      <c r="B641" s="12"/>
      <c r="C641" s="12"/>
      <c r="D641" s="17"/>
      <c r="E641" s="12"/>
      <c r="F641" s="3"/>
      <c r="G641" s="3"/>
      <c r="L641" s="8"/>
      <c r="M641" s="8"/>
      <c r="N641" s="8"/>
      <c r="O641" s="8"/>
      <c r="P641" s="8"/>
      <c r="Q641" s="8"/>
    </row>
    <row r="642" ht="12.75" spans="1:17">
      <c r="A642" s="4"/>
      <c r="B642" s="12"/>
      <c r="C642" s="12"/>
      <c r="D642" s="17"/>
      <c r="E642" s="12"/>
      <c r="F642" s="3"/>
      <c r="G642" s="3"/>
      <c r="L642" s="8"/>
      <c r="M642" s="8"/>
      <c r="N642" s="8"/>
      <c r="O642" s="8"/>
      <c r="P642" s="8"/>
      <c r="Q642" s="8"/>
    </row>
    <row r="643" ht="12.75" spans="1:17">
      <c r="A643" s="4"/>
      <c r="B643" s="12"/>
      <c r="C643" s="12"/>
      <c r="D643" s="17"/>
      <c r="E643" s="12"/>
      <c r="F643" s="3"/>
      <c r="G643" s="3"/>
      <c r="L643" s="8"/>
      <c r="M643" s="8"/>
      <c r="N643" s="8"/>
      <c r="O643" s="8"/>
      <c r="P643" s="8"/>
      <c r="Q643" s="8"/>
    </row>
    <row r="644" ht="12.75" spans="1:17">
      <c r="A644" s="4"/>
      <c r="B644" s="12"/>
      <c r="C644" s="12"/>
      <c r="D644" s="17"/>
      <c r="E644" s="12"/>
      <c r="F644" s="3"/>
      <c r="G644" s="3"/>
      <c r="L644" s="8"/>
      <c r="M644" s="8"/>
      <c r="N644" s="8"/>
      <c r="O644" s="8"/>
      <c r="P644" s="8"/>
      <c r="Q644" s="8"/>
    </row>
    <row r="645" ht="12.75" spans="1:17">
      <c r="A645" s="4"/>
      <c r="B645" s="12"/>
      <c r="C645" s="12"/>
      <c r="D645" s="17"/>
      <c r="E645" s="12"/>
      <c r="F645" s="3"/>
      <c r="G645" s="3"/>
      <c r="L645" s="8"/>
      <c r="M645" s="8"/>
      <c r="N645" s="8"/>
      <c r="O645" s="8"/>
      <c r="P645" s="8"/>
      <c r="Q645" s="8"/>
    </row>
    <row r="646" ht="12.75" spans="1:17">
      <c r="A646" s="4"/>
      <c r="B646" s="12"/>
      <c r="C646" s="12"/>
      <c r="D646" s="17"/>
      <c r="E646" s="12"/>
      <c r="F646" s="3"/>
      <c r="G646" s="3"/>
      <c r="L646" s="8"/>
      <c r="M646" s="8"/>
      <c r="N646" s="8"/>
      <c r="O646" s="8"/>
      <c r="P646" s="8"/>
      <c r="Q646" s="8"/>
    </row>
    <row r="647" ht="12.75" spans="1:17">
      <c r="A647" s="4"/>
      <c r="B647" s="12"/>
      <c r="C647" s="12"/>
      <c r="D647" s="17"/>
      <c r="E647" s="12"/>
      <c r="F647" s="3"/>
      <c r="G647" s="3"/>
      <c r="L647" s="8"/>
      <c r="M647" s="8"/>
      <c r="N647" s="8"/>
      <c r="O647" s="8"/>
      <c r="P647" s="8"/>
      <c r="Q647" s="8"/>
    </row>
    <row r="648" ht="12.75" spans="1:17">
      <c r="A648" s="4"/>
      <c r="B648" s="12"/>
      <c r="C648" s="12"/>
      <c r="D648" s="17"/>
      <c r="E648" s="12"/>
      <c r="F648" s="3"/>
      <c r="G648" s="3"/>
      <c r="L648" s="8"/>
      <c r="M648" s="8"/>
      <c r="N648" s="8"/>
      <c r="O648" s="8"/>
      <c r="P648" s="8"/>
      <c r="Q648" s="8"/>
    </row>
    <row r="649" ht="12.75" spans="1:17">
      <c r="A649" s="4"/>
      <c r="B649" s="12"/>
      <c r="C649" s="12"/>
      <c r="D649" s="17"/>
      <c r="E649" s="12"/>
      <c r="F649" s="3"/>
      <c r="G649" s="3"/>
      <c r="L649" s="8"/>
      <c r="M649" s="8"/>
      <c r="N649" s="8"/>
      <c r="O649" s="8"/>
      <c r="P649" s="8"/>
      <c r="Q649" s="8"/>
    </row>
    <row r="650" ht="12.75" spans="1:17">
      <c r="A650" s="4"/>
      <c r="B650" s="12"/>
      <c r="C650" s="12"/>
      <c r="D650" s="17"/>
      <c r="E650" s="12"/>
      <c r="F650" s="3"/>
      <c r="G650" s="3"/>
      <c r="L650" s="8"/>
      <c r="M650" s="8"/>
      <c r="N650" s="8"/>
      <c r="O650" s="8"/>
      <c r="P650" s="8"/>
      <c r="Q650" s="8"/>
    </row>
    <row r="651" ht="12.75" spans="1:17">
      <c r="A651" s="4"/>
      <c r="B651" s="12"/>
      <c r="C651" s="12"/>
      <c r="D651" s="17"/>
      <c r="E651" s="12"/>
      <c r="F651" s="3"/>
      <c r="G651" s="3"/>
      <c r="L651" s="8"/>
      <c r="M651" s="8"/>
      <c r="N651" s="8"/>
      <c r="O651" s="8"/>
      <c r="P651" s="8"/>
      <c r="Q651" s="8"/>
    </row>
    <row r="652" ht="12.75" spans="1:17">
      <c r="A652" s="4"/>
      <c r="B652" s="12"/>
      <c r="C652" s="12"/>
      <c r="D652" s="17"/>
      <c r="E652" s="12"/>
      <c r="F652" s="3"/>
      <c r="G652" s="3"/>
      <c r="L652" s="8"/>
      <c r="M652" s="8"/>
      <c r="N652" s="8"/>
      <c r="O652" s="8"/>
      <c r="P652" s="8"/>
      <c r="Q652" s="8"/>
    </row>
    <row r="653" ht="12.75" spans="1:17">
      <c r="A653" s="4"/>
      <c r="B653" s="12"/>
      <c r="C653" s="12"/>
      <c r="D653" s="17"/>
      <c r="E653" s="12"/>
      <c r="F653" s="3"/>
      <c r="G653" s="3"/>
      <c r="L653" s="8"/>
      <c r="M653" s="8"/>
      <c r="N653" s="8"/>
      <c r="O653" s="8"/>
      <c r="P653" s="8"/>
      <c r="Q653" s="8"/>
    </row>
    <row r="654" ht="12.75" spans="1:17">
      <c r="A654" s="4"/>
      <c r="B654" s="12"/>
      <c r="C654" s="12"/>
      <c r="D654" s="17"/>
      <c r="E654" s="12"/>
      <c r="F654" s="3"/>
      <c r="G654" s="3"/>
      <c r="L654" s="8"/>
      <c r="M654" s="8"/>
      <c r="N654" s="8"/>
      <c r="O654" s="8"/>
      <c r="P654" s="8"/>
      <c r="Q654" s="8"/>
    </row>
    <row r="655" ht="12.75" spans="1:17">
      <c r="A655" s="4"/>
      <c r="B655" s="12"/>
      <c r="C655" s="12"/>
      <c r="D655" s="17"/>
      <c r="E655" s="12"/>
      <c r="F655" s="3"/>
      <c r="G655" s="3"/>
      <c r="L655" s="8"/>
      <c r="M655" s="8"/>
      <c r="N655" s="8"/>
      <c r="O655" s="8"/>
      <c r="P655" s="8"/>
      <c r="Q655" s="8"/>
    </row>
    <row r="656" ht="12.75" spans="1:17">
      <c r="A656" s="4"/>
      <c r="B656" s="12"/>
      <c r="C656" s="12"/>
      <c r="D656" s="17"/>
      <c r="E656" s="12"/>
      <c r="F656" s="3"/>
      <c r="G656" s="3"/>
      <c r="L656" s="8"/>
      <c r="M656" s="8"/>
      <c r="N656" s="8"/>
      <c r="O656" s="8"/>
      <c r="P656" s="8"/>
      <c r="Q656" s="8"/>
    </row>
    <row r="657" ht="12.75" spans="1:17">
      <c r="A657" s="4"/>
      <c r="B657" s="12"/>
      <c r="C657" s="12"/>
      <c r="D657" s="17"/>
      <c r="E657" s="12"/>
      <c r="F657" s="3"/>
      <c r="G657" s="3"/>
      <c r="L657" s="8"/>
      <c r="M657" s="8"/>
      <c r="N657" s="8"/>
      <c r="O657" s="8"/>
      <c r="P657" s="8"/>
      <c r="Q657" s="8"/>
    </row>
    <row r="658" ht="12.75" spans="1:17">
      <c r="A658" s="4"/>
      <c r="B658" s="12"/>
      <c r="C658" s="12"/>
      <c r="D658" s="17"/>
      <c r="E658" s="12"/>
      <c r="F658" s="3"/>
      <c r="G658" s="3"/>
      <c r="L658" s="8"/>
      <c r="M658" s="8"/>
      <c r="N658" s="8"/>
      <c r="O658" s="8"/>
      <c r="P658" s="8"/>
      <c r="Q658" s="8"/>
    </row>
    <row r="659" ht="12.75" spans="1:17">
      <c r="A659" s="4"/>
      <c r="B659" s="12"/>
      <c r="C659" s="12"/>
      <c r="D659" s="17"/>
      <c r="E659" s="12"/>
      <c r="F659" s="3"/>
      <c r="G659" s="3"/>
      <c r="L659" s="8"/>
      <c r="M659" s="8"/>
      <c r="N659" s="8"/>
      <c r="O659" s="8"/>
      <c r="P659" s="8"/>
      <c r="Q659" s="8"/>
    </row>
    <row r="660" ht="12.75" spans="1:17">
      <c r="A660" s="4"/>
      <c r="B660" s="12"/>
      <c r="C660" s="12"/>
      <c r="D660" s="17"/>
      <c r="E660" s="12"/>
      <c r="F660" s="3"/>
      <c r="G660" s="3"/>
      <c r="L660" s="8"/>
      <c r="M660" s="8"/>
      <c r="N660" s="8"/>
      <c r="O660" s="8"/>
      <c r="P660" s="8"/>
      <c r="Q660" s="8"/>
    </row>
    <row r="661" ht="12.75" spans="1:17">
      <c r="A661" s="4"/>
      <c r="B661" s="12"/>
      <c r="C661" s="12"/>
      <c r="D661" s="17"/>
      <c r="E661" s="12"/>
      <c r="F661" s="3"/>
      <c r="G661" s="3"/>
      <c r="L661" s="8"/>
      <c r="M661" s="8"/>
      <c r="N661" s="8"/>
      <c r="O661" s="8"/>
      <c r="P661" s="8"/>
      <c r="Q661" s="8"/>
    </row>
    <row r="662" ht="12.75" spans="1:17">
      <c r="A662" s="4"/>
      <c r="B662" s="12"/>
      <c r="C662" s="12"/>
      <c r="D662" s="17"/>
      <c r="E662" s="12"/>
      <c r="F662" s="3"/>
      <c r="G662" s="3"/>
      <c r="L662" s="8"/>
      <c r="M662" s="8"/>
      <c r="N662" s="8"/>
      <c r="O662" s="8"/>
      <c r="P662" s="8"/>
      <c r="Q662" s="8"/>
    </row>
    <row r="663" ht="12.75" spans="1:17">
      <c r="A663" s="4"/>
      <c r="B663" s="12"/>
      <c r="C663" s="12"/>
      <c r="D663" s="17"/>
      <c r="E663" s="12"/>
      <c r="F663" s="3"/>
      <c r="G663" s="3"/>
      <c r="L663" s="8"/>
      <c r="M663" s="8"/>
      <c r="N663" s="8"/>
      <c r="O663" s="8"/>
      <c r="P663" s="8"/>
      <c r="Q663" s="8"/>
    </row>
    <row r="664" ht="12.75" spans="1:17">
      <c r="A664" s="4"/>
      <c r="B664" s="12"/>
      <c r="C664" s="12"/>
      <c r="D664" s="17"/>
      <c r="E664" s="12"/>
      <c r="F664" s="3"/>
      <c r="G664" s="3"/>
      <c r="L664" s="8"/>
      <c r="M664" s="8"/>
      <c r="N664" s="8"/>
      <c r="O664" s="8"/>
      <c r="P664" s="8"/>
      <c r="Q664" s="8"/>
    </row>
    <row r="665" ht="12.75" spans="1:17">
      <c r="A665" s="4"/>
      <c r="B665" s="12"/>
      <c r="C665" s="12"/>
      <c r="D665" s="17"/>
      <c r="E665" s="12"/>
      <c r="F665" s="3"/>
      <c r="G665" s="3"/>
      <c r="L665" s="8"/>
      <c r="M665" s="8"/>
      <c r="N665" s="8"/>
      <c r="O665" s="8"/>
      <c r="P665" s="8"/>
      <c r="Q665" s="8"/>
    </row>
    <row r="666" ht="12.75" spans="1:17">
      <c r="A666" s="4"/>
      <c r="B666" s="12"/>
      <c r="C666" s="12"/>
      <c r="D666" s="17"/>
      <c r="E666" s="12"/>
      <c r="F666" s="3"/>
      <c r="G666" s="3"/>
      <c r="L666" s="8"/>
      <c r="M666" s="8"/>
      <c r="N666" s="8"/>
      <c r="O666" s="8"/>
      <c r="P666" s="8"/>
      <c r="Q666" s="8"/>
    </row>
    <row r="667" ht="12.75" spans="1:17">
      <c r="A667" s="4"/>
      <c r="B667" s="12"/>
      <c r="C667" s="12"/>
      <c r="D667" s="17"/>
      <c r="E667" s="12"/>
      <c r="F667" s="3"/>
      <c r="G667" s="3"/>
      <c r="L667" s="8"/>
      <c r="M667" s="8"/>
      <c r="N667" s="8"/>
      <c r="O667" s="8"/>
      <c r="P667" s="8"/>
      <c r="Q667" s="8"/>
    </row>
    <row r="668" ht="12.75" spans="1:17">
      <c r="A668" s="4"/>
      <c r="B668" s="12"/>
      <c r="C668" s="12"/>
      <c r="D668" s="17"/>
      <c r="E668" s="12"/>
      <c r="F668" s="3"/>
      <c r="G668" s="3"/>
      <c r="L668" s="8"/>
      <c r="M668" s="8"/>
      <c r="N668" s="8"/>
      <c r="O668" s="8"/>
      <c r="P668" s="8"/>
      <c r="Q668" s="8"/>
    </row>
    <row r="669" ht="12.75" spans="1:17">
      <c r="A669" s="4"/>
      <c r="B669" s="12"/>
      <c r="C669" s="12"/>
      <c r="D669" s="17"/>
      <c r="E669" s="12"/>
      <c r="F669" s="3"/>
      <c r="G669" s="3"/>
      <c r="L669" s="8"/>
      <c r="M669" s="8"/>
      <c r="N669" s="8"/>
      <c r="O669" s="8"/>
      <c r="P669" s="8"/>
      <c r="Q669" s="8"/>
    </row>
    <row r="670" ht="12.75" spans="1:17">
      <c r="A670" s="4"/>
      <c r="B670" s="12"/>
      <c r="C670" s="12"/>
      <c r="D670" s="17"/>
      <c r="E670" s="12"/>
      <c r="F670" s="3"/>
      <c r="G670" s="3"/>
      <c r="L670" s="8"/>
      <c r="M670" s="8"/>
      <c r="N670" s="8"/>
      <c r="O670" s="8"/>
      <c r="P670" s="8"/>
      <c r="Q670" s="8"/>
    </row>
    <row r="671" ht="12.75" spans="1:17">
      <c r="A671" s="4"/>
      <c r="B671" s="12"/>
      <c r="C671" s="12"/>
      <c r="D671" s="17"/>
      <c r="E671" s="12"/>
      <c r="F671" s="3"/>
      <c r="G671" s="3"/>
      <c r="L671" s="8"/>
      <c r="M671" s="8"/>
      <c r="N671" s="8"/>
      <c r="O671" s="8"/>
      <c r="P671" s="8"/>
      <c r="Q671" s="8"/>
    </row>
    <row r="672" ht="12.75" spans="1:17">
      <c r="A672" s="4"/>
      <c r="B672" s="12"/>
      <c r="C672" s="12"/>
      <c r="D672" s="17"/>
      <c r="E672" s="12"/>
      <c r="F672" s="3"/>
      <c r="G672" s="3"/>
      <c r="L672" s="8"/>
      <c r="M672" s="8"/>
      <c r="N672" s="8"/>
      <c r="O672" s="8"/>
      <c r="P672" s="8"/>
      <c r="Q672" s="8"/>
    </row>
    <row r="673" ht="12.75" spans="1:17">
      <c r="A673" s="4"/>
      <c r="B673" s="12"/>
      <c r="C673" s="12"/>
      <c r="D673" s="17"/>
      <c r="E673" s="12"/>
      <c r="F673" s="3"/>
      <c r="G673" s="3"/>
      <c r="L673" s="8"/>
      <c r="M673" s="8"/>
      <c r="N673" s="8"/>
      <c r="O673" s="8"/>
      <c r="P673" s="8"/>
      <c r="Q673" s="8"/>
    </row>
    <row r="674" ht="12.75" spans="1:17">
      <c r="A674" s="4"/>
      <c r="B674" s="12"/>
      <c r="C674" s="12"/>
      <c r="D674" s="17"/>
      <c r="E674" s="12"/>
      <c r="F674" s="3"/>
      <c r="G674" s="3"/>
      <c r="L674" s="8"/>
      <c r="M674" s="8"/>
      <c r="N674" s="8"/>
      <c r="O674" s="8"/>
      <c r="P674" s="8"/>
      <c r="Q674" s="8"/>
    </row>
    <row r="675" ht="12.75" spans="1:17">
      <c r="A675" s="4"/>
      <c r="B675" s="12"/>
      <c r="C675" s="12"/>
      <c r="D675" s="17"/>
      <c r="E675" s="12"/>
      <c r="F675" s="3"/>
      <c r="G675" s="3"/>
      <c r="L675" s="8"/>
      <c r="M675" s="8"/>
      <c r="N675" s="8"/>
      <c r="O675" s="8"/>
      <c r="P675" s="8"/>
      <c r="Q675" s="8"/>
    </row>
    <row r="676" ht="12.75" spans="1:17">
      <c r="A676" s="4"/>
      <c r="B676" s="12"/>
      <c r="C676" s="12"/>
      <c r="D676" s="17"/>
      <c r="E676" s="12"/>
      <c r="F676" s="3"/>
      <c r="G676" s="3"/>
      <c r="L676" s="8"/>
      <c r="M676" s="8"/>
      <c r="N676" s="8"/>
      <c r="O676" s="8"/>
      <c r="P676" s="8"/>
      <c r="Q676" s="8"/>
    </row>
    <row r="677" ht="12.75" spans="1:17">
      <c r="A677" s="4"/>
      <c r="B677" s="12"/>
      <c r="C677" s="12"/>
      <c r="D677" s="17"/>
      <c r="E677" s="12"/>
      <c r="F677" s="3"/>
      <c r="G677" s="3"/>
      <c r="L677" s="8"/>
      <c r="M677" s="8"/>
      <c r="N677" s="8"/>
      <c r="O677" s="8"/>
      <c r="P677" s="8"/>
      <c r="Q677" s="8"/>
    </row>
    <row r="678" ht="12.75" spans="1:17">
      <c r="A678" s="4"/>
      <c r="B678" s="12"/>
      <c r="C678" s="12"/>
      <c r="D678" s="17"/>
      <c r="E678" s="12"/>
      <c r="F678" s="3"/>
      <c r="G678" s="3"/>
      <c r="L678" s="8"/>
      <c r="M678" s="8"/>
      <c r="N678" s="8"/>
      <c r="O678" s="8"/>
      <c r="P678" s="8"/>
      <c r="Q678" s="8"/>
    </row>
    <row r="679" ht="12.75" spans="1:17">
      <c r="A679" s="4"/>
      <c r="B679" s="12"/>
      <c r="C679" s="12"/>
      <c r="D679" s="17"/>
      <c r="E679" s="12"/>
      <c r="F679" s="3"/>
      <c r="G679" s="3"/>
      <c r="L679" s="8"/>
      <c r="M679" s="8"/>
      <c r="N679" s="8"/>
      <c r="O679" s="8"/>
      <c r="P679" s="8"/>
      <c r="Q679" s="8"/>
    </row>
    <row r="680" ht="12.75" spans="1:17">
      <c r="A680" s="4"/>
      <c r="B680" s="12"/>
      <c r="C680" s="12"/>
      <c r="D680" s="17"/>
      <c r="E680" s="12"/>
      <c r="F680" s="3"/>
      <c r="G680" s="3"/>
      <c r="L680" s="8"/>
      <c r="M680" s="8"/>
      <c r="N680" s="8"/>
      <c r="O680" s="8"/>
      <c r="P680" s="8"/>
      <c r="Q680" s="8"/>
    </row>
    <row r="681" ht="12.75" spans="1:17">
      <c r="A681" s="4"/>
      <c r="B681" s="12"/>
      <c r="C681" s="12"/>
      <c r="D681" s="17"/>
      <c r="E681" s="12"/>
      <c r="F681" s="3"/>
      <c r="G681" s="3"/>
      <c r="L681" s="8"/>
      <c r="M681" s="8"/>
      <c r="N681" s="8"/>
      <c r="O681" s="8"/>
      <c r="P681" s="8"/>
      <c r="Q681" s="8"/>
    </row>
    <row r="682" ht="12.75" spans="1:17">
      <c r="A682" s="4"/>
      <c r="B682" s="12"/>
      <c r="C682" s="12"/>
      <c r="D682" s="17"/>
      <c r="E682" s="12"/>
      <c r="F682" s="3"/>
      <c r="G682" s="3"/>
      <c r="L682" s="8"/>
      <c r="M682" s="8"/>
      <c r="N682" s="8"/>
      <c r="O682" s="8"/>
      <c r="P682" s="8"/>
      <c r="Q682" s="8"/>
    </row>
    <row r="683" ht="12.75" spans="1:17">
      <c r="A683" s="4"/>
      <c r="B683" s="12"/>
      <c r="C683" s="12"/>
      <c r="D683" s="17"/>
      <c r="E683" s="12"/>
      <c r="F683" s="3"/>
      <c r="G683" s="3"/>
      <c r="L683" s="8"/>
      <c r="M683" s="8"/>
      <c r="N683" s="8"/>
      <c r="O683" s="8"/>
      <c r="P683" s="8"/>
      <c r="Q683" s="8"/>
    </row>
    <row r="684" ht="12.75" spans="1:17">
      <c r="A684" s="4"/>
      <c r="B684" s="12"/>
      <c r="C684" s="12"/>
      <c r="D684" s="17"/>
      <c r="E684" s="12"/>
      <c r="F684" s="3"/>
      <c r="G684" s="3"/>
      <c r="L684" s="8"/>
      <c r="M684" s="8"/>
      <c r="N684" s="8"/>
      <c r="O684" s="8"/>
      <c r="P684" s="8"/>
      <c r="Q684" s="8"/>
    </row>
    <row r="685" ht="12.75" spans="1:17">
      <c r="A685" s="4"/>
      <c r="B685" s="12"/>
      <c r="C685" s="12"/>
      <c r="D685" s="17"/>
      <c r="E685" s="12"/>
      <c r="F685" s="3"/>
      <c r="G685" s="3"/>
      <c r="L685" s="8"/>
      <c r="M685" s="8"/>
      <c r="N685" s="8"/>
      <c r="O685" s="8"/>
      <c r="P685" s="8"/>
      <c r="Q685" s="8"/>
    </row>
    <row r="686" ht="12.75" spans="1:17">
      <c r="A686" s="4"/>
      <c r="B686" s="12"/>
      <c r="C686" s="12"/>
      <c r="D686" s="17"/>
      <c r="E686" s="12"/>
      <c r="F686" s="3"/>
      <c r="G686" s="3"/>
      <c r="L686" s="8"/>
      <c r="M686" s="8"/>
      <c r="N686" s="8"/>
      <c r="O686" s="8"/>
      <c r="P686" s="8"/>
      <c r="Q686" s="8"/>
    </row>
    <row r="687" ht="12.75" spans="1:17">
      <c r="A687" s="4"/>
      <c r="B687" s="12"/>
      <c r="C687" s="12"/>
      <c r="D687" s="17"/>
      <c r="E687" s="12"/>
      <c r="F687" s="3"/>
      <c r="G687" s="3"/>
      <c r="L687" s="8"/>
      <c r="M687" s="8"/>
      <c r="N687" s="8"/>
      <c r="O687" s="8"/>
      <c r="P687" s="8"/>
      <c r="Q687" s="8"/>
    </row>
    <row r="688" ht="12.75" spans="1:17">
      <c r="A688" s="4"/>
      <c r="B688" s="12"/>
      <c r="C688" s="12"/>
      <c r="D688" s="17"/>
      <c r="E688" s="12"/>
      <c r="F688" s="3"/>
      <c r="G688" s="3"/>
      <c r="L688" s="8"/>
      <c r="M688" s="8"/>
      <c r="N688" s="8"/>
      <c r="O688" s="8"/>
      <c r="P688" s="8"/>
      <c r="Q688" s="8"/>
    </row>
    <row r="689" ht="12.75" spans="1:17">
      <c r="A689" s="4"/>
      <c r="B689" s="12"/>
      <c r="C689" s="12"/>
      <c r="D689" s="17"/>
      <c r="E689" s="12"/>
      <c r="F689" s="3"/>
      <c r="G689" s="3"/>
      <c r="L689" s="8"/>
      <c r="M689" s="8"/>
      <c r="N689" s="8"/>
      <c r="O689" s="8"/>
      <c r="P689" s="8"/>
      <c r="Q689" s="8"/>
    </row>
    <row r="690" ht="12.75" spans="1:17">
      <c r="A690" s="4"/>
      <c r="B690" s="12"/>
      <c r="C690" s="12"/>
      <c r="D690" s="17"/>
      <c r="E690" s="12"/>
      <c r="F690" s="3"/>
      <c r="G690" s="3"/>
      <c r="L690" s="8"/>
      <c r="M690" s="8"/>
      <c r="N690" s="8"/>
      <c r="O690" s="8"/>
      <c r="P690" s="8"/>
      <c r="Q690" s="8"/>
    </row>
    <row r="691" ht="12.75" spans="1:17">
      <c r="A691" s="4"/>
      <c r="B691" s="12"/>
      <c r="C691" s="12"/>
      <c r="D691" s="17"/>
      <c r="E691" s="12"/>
      <c r="F691" s="3"/>
      <c r="G691" s="3"/>
      <c r="L691" s="8"/>
      <c r="M691" s="8"/>
      <c r="N691" s="8"/>
      <c r="O691" s="8"/>
      <c r="P691" s="8"/>
      <c r="Q691" s="8"/>
    </row>
    <row r="692" ht="12.75" spans="1:17">
      <c r="A692" s="4"/>
      <c r="B692" s="12"/>
      <c r="C692" s="12"/>
      <c r="D692" s="17"/>
      <c r="E692" s="12"/>
      <c r="F692" s="3"/>
      <c r="G692" s="3"/>
      <c r="L692" s="8"/>
      <c r="M692" s="8"/>
      <c r="N692" s="8"/>
      <c r="O692" s="8"/>
      <c r="P692" s="8"/>
      <c r="Q692" s="8"/>
    </row>
    <row r="693" ht="12.75" spans="1:17">
      <c r="A693" s="4"/>
      <c r="B693" s="12"/>
      <c r="C693" s="12"/>
      <c r="D693" s="17"/>
      <c r="E693" s="12"/>
      <c r="F693" s="3"/>
      <c r="G693" s="3"/>
      <c r="L693" s="8"/>
      <c r="M693" s="8"/>
      <c r="N693" s="8"/>
      <c r="O693" s="8"/>
      <c r="P693" s="8"/>
      <c r="Q693" s="8"/>
    </row>
    <row r="694" ht="12.75" spans="1:17">
      <c r="A694" s="4"/>
      <c r="B694" s="12"/>
      <c r="C694" s="12"/>
      <c r="D694" s="17"/>
      <c r="E694" s="12"/>
      <c r="F694" s="3"/>
      <c r="G694" s="3"/>
      <c r="L694" s="8"/>
      <c r="M694" s="8"/>
      <c r="N694" s="8"/>
      <c r="O694" s="8"/>
      <c r="P694" s="8"/>
      <c r="Q694" s="8"/>
    </row>
    <row r="695" ht="12.75" spans="1:17">
      <c r="A695" s="4"/>
      <c r="B695" s="12"/>
      <c r="C695" s="12"/>
      <c r="D695" s="17"/>
      <c r="E695" s="12"/>
      <c r="F695" s="3"/>
      <c r="G695" s="3"/>
      <c r="L695" s="8"/>
      <c r="M695" s="8"/>
      <c r="N695" s="8"/>
      <c r="O695" s="8"/>
      <c r="P695" s="8"/>
      <c r="Q695" s="8"/>
    </row>
    <row r="696" ht="12.75" spans="1:17">
      <c r="A696" s="4"/>
      <c r="B696" s="12"/>
      <c r="C696" s="12"/>
      <c r="D696" s="17"/>
      <c r="E696" s="12"/>
      <c r="F696" s="3"/>
      <c r="G696" s="3"/>
      <c r="L696" s="8"/>
      <c r="M696" s="8"/>
      <c r="N696" s="8"/>
      <c r="O696" s="8"/>
      <c r="P696" s="8"/>
      <c r="Q696" s="8"/>
    </row>
    <row r="697" ht="12.75" spans="1:17">
      <c r="A697" s="4"/>
      <c r="B697" s="12"/>
      <c r="C697" s="12"/>
      <c r="D697" s="17"/>
      <c r="E697" s="12"/>
      <c r="F697" s="3"/>
      <c r="G697" s="3"/>
      <c r="L697" s="8"/>
      <c r="M697" s="8"/>
      <c r="N697" s="8"/>
      <c r="O697" s="8"/>
      <c r="P697" s="8"/>
      <c r="Q697" s="8"/>
    </row>
    <row r="698" ht="12.75" spans="1:17">
      <c r="A698" s="4"/>
      <c r="B698" s="12"/>
      <c r="C698" s="12"/>
      <c r="D698" s="17"/>
      <c r="E698" s="12"/>
      <c r="F698" s="3"/>
      <c r="G698" s="3"/>
      <c r="L698" s="8"/>
      <c r="M698" s="8"/>
      <c r="N698" s="8"/>
      <c r="O698" s="8"/>
      <c r="P698" s="8"/>
      <c r="Q698" s="8"/>
    </row>
    <row r="699" ht="12.75" spans="1:17">
      <c r="A699" s="4"/>
      <c r="B699" s="12"/>
      <c r="C699" s="12"/>
      <c r="D699" s="17"/>
      <c r="E699" s="12"/>
      <c r="F699" s="3"/>
      <c r="G699" s="3"/>
      <c r="L699" s="8"/>
      <c r="M699" s="8"/>
      <c r="N699" s="8"/>
      <c r="O699" s="8"/>
      <c r="P699" s="8"/>
      <c r="Q699" s="8"/>
    </row>
    <row r="700" ht="12.75" spans="1:17">
      <c r="A700" s="4"/>
      <c r="B700" s="12"/>
      <c r="C700" s="12"/>
      <c r="D700" s="17"/>
      <c r="E700" s="12"/>
      <c r="F700" s="3"/>
      <c r="G700" s="3"/>
      <c r="L700" s="8"/>
      <c r="M700" s="8"/>
      <c r="N700" s="8"/>
      <c r="O700" s="8"/>
      <c r="P700" s="8"/>
      <c r="Q700" s="8"/>
    </row>
    <row r="701" ht="12.75" spans="1:17">
      <c r="A701" s="4"/>
      <c r="B701" s="12"/>
      <c r="C701" s="12"/>
      <c r="D701" s="17"/>
      <c r="E701" s="12"/>
      <c r="F701" s="3"/>
      <c r="G701" s="3"/>
      <c r="L701" s="8"/>
      <c r="M701" s="8"/>
      <c r="N701" s="8"/>
      <c r="O701" s="8"/>
      <c r="P701" s="8"/>
      <c r="Q701" s="8"/>
    </row>
    <row r="702" ht="12.75" spans="1:17">
      <c r="A702" s="4"/>
      <c r="B702" s="12"/>
      <c r="C702" s="12"/>
      <c r="D702" s="17"/>
      <c r="E702" s="12"/>
      <c r="F702" s="3"/>
      <c r="G702" s="3"/>
      <c r="L702" s="8"/>
      <c r="M702" s="8"/>
      <c r="N702" s="8"/>
      <c r="O702" s="8"/>
      <c r="P702" s="8"/>
      <c r="Q702" s="8"/>
    </row>
    <row r="703" ht="12.75" spans="1:17">
      <c r="A703" s="4"/>
      <c r="B703" s="12"/>
      <c r="C703" s="12"/>
      <c r="D703" s="17"/>
      <c r="E703" s="12"/>
      <c r="F703" s="3"/>
      <c r="G703" s="3"/>
      <c r="L703" s="8"/>
      <c r="M703" s="8"/>
      <c r="N703" s="8"/>
      <c r="O703" s="8"/>
      <c r="P703" s="8"/>
      <c r="Q703" s="8"/>
    </row>
    <row r="704" ht="12.75" spans="1:17">
      <c r="A704" s="4"/>
      <c r="B704" s="12"/>
      <c r="C704" s="12"/>
      <c r="D704" s="17"/>
      <c r="E704" s="12"/>
      <c r="F704" s="3"/>
      <c r="G704" s="3"/>
      <c r="L704" s="8"/>
      <c r="M704" s="8"/>
      <c r="N704" s="8"/>
      <c r="O704" s="8"/>
      <c r="P704" s="8"/>
      <c r="Q704" s="8"/>
    </row>
    <row r="705" ht="12.75" spans="1:17">
      <c r="A705" s="4"/>
      <c r="B705" s="12"/>
      <c r="C705" s="12"/>
      <c r="D705" s="17"/>
      <c r="E705" s="12"/>
      <c r="F705" s="3"/>
      <c r="G705" s="3"/>
      <c r="L705" s="8"/>
      <c r="M705" s="8"/>
      <c r="N705" s="8"/>
      <c r="O705" s="8"/>
      <c r="P705" s="8"/>
      <c r="Q705" s="8"/>
    </row>
    <row r="706" ht="12.75" spans="1:17">
      <c r="A706" s="4"/>
      <c r="B706" s="12"/>
      <c r="C706" s="12"/>
      <c r="D706" s="17"/>
      <c r="E706" s="12"/>
      <c r="F706" s="3"/>
      <c r="G706" s="3"/>
      <c r="L706" s="8"/>
      <c r="M706" s="8"/>
      <c r="N706" s="8"/>
      <c r="O706" s="8"/>
      <c r="P706" s="8"/>
      <c r="Q706" s="8"/>
    </row>
    <row r="707" ht="12.75" spans="1:17">
      <c r="A707" s="4"/>
      <c r="B707" s="12"/>
      <c r="C707" s="12"/>
      <c r="D707" s="17"/>
      <c r="E707" s="12"/>
      <c r="F707" s="3"/>
      <c r="G707" s="3"/>
      <c r="L707" s="8"/>
      <c r="M707" s="8"/>
      <c r="N707" s="8"/>
      <c r="O707" s="8"/>
      <c r="P707" s="8"/>
      <c r="Q707" s="8"/>
    </row>
    <row r="708" ht="12.75" spans="1:17">
      <c r="A708" s="4"/>
      <c r="B708" s="12"/>
      <c r="C708" s="12"/>
      <c r="D708" s="17"/>
      <c r="E708" s="12"/>
      <c r="F708" s="3"/>
      <c r="G708" s="3"/>
      <c r="L708" s="8"/>
      <c r="M708" s="8"/>
      <c r="N708" s="8"/>
      <c r="O708" s="8"/>
      <c r="P708" s="8"/>
      <c r="Q708" s="8"/>
    </row>
    <row r="709" ht="12.75" spans="1:17">
      <c r="A709" s="4"/>
      <c r="B709" s="12"/>
      <c r="C709" s="12"/>
      <c r="D709" s="17"/>
      <c r="E709" s="12"/>
      <c r="F709" s="3"/>
      <c r="G709" s="3"/>
      <c r="L709" s="8"/>
      <c r="M709" s="8"/>
      <c r="N709" s="8"/>
      <c r="O709" s="8"/>
      <c r="P709" s="8"/>
      <c r="Q709" s="8"/>
    </row>
    <row r="710" ht="12.75" spans="1:17">
      <c r="A710" s="4"/>
      <c r="B710" s="12"/>
      <c r="C710" s="12"/>
      <c r="D710" s="17"/>
      <c r="E710" s="12"/>
      <c r="F710" s="3"/>
      <c r="G710" s="3"/>
      <c r="L710" s="8"/>
      <c r="M710" s="8"/>
      <c r="N710" s="8"/>
      <c r="O710" s="8"/>
      <c r="P710" s="8"/>
      <c r="Q710" s="8"/>
    </row>
    <row r="711" ht="12.75" spans="1:17">
      <c r="A711" s="4"/>
      <c r="B711" s="12"/>
      <c r="C711" s="12"/>
      <c r="D711" s="17"/>
      <c r="E711" s="12"/>
      <c r="F711" s="3"/>
      <c r="G711" s="3"/>
      <c r="L711" s="8"/>
      <c r="M711" s="8"/>
      <c r="N711" s="8"/>
      <c r="O711" s="8"/>
      <c r="P711" s="8"/>
      <c r="Q711" s="8"/>
    </row>
    <row r="712" ht="12.75" spans="1:17">
      <c r="A712" s="4"/>
      <c r="B712" s="12"/>
      <c r="C712" s="12"/>
      <c r="D712" s="17"/>
      <c r="E712" s="12"/>
      <c r="F712" s="3"/>
      <c r="G712" s="3"/>
      <c r="L712" s="8"/>
      <c r="M712" s="8"/>
      <c r="N712" s="8"/>
      <c r="O712" s="8"/>
      <c r="P712" s="8"/>
      <c r="Q712" s="8"/>
    </row>
    <row r="713" ht="12.75" spans="1:17">
      <c r="A713" s="4"/>
      <c r="B713" s="12"/>
      <c r="C713" s="12"/>
      <c r="D713" s="17"/>
      <c r="E713" s="12"/>
      <c r="F713" s="3"/>
      <c r="G713" s="3"/>
      <c r="L713" s="8"/>
      <c r="M713" s="8"/>
      <c r="N713" s="8"/>
      <c r="O713" s="8"/>
      <c r="P713" s="8"/>
      <c r="Q713" s="8"/>
    </row>
    <row r="714" ht="12.75" spans="1:17">
      <c r="A714" s="4"/>
      <c r="B714" s="12"/>
      <c r="C714" s="12"/>
      <c r="D714" s="17"/>
      <c r="E714" s="12"/>
      <c r="F714" s="3"/>
      <c r="G714" s="3"/>
      <c r="L714" s="8"/>
      <c r="M714" s="8"/>
      <c r="N714" s="8"/>
      <c r="O714" s="8"/>
      <c r="P714" s="8"/>
      <c r="Q714" s="8"/>
    </row>
    <row r="715" ht="12.75" spans="1:17">
      <c r="A715" s="4"/>
      <c r="B715" s="12"/>
      <c r="C715" s="12"/>
      <c r="D715" s="17"/>
      <c r="E715" s="12"/>
      <c r="F715" s="3"/>
      <c r="G715" s="3"/>
      <c r="L715" s="8"/>
      <c r="M715" s="8"/>
      <c r="N715" s="8"/>
      <c r="O715" s="8"/>
      <c r="P715" s="8"/>
      <c r="Q715" s="8"/>
    </row>
    <row r="716" ht="12.75" spans="1:17">
      <c r="A716" s="4"/>
      <c r="B716" s="12"/>
      <c r="C716" s="12"/>
      <c r="D716" s="17"/>
      <c r="E716" s="12"/>
      <c r="F716" s="3"/>
      <c r="G716" s="3"/>
      <c r="L716" s="8"/>
      <c r="M716" s="8"/>
      <c r="N716" s="8"/>
      <c r="O716" s="8"/>
      <c r="P716" s="8"/>
      <c r="Q716" s="8"/>
    </row>
    <row r="717" ht="12.75" spans="1:17">
      <c r="A717" s="4"/>
      <c r="B717" s="12"/>
      <c r="C717" s="12"/>
      <c r="D717" s="17"/>
      <c r="E717" s="12"/>
      <c r="F717" s="3"/>
      <c r="G717" s="3"/>
      <c r="L717" s="8"/>
      <c r="M717" s="8"/>
      <c r="N717" s="8"/>
      <c r="O717" s="8"/>
      <c r="P717" s="8"/>
      <c r="Q717" s="8"/>
    </row>
    <row r="718" ht="12.75" spans="1:17">
      <c r="A718" s="4"/>
      <c r="B718" s="12"/>
      <c r="C718" s="12"/>
      <c r="D718" s="17"/>
      <c r="E718" s="12"/>
      <c r="F718" s="3"/>
      <c r="G718" s="3"/>
      <c r="L718" s="8"/>
      <c r="M718" s="8"/>
      <c r="N718" s="8"/>
      <c r="O718" s="8"/>
      <c r="P718" s="8"/>
      <c r="Q718" s="8"/>
    </row>
    <row r="719" ht="12.75" spans="1:17">
      <c r="A719" s="4"/>
      <c r="B719" s="12"/>
      <c r="C719" s="12"/>
      <c r="D719" s="17"/>
      <c r="E719" s="12"/>
      <c r="F719" s="3"/>
      <c r="G719" s="3"/>
      <c r="L719" s="8"/>
      <c r="M719" s="8"/>
      <c r="N719" s="8"/>
      <c r="O719" s="8"/>
      <c r="P719" s="8"/>
      <c r="Q719" s="8"/>
    </row>
    <row r="720" ht="12.75" spans="1:17">
      <c r="A720" s="4"/>
      <c r="B720" s="12"/>
      <c r="C720" s="12"/>
      <c r="D720" s="17"/>
      <c r="E720" s="12"/>
      <c r="F720" s="3"/>
      <c r="G720" s="3"/>
      <c r="L720" s="8"/>
      <c r="M720" s="8"/>
      <c r="N720" s="8"/>
      <c r="O720" s="8"/>
      <c r="P720" s="8"/>
      <c r="Q720" s="8"/>
    </row>
    <row r="721" ht="12.75" spans="1:17">
      <c r="A721" s="4"/>
      <c r="B721" s="12"/>
      <c r="C721" s="12"/>
      <c r="D721" s="17"/>
      <c r="E721" s="12"/>
      <c r="F721" s="3"/>
      <c r="G721" s="3"/>
      <c r="L721" s="8"/>
      <c r="M721" s="8"/>
      <c r="N721" s="8"/>
      <c r="O721" s="8"/>
      <c r="P721" s="8"/>
      <c r="Q721" s="8"/>
    </row>
    <row r="722" ht="12.75" spans="1:17">
      <c r="A722" s="4"/>
      <c r="B722" s="12"/>
      <c r="C722" s="12"/>
      <c r="D722" s="17"/>
      <c r="E722" s="12"/>
      <c r="F722" s="3"/>
      <c r="G722" s="3"/>
      <c r="L722" s="8"/>
      <c r="M722" s="8"/>
      <c r="N722" s="8"/>
      <c r="O722" s="8"/>
      <c r="P722" s="8"/>
      <c r="Q722" s="8"/>
    </row>
    <row r="723" ht="12.75" spans="1:17">
      <c r="A723" s="4"/>
      <c r="B723" s="12"/>
      <c r="C723" s="12"/>
      <c r="D723" s="17"/>
      <c r="E723" s="12"/>
      <c r="F723" s="3"/>
      <c r="G723" s="3"/>
      <c r="L723" s="8"/>
      <c r="M723" s="8"/>
      <c r="N723" s="8"/>
      <c r="O723" s="8"/>
      <c r="P723" s="8"/>
      <c r="Q723" s="8"/>
    </row>
    <row r="724" ht="12.75" spans="1:17">
      <c r="A724" s="4"/>
      <c r="B724" s="12"/>
      <c r="C724" s="12"/>
      <c r="D724" s="17"/>
      <c r="E724" s="12"/>
      <c r="F724" s="3"/>
      <c r="G724" s="3"/>
      <c r="L724" s="8"/>
      <c r="M724" s="8"/>
      <c r="N724" s="8"/>
      <c r="O724" s="8"/>
      <c r="P724" s="8"/>
      <c r="Q724" s="8"/>
    </row>
    <row r="725" ht="12.75" spans="1:17">
      <c r="A725" s="4"/>
      <c r="B725" s="12"/>
      <c r="C725" s="12"/>
      <c r="D725" s="17"/>
      <c r="E725" s="12"/>
      <c r="F725" s="3"/>
      <c r="G725" s="3"/>
      <c r="L725" s="8"/>
      <c r="M725" s="8"/>
      <c r="N725" s="8"/>
      <c r="O725" s="8"/>
      <c r="P725" s="8"/>
      <c r="Q725" s="8"/>
    </row>
    <row r="726" ht="12.75" spans="1:17">
      <c r="A726" s="4"/>
      <c r="B726" s="12"/>
      <c r="C726" s="12"/>
      <c r="D726" s="17"/>
      <c r="E726" s="12"/>
      <c r="F726" s="3"/>
      <c r="G726" s="3"/>
      <c r="L726" s="8"/>
      <c r="M726" s="8"/>
      <c r="N726" s="8"/>
      <c r="O726" s="8"/>
      <c r="P726" s="8"/>
      <c r="Q726" s="8"/>
    </row>
    <row r="727" ht="12.75" spans="1:17">
      <c r="A727" s="4"/>
      <c r="B727" s="12"/>
      <c r="C727" s="12"/>
      <c r="D727" s="17"/>
      <c r="E727" s="12"/>
      <c r="F727" s="3"/>
      <c r="G727" s="3"/>
      <c r="L727" s="8"/>
      <c r="M727" s="8"/>
      <c r="N727" s="8"/>
      <c r="O727" s="8"/>
      <c r="P727" s="8"/>
      <c r="Q727" s="8"/>
    </row>
    <row r="728" ht="12.75" spans="1:17">
      <c r="A728" s="4"/>
      <c r="B728" s="12"/>
      <c r="C728" s="12"/>
      <c r="D728" s="17"/>
      <c r="E728" s="12"/>
      <c r="F728" s="3"/>
      <c r="G728" s="3"/>
      <c r="L728" s="8"/>
      <c r="M728" s="8"/>
      <c r="N728" s="8"/>
      <c r="O728" s="8"/>
      <c r="P728" s="8"/>
      <c r="Q728" s="8"/>
    </row>
    <row r="729" ht="12.75" spans="1:17">
      <c r="A729" s="4"/>
      <c r="B729" s="12"/>
      <c r="C729" s="12"/>
      <c r="D729" s="17"/>
      <c r="E729" s="12"/>
      <c r="F729" s="3"/>
      <c r="G729" s="3"/>
      <c r="L729" s="8"/>
      <c r="M729" s="8"/>
      <c r="N729" s="8"/>
      <c r="O729" s="8"/>
      <c r="P729" s="8"/>
      <c r="Q729" s="8"/>
    </row>
    <row r="730" ht="12.75" spans="1:17">
      <c r="A730" s="4"/>
      <c r="B730" s="12"/>
      <c r="C730" s="12"/>
      <c r="D730" s="17"/>
      <c r="E730" s="12"/>
      <c r="F730" s="3"/>
      <c r="G730" s="3"/>
      <c r="L730" s="8"/>
      <c r="M730" s="8"/>
      <c r="N730" s="8"/>
      <c r="O730" s="8"/>
      <c r="P730" s="8"/>
      <c r="Q730" s="8"/>
    </row>
    <row r="731" ht="12.75" spans="1:17">
      <c r="A731" s="4"/>
      <c r="B731" s="12"/>
      <c r="C731" s="12"/>
      <c r="D731" s="17"/>
      <c r="E731" s="12"/>
      <c r="F731" s="3"/>
      <c r="G731" s="3"/>
      <c r="L731" s="8"/>
      <c r="M731" s="8"/>
      <c r="N731" s="8"/>
      <c r="O731" s="8"/>
      <c r="P731" s="8"/>
      <c r="Q731" s="8"/>
    </row>
    <row r="732" ht="12.75" spans="1:17">
      <c r="A732" s="4"/>
      <c r="B732" s="12"/>
      <c r="C732" s="12"/>
      <c r="D732" s="17"/>
      <c r="E732" s="12"/>
      <c r="F732" s="3"/>
      <c r="G732" s="3"/>
      <c r="L732" s="8"/>
      <c r="M732" s="8"/>
      <c r="N732" s="8"/>
      <c r="O732" s="8"/>
      <c r="P732" s="8"/>
      <c r="Q732" s="8"/>
    </row>
    <row r="733" ht="12.75" spans="1:17">
      <c r="A733" s="4"/>
      <c r="B733" s="12"/>
      <c r="C733" s="12"/>
      <c r="D733" s="17"/>
      <c r="E733" s="12"/>
      <c r="F733" s="3"/>
      <c r="G733" s="3"/>
      <c r="L733" s="8"/>
      <c r="M733" s="8"/>
      <c r="N733" s="8"/>
      <c r="O733" s="8"/>
      <c r="P733" s="8"/>
      <c r="Q733" s="8"/>
    </row>
    <row r="734" ht="12.75" spans="1:17">
      <c r="A734" s="4"/>
      <c r="B734" s="12"/>
      <c r="C734" s="12"/>
      <c r="D734" s="17"/>
      <c r="E734" s="12"/>
      <c r="F734" s="3"/>
      <c r="G734" s="3"/>
      <c r="L734" s="8"/>
      <c r="M734" s="8"/>
      <c r="N734" s="8"/>
      <c r="O734" s="8"/>
      <c r="P734" s="8"/>
      <c r="Q734" s="8"/>
    </row>
    <row r="735" ht="12.75" spans="1:17">
      <c r="A735" s="4"/>
      <c r="B735" s="12"/>
      <c r="C735" s="12"/>
      <c r="D735" s="17"/>
      <c r="E735" s="12"/>
      <c r="F735" s="3"/>
      <c r="G735" s="3"/>
      <c r="L735" s="8"/>
      <c r="M735" s="8"/>
      <c r="N735" s="8"/>
      <c r="O735" s="8"/>
      <c r="P735" s="8"/>
      <c r="Q735" s="8"/>
    </row>
    <row r="736" ht="12.75" spans="1:17">
      <c r="A736" s="4"/>
      <c r="B736" s="12"/>
      <c r="C736" s="12"/>
      <c r="D736" s="17"/>
      <c r="E736" s="12"/>
      <c r="F736" s="3"/>
      <c r="G736" s="3"/>
      <c r="L736" s="8"/>
      <c r="M736" s="8"/>
      <c r="N736" s="8"/>
      <c r="O736" s="8"/>
      <c r="P736" s="8"/>
      <c r="Q736" s="8"/>
    </row>
    <row r="737" ht="12.75" spans="1:17">
      <c r="A737" s="4"/>
      <c r="B737" s="12"/>
      <c r="C737" s="12"/>
      <c r="D737" s="17"/>
      <c r="E737" s="12"/>
      <c r="F737" s="3"/>
      <c r="G737" s="3"/>
      <c r="L737" s="8"/>
      <c r="M737" s="8"/>
      <c r="N737" s="8"/>
      <c r="O737" s="8"/>
      <c r="P737" s="8"/>
      <c r="Q737" s="8"/>
    </row>
    <row r="738" ht="12.75" spans="1:17">
      <c r="A738" s="4"/>
      <c r="B738" s="12"/>
      <c r="C738" s="12"/>
      <c r="D738" s="17"/>
      <c r="E738" s="12"/>
      <c r="F738" s="3"/>
      <c r="G738" s="3"/>
      <c r="L738" s="8"/>
      <c r="M738" s="8"/>
      <c r="N738" s="8"/>
      <c r="O738" s="8"/>
      <c r="P738" s="8"/>
      <c r="Q738" s="8"/>
    </row>
    <row r="739" ht="12.75" spans="1:17">
      <c r="A739" s="4"/>
      <c r="B739" s="12"/>
      <c r="C739" s="12"/>
      <c r="D739" s="17"/>
      <c r="E739" s="12"/>
      <c r="F739" s="3"/>
      <c r="G739" s="3"/>
      <c r="L739" s="8"/>
      <c r="M739" s="8"/>
      <c r="N739" s="8"/>
      <c r="O739" s="8"/>
      <c r="P739" s="8"/>
      <c r="Q739" s="8"/>
    </row>
    <row r="740" ht="12.75" spans="1:17">
      <c r="A740" s="4"/>
      <c r="B740" s="12"/>
      <c r="C740" s="12"/>
      <c r="D740" s="17"/>
      <c r="E740" s="12"/>
      <c r="F740" s="3"/>
      <c r="G740" s="3"/>
      <c r="L740" s="8"/>
      <c r="M740" s="8"/>
      <c r="N740" s="8"/>
      <c r="O740" s="8"/>
      <c r="P740" s="8"/>
      <c r="Q740" s="8"/>
    </row>
    <row r="741" ht="12.75" spans="1:17">
      <c r="A741" s="4"/>
      <c r="B741" s="12"/>
      <c r="C741" s="12"/>
      <c r="D741" s="17"/>
      <c r="E741" s="12"/>
      <c r="F741" s="3"/>
      <c r="G741" s="3"/>
      <c r="L741" s="8"/>
      <c r="M741" s="8"/>
      <c r="N741" s="8"/>
      <c r="O741" s="8"/>
      <c r="P741" s="8"/>
      <c r="Q741" s="8"/>
    </row>
    <row r="742" ht="12.75" spans="1:17">
      <c r="A742" s="4"/>
      <c r="B742" s="12"/>
      <c r="C742" s="12"/>
      <c r="D742" s="17"/>
      <c r="E742" s="12"/>
      <c r="F742" s="3"/>
      <c r="G742" s="3"/>
      <c r="L742" s="8"/>
      <c r="M742" s="8"/>
      <c r="N742" s="8"/>
      <c r="O742" s="8"/>
      <c r="P742" s="8"/>
      <c r="Q742" s="8"/>
    </row>
    <row r="743" ht="12.75" spans="1:17">
      <c r="A743" s="4"/>
      <c r="B743" s="12"/>
      <c r="C743" s="12"/>
      <c r="D743" s="17"/>
      <c r="E743" s="12"/>
      <c r="F743" s="3"/>
      <c r="G743" s="3"/>
      <c r="L743" s="8"/>
      <c r="M743" s="8"/>
      <c r="N743" s="8"/>
      <c r="O743" s="8"/>
      <c r="P743" s="8"/>
      <c r="Q743" s="8"/>
    </row>
    <row r="744" ht="12.75" spans="1:17">
      <c r="A744" s="4"/>
      <c r="B744" s="12"/>
      <c r="C744" s="12"/>
      <c r="D744" s="17"/>
      <c r="E744" s="12"/>
      <c r="F744" s="3"/>
      <c r="G744" s="3"/>
      <c r="L744" s="8"/>
      <c r="M744" s="8"/>
      <c r="N744" s="8"/>
      <c r="O744" s="8"/>
      <c r="P744" s="8"/>
      <c r="Q744" s="8"/>
    </row>
    <row r="745" ht="12.75" spans="1:17">
      <c r="A745" s="4"/>
      <c r="B745" s="12"/>
      <c r="C745" s="12"/>
      <c r="D745" s="17"/>
      <c r="E745" s="12"/>
      <c r="F745" s="3"/>
      <c r="G745" s="3"/>
      <c r="L745" s="8"/>
      <c r="M745" s="8"/>
      <c r="N745" s="8"/>
      <c r="O745" s="8"/>
      <c r="P745" s="8"/>
      <c r="Q745" s="8"/>
    </row>
    <row r="746" ht="12.75" spans="1:17">
      <c r="A746" s="4"/>
      <c r="B746" s="12"/>
      <c r="C746" s="12"/>
      <c r="D746" s="17"/>
      <c r="E746" s="12"/>
      <c r="F746" s="3"/>
      <c r="G746" s="3"/>
      <c r="L746" s="8"/>
      <c r="M746" s="8"/>
      <c r="N746" s="8"/>
      <c r="O746" s="8"/>
      <c r="P746" s="8"/>
      <c r="Q746" s="8"/>
    </row>
    <row r="747" ht="12.75" spans="1:17">
      <c r="A747" s="4"/>
      <c r="B747" s="12"/>
      <c r="C747" s="12"/>
      <c r="D747" s="17"/>
      <c r="E747" s="12"/>
      <c r="F747" s="3"/>
      <c r="G747" s="3"/>
      <c r="L747" s="8"/>
      <c r="M747" s="8"/>
      <c r="N747" s="8"/>
      <c r="O747" s="8"/>
      <c r="P747" s="8"/>
      <c r="Q747" s="8"/>
    </row>
    <row r="748" ht="12.75" spans="1:17">
      <c r="A748" s="4"/>
      <c r="B748" s="12"/>
      <c r="C748" s="12"/>
      <c r="D748" s="17"/>
      <c r="E748" s="12"/>
      <c r="F748" s="3"/>
      <c r="G748" s="3"/>
      <c r="L748" s="8"/>
      <c r="M748" s="8"/>
      <c r="N748" s="8"/>
      <c r="O748" s="8"/>
      <c r="P748" s="8"/>
      <c r="Q748" s="8"/>
    </row>
    <row r="749" ht="12.75" spans="1:17">
      <c r="A749" s="4"/>
      <c r="B749" s="12"/>
      <c r="C749" s="12"/>
      <c r="D749" s="17"/>
      <c r="E749" s="12"/>
      <c r="F749" s="3"/>
      <c r="G749" s="3"/>
      <c r="L749" s="8"/>
      <c r="M749" s="8"/>
      <c r="N749" s="8"/>
      <c r="O749" s="8"/>
      <c r="P749" s="8"/>
      <c r="Q749" s="8"/>
    </row>
    <row r="750" ht="12.75" spans="1:17">
      <c r="A750" s="4"/>
      <c r="B750" s="12"/>
      <c r="C750" s="12"/>
      <c r="D750" s="17"/>
      <c r="E750" s="12"/>
      <c r="F750" s="3"/>
      <c r="G750" s="3"/>
      <c r="L750" s="8"/>
      <c r="M750" s="8"/>
      <c r="N750" s="8"/>
      <c r="O750" s="8"/>
      <c r="P750" s="8"/>
      <c r="Q750" s="8"/>
    </row>
    <row r="751" ht="12.75" spans="1:17">
      <c r="A751" s="4"/>
      <c r="B751" s="12"/>
      <c r="C751" s="12"/>
      <c r="D751" s="17"/>
      <c r="E751" s="12"/>
      <c r="F751" s="3"/>
      <c r="G751" s="3"/>
      <c r="L751" s="8"/>
      <c r="M751" s="8"/>
      <c r="N751" s="8"/>
      <c r="O751" s="8"/>
      <c r="P751" s="8"/>
      <c r="Q751" s="8"/>
    </row>
    <row r="752" ht="12.75" spans="1:17">
      <c r="A752" s="4"/>
      <c r="B752" s="12"/>
      <c r="C752" s="12"/>
      <c r="D752" s="17"/>
      <c r="E752" s="12"/>
      <c r="F752" s="3"/>
      <c r="G752" s="3"/>
      <c r="L752" s="8"/>
      <c r="M752" s="8"/>
      <c r="N752" s="8"/>
      <c r="O752" s="8"/>
      <c r="P752" s="8"/>
      <c r="Q752" s="8"/>
    </row>
    <row r="753" ht="12.75" spans="1:17">
      <c r="A753" s="4"/>
      <c r="B753" s="12"/>
      <c r="C753" s="12"/>
      <c r="D753" s="17"/>
      <c r="E753" s="12"/>
      <c r="F753" s="3"/>
      <c r="G753" s="3"/>
      <c r="L753" s="8"/>
      <c r="M753" s="8"/>
      <c r="N753" s="8"/>
      <c r="O753" s="8"/>
      <c r="P753" s="8"/>
      <c r="Q753" s="8"/>
    </row>
    <row r="754" ht="12.75" spans="1:17">
      <c r="A754" s="4"/>
      <c r="B754" s="12"/>
      <c r="C754" s="12"/>
      <c r="D754" s="17"/>
      <c r="E754" s="12"/>
      <c r="F754" s="3"/>
      <c r="G754" s="3"/>
      <c r="L754" s="8"/>
      <c r="M754" s="8"/>
      <c r="N754" s="8"/>
      <c r="O754" s="8"/>
      <c r="P754" s="8"/>
      <c r="Q754" s="8"/>
    </row>
    <row r="755" ht="12.75" spans="1:17">
      <c r="A755" s="4"/>
      <c r="B755" s="12"/>
      <c r="C755" s="12"/>
      <c r="D755" s="17"/>
      <c r="E755" s="12"/>
      <c r="F755" s="3"/>
      <c r="G755" s="3"/>
      <c r="L755" s="8"/>
      <c r="M755" s="8"/>
      <c r="N755" s="8"/>
      <c r="O755" s="8"/>
      <c r="P755" s="8"/>
      <c r="Q755" s="8"/>
    </row>
    <row r="756" ht="12.75" spans="1:17">
      <c r="A756" s="4"/>
      <c r="B756" s="12"/>
      <c r="C756" s="12"/>
      <c r="D756" s="17"/>
      <c r="E756" s="12"/>
      <c r="F756" s="3"/>
      <c r="G756" s="3"/>
      <c r="L756" s="8"/>
      <c r="M756" s="8"/>
      <c r="N756" s="8"/>
      <c r="O756" s="8"/>
      <c r="P756" s="8"/>
      <c r="Q756" s="8"/>
    </row>
    <row r="757" ht="12.75" spans="1:17">
      <c r="A757" s="4"/>
      <c r="B757" s="12"/>
      <c r="C757" s="12"/>
      <c r="D757" s="17"/>
      <c r="E757" s="12"/>
      <c r="F757" s="3"/>
      <c r="G757" s="3"/>
      <c r="L757" s="8"/>
      <c r="M757" s="8"/>
      <c r="N757" s="8"/>
      <c r="O757" s="8"/>
      <c r="P757" s="8"/>
      <c r="Q757" s="8"/>
    </row>
    <row r="758" ht="12.75" spans="1:17">
      <c r="A758" s="4"/>
      <c r="B758" s="12"/>
      <c r="C758" s="12"/>
      <c r="D758" s="17"/>
      <c r="E758" s="12"/>
      <c r="F758" s="3"/>
      <c r="G758" s="3"/>
      <c r="L758" s="8"/>
      <c r="M758" s="8"/>
      <c r="N758" s="8"/>
      <c r="O758" s="8"/>
      <c r="P758" s="8"/>
      <c r="Q758" s="8"/>
    </row>
    <row r="759" ht="12.75" spans="1:17">
      <c r="A759" s="4"/>
      <c r="B759" s="12"/>
      <c r="C759" s="12"/>
      <c r="D759" s="17"/>
      <c r="E759" s="12"/>
      <c r="F759" s="3"/>
      <c r="G759" s="3"/>
      <c r="L759" s="8"/>
      <c r="M759" s="8"/>
      <c r="N759" s="8"/>
      <c r="O759" s="8"/>
      <c r="P759" s="8"/>
      <c r="Q759" s="8"/>
    </row>
    <row r="760" ht="12.75" spans="1:17">
      <c r="A760" s="4"/>
      <c r="B760" s="12"/>
      <c r="C760" s="12"/>
      <c r="D760" s="17"/>
      <c r="E760" s="12"/>
      <c r="F760" s="3"/>
      <c r="G760" s="3"/>
      <c r="L760" s="8"/>
      <c r="M760" s="8"/>
      <c r="N760" s="8"/>
      <c r="O760" s="8"/>
      <c r="P760" s="8"/>
      <c r="Q760" s="8"/>
    </row>
    <row r="761" ht="12.75" spans="1:17">
      <c r="A761" s="4"/>
      <c r="B761" s="12"/>
      <c r="C761" s="12"/>
      <c r="D761" s="17"/>
      <c r="E761" s="12"/>
      <c r="F761" s="3"/>
      <c r="G761" s="3"/>
      <c r="L761" s="8"/>
      <c r="M761" s="8"/>
      <c r="N761" s="8"/>
      <c r="O761" s="8"/>
      <c r="P761" s="8"/>
      <c r="Q761" s="8"/>
    </row>
    <row r="762" ht="12.75" spans="1:17">
      <c r="A762" s="4"/>
      <c r="B762" s="12"/>
      <c r="C762" s="12"/>
      <c r="D762" s="17"/>
      <c r="E762" s="12"/>
      <c r="F762" s="3"/>
      <c r="G762" s="3"/>
      <c r="L762" s="8"/>
      <c r="M762" s="8"/>
      <c r="N762" s="8"/>
      <c r="O762" s="8"/>
      <c r="P762" s="8"/>
      <c r="Q762" s="8"/>
    </row>
    <row r="763" ht="12.75" spans="1:17">
      <c r="A763" s="4"/>
      <c r="B763" s="12"/>
      <c r="C763" s="12"/>
      <c r="D763" s="17"/>
      <c r="E763" s="12"/>
      <c r="F763" s="3"/>
      <c r="G763" s="3"/>
      <c r="L763" s="8"/>
      <c r="M763" s="8"/>
      <c r="N763" s="8"/>
      <c r="O763" s="8"/>
      <c r="P763" s="8"/>
      <c r="Q763" s="8"/>
    </row>
    <row r="764" ht="12.75" spans="1:17">
      <c r="A764" s="4"/>
      <c r="B764" s="12"/>
      <c r="C764" s="12"/>
      <c r="D764" s="17"/>
      <c r="E764" s="12"/>
      <c r="F764" s="3"/>
      <c r="G764" s="3"/>
      <c r="L764" s="8"/>
      <c r="M764" s="8"/>
      <c r="N764" s="8"/>
      <c r="O764" s="8"/>
      <c r="P764" s="8"/>
      <c r="Q764" s="8"/>
    </row>
    <row r="765" ht="12.75" spans="1:17">
      <c r="A765" s="4"/>
      <c r="B765" s="12"/>
      <c r="C765" s="12"/>
      <c r="D765" s="17"/>
      <c r="E765" s="12"/>
      <c r="F765" s="3"/>
      <c r="G765" s="3"/>
      <c r="L765" s="8"/>
      <c r="M765" s="8"/>
      <c r="N765" s="8"/>
      <c r="O765" s="8"/>
      <c r="P765" s="8"/>
      <c r="Q765" s="8"/>
    </row>
    <row r="766" ht="12.75" spans="1:17">
      <c r="A766" s="4"/>
      <c r="B766" s="12"/>
      <c r="C766" s="12"/>
      <c r="D766" s="17"/>
      <c r="E766" s="12"/>
      <c r="F766" s="3"/>
      <c r="G766" s="3"/>
      <c r="L766" s="8"/>
      <c r="M766" s="8"/>
      <c r="N766" s="8"/>
      <c r="O766" s="8"/>
      <c r="P766" s="8"/>
      <c r="Q766" s="8"/>
    </row>
    <row r="767" ht="12.75" spans="1:17">
      <c r="A767" s="4"/>
      <c r="B767" s="12"/>
      <c r="C767" s="12"/>
      <c r="D767" s="17"/>
      <c r="E767" s="12"/>
      <c r="F767" s="3"/>
      <c r="G767" s="3"/>
      <c r="L767" s="8"/>
      <c r="M767" s="8"/>
      <c r="N767" s="8"/>
      <c r="O767" s="8"/>
      <c r="P767" s="8"/>
      <c r="Q767" s="8"/>
    </row>
    <row r="768" ht="12.75" spans="1:17">
      <c r="A768" s="4"/>
      <c r="B768" s="12"/>
      <c r="C768" s="12"/>
      <c r="D768" s="17"/>
      <c r="E768" s="12"/>
      <c r="F768" s="3"/>
      <c r="G768" s="3"/>
      <c r="L768" s="8"/>
      <c r="M768" s="8"/>
      <c r="N768" s="8"/>
      <c r="O768" s="8"/>
      <c r="P768" s="8"/>
      <c r="Q768" s="8"/>
    </row>
    <row r="769" ht="12.75" spans="1:17">
      <c r="A769" s="4"/>
      <c r="B769" s="12"/>
      <c r="C769" s="12"/>
      <c r="D769" s="17"/>
      <c r="E769" s="12"/>
      <c r="F769" s="3"/>
      <c r="G769" s="3"/>
      <c r="L769" s="8"/>
      <c r="M769" s="8"/>
      <c r="N769" s="8"/>
      <c r="O769" s="8"/>
      <c r="P769" s="8"/>
      <c r="Q769" s="8"/>
    </row>
    <row r="770" ht="12.75" spans="1:17">
      <c r="A770" s="4"/>
      <c r="B770" s="12"/>
      <c r="C770" s="12"/>
      <c r="D770" s="17"/>
      <c r="E770" s="12"/>
      <c r="F770" s="3"/>
      <c r="G770" s="3"/>
      <c r="L770" s="8"/>
      <c r="M770" s="8"/>
      <c r="N770" s="8"/>
      <c r="O770" s="8"/>
      <c r="P770" s="8"/>
      <c r="Q770" s="8"/>
    </row>
    <row r="771" ht="12.75" spans="1:17">
      <c r="A771" s="4"/>
      <c r="B771" s="12"/>
      <c r="C771" s="12"/>
      <c r="D771" s="17"/>
      <c r="E771" s="12"/>
      <c r="F771" s="3"/>
      <c r="G771" s="3"/>
      <c r="L771" s="8"/>
      <c r="M771" s="8"/>
      <c r="N771" s="8"/>
      <c r="O771" s="8"/>
      <c r="P771" s="8"/>
      <c r="Q771" s="8"/>
    </row>
    <row r="772" ht="12.75" spans="1:17">
      <c r="A772" s="4"/>
      <c r="B772" s="12"/>
      <c r="C772" s="12"/>
      <c r="D772" s="17"/>
      <c r="E772" s="12"/>
      <c r="F772" s="3"/>
      <c r="G772" s="3"/>
      <c r="L772" s="8"/>
      <c r="M772" s="8"/>
      <c r="N772" s="8"/>
      <c r="O772" s="8"/>
      <c r="P772" s="8"/>
      <c r="Q772" s="8"/>
    </row>
    <row r="773" ht="12.75" spans="1:17">
      <c r="A773" s="4"/>
      <c r="B773" s="12"/>
      <c r="C773" s="12"/>
      <c r="D773" s="17"/>
      <c r="E773" s="12"/>
      <c r="F773" s="3"/>
      <c r="G773" s="3"/>
      <c r="L773" s="8"/>
      <c r="M773" s="8"/>
      <c r="N773" s="8"/>
      <c r="O773" s="8"/>
      <c r="P773" s="8"/>
      <c r="Q773" s="8"/>
    </row>
    <row r="774" ht="12.75" spans="1:17">
      <c r="A774" s="4"/>
      <c r="B774" s="12"/>
      <c r="C774" s="12"/>
      <c r="D774" s="17"/>
      <c r="E774" s="12"/>
      <c r="F774" s="3"/>
      <c r="G774" s="3"/>
      <c r="L774" s="8"/>
      <c r="M774" s="8"/>
      <c r="N774" s="8"/>
      <c r="O774" s="8"/>
      <c r="P774" s="8"/>
      <c r="Q774" s="8"/>
    </row>
    <row r="775" ht="12.75" spans="1:17">
      <c r="A775" s="4"/>
      <c r="B775" s="12"/>
      <c r="C775" s="12"/>
      <c r="D775" s="17"/>
      <c r="E775" s="12"/>
      <c r="F775" s="3"/>
      <c r="G775" s="3"/>
      <c r="L775" s="8"/>
      <c r="M775" s="8"/>
      <c r="N775" s="8"/>
      <c r="O775" s="8"/>
      <c r="P775" s="8"/>
      <c r="Q775" s="8"/>
    </row>
    <row r="776" ht="12.75" spans="1:17">
      <c r="A776" s="4"/>
      <c r="B776" s="12"/>
      <c r="C776" s="12"/>
      <c r="D776" s="17"/>
      <c r="E776" s="12"/>
      <c r="F776" s="3"/>
      <c r="G776" s="3"/>
      <c r="L776" s="8"/>
      <c r="M776" s="8"/>
      <c r="N776" s="8"/>
      <c r="O776" s="8"/>
      <c r="P776" s="8"/>
      <c r="Q776" s="8"/>
    </row>
    <row r="777" ht="12.75" spans="1:17">
      <c r="A777" s="4"/>
      <c r="B777" s="12"/>
      <c r="C777" s="12"/>
      <c r="D777" s="17"/>
      <c r="E777" s="12"/>
      <c r="F777" s="3"/>
      <c r="G777" s="3"/>
      <c r="L777" s="8"/>
      <c r="M777" s="8"/>
      <c r="N777" s="8"/>
      <c r="O777" s="8"/>
      <c r="P777" s="8"/>
      <c r="Q777" s="8"/>
    </row>
    <row r="778" ht="12.75" spans="1:17">
      <c r="A778" s="4"/>
      <c r="B778" s="12"/>
      <c r="C778" s="12"/>
      <c r="D778" s="17"/>
      <c r="E778" s="12"/>
      <c r="F778" s="3"/>
      <c r="G778" s="3"/>
      <c r="L778" s="8"/>
      <c r="M778" s="8"/>
      <c r="N778" s="8"/>
      <c r="O778" s="8"/>
      <c r="P778" s="8"/>
      <c r="Q778" s="8"/>
    </row>
    <row r="779" ht="12.75" spans="1:17">
      <c r="A779" s="4"/>
      <c r="B779" s="12"/>
      <c r="C779" s="12"/>
      <c r="D779" s="17"/>
      <c r="E779" s="12"/>
      <c r="F779" s="3"/>
      <c r="G779" s="3"/>
      <c r="L779" s="8"/>
      <c r="M779" s="8"/>
      <c r="N779" s="8"/>
      <c r="O779" s="8"/>
      <c r="P779" s="8"/>
      <c r="Q779" s="8"/>
    </row>
    <row r="780" ht="12.75" spans="1:17">
      <c r="A780" s="4"/>
      <c r="B780" s="12"/>
      <c r="C780" s="12"/>
      <c r="D780" s="17"/>
      <c r="E780" s="12"/>
      <c r="F780" s="3"/>
      <c r="G780" s="3"/>
      <c r="L780" s="8"/>
      <c r="M780" s="8"/>
      <c r="N780" s="8"/>
      <c r="O780" s="8"/>
      <c r="P780" s="8"/>
      <c r="Q780" s="8"/>
    </row>
    <row r="781" ht="12.75" spans="1:17">
      <c r="A781" s="4"/>
      <c r="B781" s="12"/>
      <c r="C781" s="12"/>
      <c r="D781" s="17"/>
      <c r="E781" s="12"/>
      <c r="F781" s="3"/>
      <c r="G781" s="3"/>
      <c r="L781" s="8"/>
      <c r="M781" s="8"/>
      <c r="N781" s="8"/>
      <c r="O781" s="8"/>
      <c r="P781" s="8"/>
      <c r="Q781" s="8"/>
    </row>
    <row r="782" ht="12.75" spans="1:17">
      <c r="A782" s="4"/>
      <c r="B782" s="12"/>
      <c r="C782" s="12"/>
      <c r="D782" s="17"/>
      <c r="E782" s="12"/>
      <c r="F782" s="3"/>
      <c r="G782" s="3"/>
      <c r="L782" s="8"/>
      <c r="M782" s="8"/>
      <c r="N782" s="8"/>
      <c r="O782" s="8"/>
      <c r="P782" s="8"/>
      <c r="Q782" s="8"/>
    </row>
    <row r="783" ht="12.75" spans="1:17">
      <c r="A783" s="4"/>
      <c r="B783" s="12"/>
      <c r="C783" s="12"/>
      <c r="D783" s="17"/>
      <c r="E783" s="12"/>
      <c r="F783" s="3"/>
      <c r="G783" s="3"/>
      <c r="L783" s="8"/>
      <c r="M783" s="8"/>
      <c r="N783" s="8"/>
      <c r="O783" s="8"/>
      <c r="P783" s="8"/>
      <c r="Q783" s="8"/>
    </row>
    <row r="784" ht="12.75" spans="1:17">
      <c r="A784" s="4"/>
      <c r="B784" s="12"/>
      <c r="C784" s="12"/>
      <c r="D784" s="17"/>
      <c r="E784" s="12"/>
      <c r="F784" s="3"/>
      <c r="G784" s="3"/>
      <c r="L784" s="8"/>
      <c r="M784" s="8"/>
      <c r="N784" s="8"/>
      <c r="O784" s="8"/>
      <c r="P784" s="8"/>
      <c r="Q784" s="8"/>
    </row>
    <row r="785" ht="12.75" spans="1:17">
      <c r="A785" s="4"/>
      <c r="B785" s="12"/>
      <c r="C785" s="12"/>
      <c r="D785" s="17"/>
      <c r="E785" s="12"/>
      <c r="F785" s="3"/>
      <c r="G785" s="3"/>
      <c r="L785" s="8"/>
      <c r="M785" s="8"/>
      <c r="N785" s="8"/>
      <c r="O785" s="8"/>
      <c r="P785" s="8"/>
      <c r="Q785" s="8"/>
    </row>
    <row r="786" ht="12.75" spans="1:17">
      <c r="A786" s="4"/>
      <c r="B786" s="12"/>
      <c r="C786" s="12"/>
      <c r="D786" s="17"/>
      <c r="E786" s="12"/>
      <c r="F786" s="3"/>
      <c r="G786" s="3"/>
      <c r="L786" s="8"/>
      <c r="M786" s="8"/>
      <c r="N786" s="8"/>
      <c r="O786" s="8"/>
      <c r="P786" s="8"/>
      <c r="Q786" s="8"/>
    </row>
    <row r="787" ht="12.75" spans="1:17">
      <c r="A787" s="4"/>
      <c r="B787" s="12"/>
      <c r="C787" s="12"/>
      <c r="D787" s="17"/>
      <c r="E787" s="12"/>
      <c r="F787" s="3"/>
      <c r="G787" s="3"/>
      <c r="L787" s="8"/>
      <c r="M787" s="8"/>
      <c r="N787" s="8"/>
      <c r="O787" s="8"/>
      <c r="P787" s="8"/>
      <c r="Q787" s="8"/>
    </row>
    <row r="788" ht="12.75" spans="1:17">
      <c r="A788" s="4"/>
      <c r="B788" s="12"/>
      <c r="C788" s="12"/>
      <c r="D788" s="17"/>
      <c r="E788" s="12"/>
      <c r="F788" s="3"/>
      <c r="G788" s="3"/>
      <c r="L788" s="8"/>
      <c r="M788" s="8"/>
      <c r="N788" s="8"/>
      <c r="O788" s="8"/>
      <c r="P788" s="8"/>
      <c r="Q788" s="8"/>
    </row>
    <row r="789" ht="12.75" spans="1:17">
      <c r="A789" s="4"/>
      <c r="B789" s="12"/>
      <c r="C789" s="12"/>
      <c r="D789" s="17"/>
      <c r="E789" s="12"/>
      <c r="F789" s="3"/>
      <c r="G789" s="3"/>
      <c r="L789" s="8"/>
      <c r="M789" s="8"/>
      <c r="N789" s="8"/>
      <c r="O789" s="8"/>
      <c r="P789" s="8"/>
      <c r="Q789" s="8"/>
    </row>
    <row r="790" ht="12.75" spans="1:17">
      <c r="A790" s="4"/>
      <c r="B790" s="12"/>
      <c r="C790" s="12"/>
      <c r="D790" s="17"/>
      <c r="E790" s="12"/>
      <c r="F790" s="3"/>
      <c r="G790" s="3"/>
      <c r="L790" s="8"/>
      <c r="M790" s="8"/>
      <c r="N790" s="8"/>
      <c r="O790" s="8"/>
      <c r="P790" s="8"/>
      <c r="Q790" s="8"/>
    </row>
    <row r="791" ht="12.75" spans="1:17">
      <c r="A791" s="4"/>
      <c r="B791" s="12"/>
      <c r="C791" s="12"/>
      <c r="D791" s="17"/>
      <c r="E791" s="12"/>
      <c r="F791" s="3"/>
      <c r="G791" s="3"/>
      <c r="L791" s="8"/>
      <c r="M791" s="8"/>
      <c r="N791" s="8"/>
      <c r="O791" s="8"/>
      <c r="P791" s="8"/>
      <c r="Q791" s="8"/>
    </row>
    <row r="792" ht="12.75" spans="1:17">
      <c r="A792" s="4"/>
      <c r="B792" s="12"/>
      <c r="C792" s="12"/>
      <c r="D792" s="17"/>
      <c r="E792" s="12"/>
      <c r="F792" s="3"/>
      <c r="G792" s="3"/>
      <c r="L792" s="8"/>
      <c r="M792" s="8"/>
      <c r="N792" s="8"/>
      <c r="O792" s="8"/>
      <c r="P792" s="8"/>
      <c r="Q792" s="8"/>
    </row>
    <row r="793" ht="12.75" spans="1:17">
      <c r="A793" s="4"/>
      <c r="B793" s="12"/>
      <c r="C793" s="12"/>
      <c r="D793" s="17"/>
      <c r="E793" s="12"/>
      <c r="F793" s="3"/>
      <c r="G793" s="3"/>
      <c r="L793" s="8"/>
      <c r="M793" s="8"/>
      <c r="N793" s="8"/>
      <c r="O793" s="8"/>
      <c r="P793" s="8"/>
      <c r="Q793" s="8"/>
    </row>
    <row r="794" ht="12.75" spans="1:17">
      <c r="A794" s="4"/>
      <c r="B794" s="12"/>
      <c r="C794" s="12"/>
      <c r="D794" s="17"/>
      <c r="E794" s="12"/>
      <c r="F794" s="3"/>
      <c r="G794" s="3"/>
      <c r="L794" s="8"/>
      <c r="M794" s="8"/>
      <c r="N794" s="8"/>
      <c r="O794" s="8"/>
      <c r="P794" s="8"/>
      <c r="Q794" s="8"/>
    </row>
    <row r="795" ht="12.75" spans="1:17">
      <c r="A795" s="4"/>
      <c r="B795" s="12"/>
      <c r="C795" s="12"/>
      <c r="D795" s="17"/>
      <c r="E795" s="12"/>
      <c r="F795" s="3"/>
      <c r="G795" s="3"/>
      <c r="L795" s="8"/>
      <c r="M795" s="8"/>
      <c r="N795" s="8"/>
      <c r="O795" s="8"/>
      <c r="P795" s="8"/>
      <c r="Q795" s="8"/>
    </row>
    <row r="796" ht="12.75" spans="1:17">
      <c r="A796" s="4"/>
      <c r="B796" s="12"/>
      <c r="C796" s="12"/>
      <c r="D796" s="17"/>
      <c r="E796" s="12"/>
      <c r="F796" s="3"/>
      <c r="G796" s="3"/>
      <c r="L796" s="8"/>
      <c r="M796" s="8"/>
      <c r="N796" s="8"/>
      <c r="O796" s="8"/>
      <c r="P796" s="8"/>
      <c r="Q796" s="8"/>
    </row>
    <row r="797" ht="12.75" spans="1:17">
      <c r="A797" s="4"/>
      <c r="B797" s="12"/>
      <c r="C797" s="12"/>
      <c r="D797" s="17"/>
      <c r="E797" s="12"/>
      <c r="F797" s="3"/>
      <c r="G797" s="3"/>
      <c r="L797" s="8"/>
      <c r="M797" s="8"/>
      <c r="N797" s="8"/>
      <c r="O797" s="8"/>
      <c r="P797" s="8"/>
      <c r="Q797" s="8"/>
    </row>
    <row r="798" ht="12.75" spans="1:17">
      <c r="A798" s="4"/>
      <c r="B798" s="12"/>
      <c r="C798" s="12"/>
      <c r="D798" s="17"/>
      <c r="E798" s="12"/>
      <c r="F798" s="3"/>
      <c r="G798" s="3"/>
      <c r="L798" s="8"/>
      <c r="M798" s="8"/>
      <c r="N798" s="8"/>
      <c r="O798" s="8"/>
      <c r="P798" s="8"/>
      <c r="Q798" s="8"/>
    </row>
    <row r="799" ht="12.75" spans="1:17">
      <c r="A799" s="4"/>
      <c r="B799" s="12"/>
      <c r="C799" s="12"/>
      <c r="D799" s="17"/>
      <c r="E799" s="12"/>
      <c r="F799" s="3"/>
      <c r="G799" s="3"/>
      <c r="L799" s="8"/>
      <c r="M799" s="8"/>
      <c r="N799" s="8"/>
      <c r="O799" s="8"/>
      <c r="P799" s="8"/>
      <c r="Q799" s="8"/>
    </row>
    <row r="800" ht="12.75" spans="1:17">
      <c r="A800" s="4"/>
      <c r="B800" s="12"/>
      <c r="C800" s="12"/>
      <c r="D800" s="17"/>
      <c r="E800" s="12"/>
      <c r="F800" s="3"/>
      <c r="G800" s="3"/>
      <c r="L800" s="8"/>
      <c r="M800" s="8"/>
      <c r="N800" s="8"/>
      <c r="O800" s="8"/>
      <c r="P800" s="8"/>
      <c r="Q800" s="8"/>
    </row>
    <row r="801" ht="12.75" spans="1:17">
      <c r="A801" s="4"/>
      <c r="B801" s="12"/>
      <c r="C801" s="12"/>
      <c r="D801" s="17"/>
      <c r="E801" s="12"/>
      <c r="F801" s="3"/>
      <c r="G801" s="3"/>
      <c r="L801" s="8"/>
      <c r="M801" s="8"/>
      <c r="N801" s="8"/>
      <c r="O801" s="8"/>
      <c r="P801" s="8"/>
      <c r="Q801" s="8"/>
    </row>
    <row r="802" ht="12.75" spans="1:17">
      <c r="A802" s="4"/>
      <c r="B802" s="12"/>
      <c r="C802" s="12"/>
      <c r="D802" s="17"/>
      <c r="E802" s="12"/>
      <c r="F802" s="3"/>
      <c r="G802" s="3"/>
      <c r="L802" s="8"/>
      <c r="M802" s="8"/>
      <c r="N802" s="8"/>
      <c r="O802" s="8"/>
      <c r="P802" s="8"/>
      <c r="Q802" s="8"/>
    </row>
    <row r="803" ht="12.75" spans="1:17">
      <c r="A803" s="4"/>
      <c r="B803" s="12"/>
      <c r="C803" s="12"/>
      <c r="D803" s="17"/>
      <c r="E803" s="12"/>
      <c r="F803" s="3"/>
      <c r="G803" s="3"/>
      <c r="L803" s="8"/>
      <c r="M803" s="8"/>
      <c r="N803" s="8"/>
      <c r="O803" s="8"/>
      <c r="P803" s="8"/>
      <c r="Q803" s="8"/>
    </row>
    <row r="804" ht="12.75" spans="1:17">
      <c r="A804" s="4"/>
      <c r="B804" s="12"/>
      <c r="C804" s="12"/>
      <c r="D804" s="17"/>
      <c r="E804" s="12"/>
      <c r="F804" s="3"/>
      <c r="G804" s="3"/>
      <c r="L804" s="8"/>
      <c r="M804" s="8"/>
      <c r="N804" s="8"/>
      <c r="O804" s="8"/>
      <c r="P804" s="8"/>
      <c r="Q804" s="8"/>
    </row>
    <row r="805" ht="12.75" spans="1:17">
      <c r="A805" s="4"/>
      <c r="B805" s="12"/>
      <c r="C805" s="12"/>
      <c r="D805" s="17"/>
      <c r="E805" s="12"/>
      <c r="F805" s="3"/>
      <c r="G805" s="3"/>
      <c r="L805" s="8"/>
      <c r="M805" s="8"/>
      <c r="N805" s="8"/>
      <c r="O805" s="8"/>
      <c r="P805" s="8"/>
      <c r="Q805" s="8"/>
    </row>
    <row r="806" ht="12.75" spans="1:17">
      <c r="A806" s="4"/>
      <c r="B806" s="12"/>
      <c r="C806" s="12"/>
      <c r="D806" s="17"/>
      <c r="E806" s="12"/>
      <c r="F806" s="3"/>
      <c r="G806" s="3"/>
      <c r="L806" s="8"/>
      <c r="M806" s="8"/>
      <c r="N806" s="8"/>
      <c r="O806" s="8"/>
      <c r="P806" s="8"/>
      <c r="Q806" s="8"/>
    </row>
    <row r="807" ht="12.75" spans="1:17">
      <c r="A807" s="4"/>
      <c r="B807" s="12"/>
      <c r="C807" s="12"/>
      <c r="D807" s="17"/>
      <c r="E807" s="12"/>
      <c r="F807" s="3"/>
      <c r="G807" s="3"/>
      <c r="L807" s="8"/>
      <c r="M807" s="8"/>
      <c r="N807" s="8"/>
      <c r="O807" s="8"/>
      <c r="P807" s="8"/>
      <c r="Q807" s="8"/>
    </row>
    <row r="808" ht="12.75" spans="1:17">
      <c r="A808" s="4"/>
      <c r="B808" s="12"/>
      <c r="C808" s="12"/>
      <c r="D808" s="17"/>
      <c r="E808" s="12"/>
      <c r="F808" s="3"/>
      <c r="G808" s="3"/>
      <c r="L808" s="8"/>
      <c r="M808" s="8"/>
      <c r="N808" s="8"/>
      <c r="O808" s="8"/>
      <c r="P808" s="8"/>
      <c r="Q808" s="8"/>
    </row>
    <row r="809" ht="12.75" spans="1:17">
      <c r="A809" s="4"/>
      <c r="B809" s="12"/>
      <c r="C809" s="12"/>
      <c r="D809" s="17"/>
      <c r="E809" s="12"/>
      <c r="F809" s="3"/>
      <c r="G809" s="3"/>
      <c r="L809" s="8"/>
      <c r="M809" s="8"/>
      <c r="N809" s="8"/>
      <c r="O809" s="8"/>
      <c r="P809" s="8"/>
      <c r="Q809" s="8"/>
    </row>
    <row r="810" ht="12.75" spans="1:17">
      <c r="A810" s="4"/>
      <c r="B810" s="12"/>
      <c r="C810" s="12"/>
      <c r="D810" s="17"/>
      <c r="E810" s="12"/>
      <c r="F810" s="3"/>
      <c r="G810" s="3"/>
      <c r="L810" s="8"/>
      <c r="M810" s="8"/>
      <c r="N810" s="8"/>
      <c r="O810" s="8"/>
      <c r="P810" s="8"/>
      <c r="Q810" s="8"/>
    </row>
    <row r="811" ht="12.75" spans="1:17">
      <c r="A811" s="4"/>
      <c r="B811" s="12"/>
      <c r="C811" s="12"/>
      <c r="D811" s="17"/>
      <c r="E811" s="12"/>
      <c r="F811" s="3"/>
      <c r="G811" s="3"/>
      <c r="L811" s="8"/>
      <c r="M811" s="8"/>
      <c r="N811" s="8"/>
      <c r="O811" s="8"/>
      <c r="P811" s="8"/>
      <c r="Q811" s="8"/>
    </row>
    <row r="812" ht="12.75" spans="1:17">
      <c r="A812" s="4"/>
      <c r="B812" s="12"/>
      <c r="C812" s="12"/>
      <c r="D812" s="17"/>
      <c r="E812" s="12"/>
      <c r="F812" s="3"/>
      <c r="G812" s="3"/>
      <c r="L812" s="8"/>
      <c r="M812" s="8"/>
      <c r="N812" s="8"/>
      <c r="O812" s="8"/>
      <c r="P812" s="8"/>
      <c r="Q812" s="8"/>
    </row>
    <row r="813" ht="12.75" spans="1:17">
      <c r="A813" s="4"/>
      <c r="B813" s="12"/>
      <c r="C813" s="12"/>
      <c r="D813" s="17"/>
      <c r="E813" s="12"/>
      <c r="F813" s="3"/>
      <c r="G813" s="3"/>
      <c r="L813" s="8"/>
      <c r="M813" s="8"/>
      <c r="N813" s="8"/>
      <c r="O813" s="8"/>
      <c r="P813" s="8"/>
      <c r="Q813" s="8"/>
    </row>
    <row r="814" ht="12.75" spans="1:17">
      <c r="A814" s="4"/>
      <c r="B814" s="12"/>
      <c r="C814" s="12"/>
      <c r="D814" s="17"/>
      <c r="E814" s="12"/>
      <c r="F814" s="3"/>
      <c r="G814" s="3"/>
      <c r="L814" s="8"/>
      <c r="M814" s="8"/>
      <c r="N814" s="8"/>
      <c r="O814" s="8"/>
      <c r="P814" s="8"/>
      <c r="Q814" s="8"/>
    </row>
    <row r="815" ht="12.75" spans="1:17">
      <c r="A815" s="4"/>
      <c r="B815" s="12"/>
      <c r="C815" s="12"/>
      <c r="D815" s="17"/>
      <c r="E815" s="12"/>
      <c r="F815" s="3"/>
      <c r="G815" s="3"/>
      <c r="L815" s="8"/>
      <c r="M815" s="8"/>
      <c r="N815" s="8"/>
      <c r="O815" s="8"/>
      <c r="P815" s="8"/>
      <c r="Q815" s="8"/>
    </row>
    <row r="816" ht="12.75" spans="1:17">
      <c r="A816" s="4"/>
      <c r="B816" s="12"/>
      <c r="C816" s="12"/>
      <c r="D816" s="17"/>
      <c r="E816" s="12"/>
      <c r="F816" s="3"/>
      <c r="G816" s="3"/>
      <c r="L816" s="8"/>
      <c r="M816" s="8"/>
      <c r="N816" s="8"/>
      <c r="O816" s="8"/>
      <c r="P816" s="8"/>
      <c r="Q816" s="8"/>
    </row>
    <row r="817" ht="12.75" spans="1:17">
      <c r="A817" s="4"/>
      <c r="B817" s="12"/>
      <c r="C817" s="12"/>
      <c r="D817" s="17"/>
      <c r="E817" s="12"/>
      <c r="F817" s="3"/>
      <c r="G817" s="3"/>
      <c r="L817" s="8"/>
      <c r="M817" s="8"/>
      <c r="N817" s="8"/>
      <c r="O817" s="8"/>
      <c r="P817" s="8"/>
      <c r="Q817" s="8"/>
    </row>
    <row r="818" ht="12.75" spans="1:17">
      <c r="A818" s="4"/>
      <c r="B818" s="12"/>
      <c r="C818" s="12"/>
      <c r="D818" s="17"/>
      <c r="E818" s="12"/>
      <c r="F818" s="3"/>
      <c r="G818" s="3"/>
      <c r="L818" s="8"/>
      <c r="M818" s="8"/>
      <c r="N818" s="8"/>
      <c r="O818" s="8"/>
      <c r="P818" s="8"/>
      <c r="Q818" s="8"/>
    </row>
    <row r="819" ht="12.75" spans="1:17">
      <c r="A819" s="4"/>
      <c r="B819" s="12"/>
      <c r="C819" s="12"/>
      <c r="D819" s="17"/>
      <c r="E819" s="12"/>
      <c r="F819" s="3"/>
      <c r="G819" s="3"/>
      <c r="L819" s="8"/>
      <c r="M819" s="8"/>
      <c r="N819" s="8"/>
      <c r="O819" s="8"/>
      <c r="P819" s="8"/>
      <c r="Q819" s="8"/>
    </row>
    <row r="820" ht="12.75" spans="1:17">
      <c r="A820" s="4"/>
      <c r="B820" s="12"/>
      <c r="C820" s="12"/>
      <c r="D820" s="17"/>
      <c r="E820" s="12"/>
      <c r="F820" s="3"/>
      <c r="G820" s="3"/>
      <c r="L820" s="8"/>
      <c r="M820" s="8"/>
      <c r="N820" s="8"/>
      <c r="O820" s="8"/>
      <c r="P820" s="8"/>
      <c r="Q820" s="8"/>
    </row>
    <row r="821" ht="12.75" spans="1:17">
      <c r="A821" s="4"/>
      <c r="B821" s="12"/>
      <c r="C821" s="12"/>
      <c r="D821" s="17"/>
      <c r="E821" s="12"/>
      <c r="F821" s="3"/>
      <c r="G821" s="3"/>
      <c r="L821" s="8"/>
      <c r="M821" s="8"/>
      <c r="N821" s="8"/>
      <c r="O821" s="8"/>
      <c r="P821" s="8"/>
      <c r="Q821" s="8"/>
    </row>
    <row r="822" ht="12.75" spans="1:17">
      <c r="A822" s="4"/>
      <c r="B822" s="12"/>
      <c r="C822" s="12"/>
      <c r="D822" s="17"/>
      <c r="E822" s="12"/>
      <c r="F822" s="3"/>
      <c r="G822" s="3"/>
      <c r="L822" s="8"/>
      <c r="M822" s="8"/>
      <c r="N822" s="8"/>
      <c r="O822" s="8"/>
      <c r="P822" s="8"/>
      <c r="Q822" s="8"/>
    </row>
    <row r="823" ht="12.75" spans="1:17">
      <c r="A823" s="4"/>
      <c r="B823" s="12"/>
      <c r="C823" s="12"/>
      <c r="D823" s="17"/>
      <c r="E823" s="12"/>
      <c r="F823" s="3"/>
      <c r="G823" s="3"/>
      <c r="L823" s="8"/>
      <c r="M823" s="8"/>
      <c r="N823" s="8"/>
      <c r="O823" s="8"/>
      <c r="P823" s="8"/>
      <c r="Q823" s="8"/>
    </row>
    <row r="824" ht="12.75" spans="1:17">
      <c r="A824" s="4"/>
      <c r="B824" s="12"/>
      <c r="C824" s="12"/>
      <c r="D824" s="17"/>
      <c r="E824" s="12"/>
      <c r="F824" s="3"/>
      <c r="G824" s="3"/>
      <c r="L824" s="8"/>
      <c r="M824" s="8"/>
      <c r="N824" s="8"/>
      <c r="O824" s="8"/>
      <c r="P824" s="8"/>
      <c r="Q824" s="8"/>
    </row>
    <row r="825" ht="12.75" spans="1:17">
      <c r="A825" s="4"/>
      <c r="B825" s="12"/>
      <c r="C825" s="12"/>
      <c r="D825" s="17"/>
      <c r="E825" s="12"/>
      <c r="F825" s="3"/>
      <c r="G825" s="3"/>
      <c r="L825" s="8"/>
      <c r="M825" s="8"/>
      <c r="N825" s="8"/>
      <c r="O825" s="8"/>
      <c r="P825" s="8"/>
      <c r="Q825" s="8"/>
    </row>
    <row r="826" ht="12.75" spans="1:17">
      <c r="A826" s="4"/>
      <c r="B826" s="12"/>
      <c r="C826" s="12"/>
      <c r="D826" s="17"/>
      <c r="E826" s="12"/>
      <c r="F826" s="3"/>
      <c r="G826" s="3"/>
      <c r="L826" s="8"/>
      <c r="M826" s="8"/>
      <c r="N826" s="8"/>
      <c r="O826" s="8"/>
      <c r="P826" s="8"/>
      <c r="Q826" s="8"/>
    </row>
    <row r="827" ht="12.75" spans="1:17">
      <c r="A827" s="4"/>
      <c r="B827" s="12"/>
      <c r="C827" s="12"/>
      <c r="D827" s="17"/>
      <c r="E827" s="12"/>
      <c r="F827" s="3"/>
      <c r="G827" s="3"/>
      <c r="L827" s="8"/>
      <c r="M827" s="8"/>
      <c r="N827" s="8"/>
      <c r="O827" s="8"/>
      <c r="P827" s="8"/>
      <c r="Q827" s="8"/>
    </row>
    <row r="828" ht="12.75" spans="1:17">
      <c r="A828" s="4"/>
      <c r="B828" s="12"/>
      <c r="C828" s="12"/>
      <c r="D828" s="17"/>
      <c r="E828" s="12"/>
      <c r="F828" s="3"/>
      <c r="G828" s="3"/>
      <c r="L828" s="8"/>
      <c r="M828" s="8"/>
      <c r="N828" s="8"/>
      <c r="O828" s="8"/>
      <c r="P828" s="8"/>
      <c r="Q828" s="8"/>
    </row>
    <row r="829" ht="12.75" spans="1:17">
      <c r="A829" s="4"/>
      <c r="B829" s="12"/>
      <c r="C829" s="12"/>
      <c r="D829" s="17"/>
      <c r="E829" s="12"/>
      <c r="F829" s="3"/>
      <c r="G829" s="3"/>
      <c r="L829" s="8"/>
      <c r="M829" s="8"/>
      <c r="N829" s="8"/>
      <c r="O829" s="8"/>
      <c r="P829" s="8"/>
      <c r="Q829" s="8"/>
    </row>
    <row r="830" ht="12.75" spans="1:17">
      <c r="A830" s="4"/>
      <c r="B830" s="12"/>
      <c r="C830" s="12"/>
      <c r="D830" s="17"/>
      <c r="E830" s="12"/>
      <c r="F830" s="3"/>
      <c r="G830" s="3"/>
      <c r="L830" s="8"/>
      <c r="M830" s="8"/>
      <c r="N830" s="8"/>
      <c r="O830" s="8"/>
      <c r="P830" s="8"/>
      <c r="Q830" s="8"/>
    </row>
    <row r="831" ht="12.75" spans="1:17">
      <c r="A831" s="4"/>
      <c r="B831" s="12"/>
      <c r="C831" s="12"/>
      <c r="D831" s="17"/>
      <c r="E831" s="12"/>
      <c r="F831" s="3"/>
      <c r="G831" s="3"/>
      <c r="L831" s="8"/>
      <c r="M831" s="8"/>
      <c r="N831" s="8"/>
      <c r="O831" s="8"/>
      <c r="P831" s="8"/>
      <c r="Q831" s="8"/>
    </row>
    <row r="832" ht="12.75" spans="1:17">
      <c r="A832" s="4"/>
      <c r="B832" s="12"/>
      <c r="C832" s="12"/>
      <c r="D832" s="17"/>
      <c r="E832" s="12"/>
      <c r="F832" s="3"/>
      <c r="G832" s="3"/>
      <c r="L832" s="8"/>
      <c r="M832" s="8"/>
      <c r="N832" s="8"/>
      <c r="O832" s="8"/>
      <c r="P832" s="8"/>
      <c r="Q832" s="8"/>
    </row>
    <row r="833" ht="12.75" spans="1:17">
      <c r="A833" s="4"/>
      <c r="B833" s="12"/>
      <c r="C833" s="12"/>
      <c r="D833" s="17"/>
      <c r="E833" s="12"/>
      <c r="F833" s="3"/>
      <c r="G833" s="3"/>
      <c r="L833" s="8"/>
      <c r="M833" s="8"/>
      <c r="N833" s="8"/>
      <c r="O833" s="8"/>
      <c r="P833" s="8"/>
      <c r="Q833" s="8"/>
    </row>
    <row r="834" ht="12.75" spans="1:17">
      <c r="A834" s="4"/>
      <c r="B834" s="12"/>
      <c r="C834" s="12"/>
      <c r="D834" s="17"/>
      <c r="E834" s="12"/>
      <c r="F834" s="3"/>
      <c r="G834" s="3"/>
      <c r="L834" s="8"/>
      <c r="M834" s="8"/>
      <c r="N834" s="8"/>
      <c r="O834" s="8"/>
      <c r="P834" s="8"/>
      <c r="Q834" s="8"/>
    </row>
    <row r="835" ht="12.75" spans="1:17">
      <c r="A835" s="4"/>
      <c r="B835" s="12"/>
      <c r="C835" s="12"/>
      <c r="D835" s="17"/>
      <c r="E835" s="12"/>
      <c r="F835" s="3"/>
      <c r="G835" s="3"/>
      <c r="L835" s="8"/>
      <c r="M835" s="8"/>
      <c r="N835" s="8"/>
      <c r="O835" s="8"/>
      <c r="P835" s="8"/>
      <c r="Q835" s="8"/>
    </row>
    <row r="836" ht="12.75" spans="1:17">
      <c r="A836" s="4"/>
      <c r="B836" s="12"/>
      <c r="C836" s="12"/>
      <c r="D836" s="17"/>
      <c r="E836" s="12"/>
      <c r="F836" s="3"/>
      <c r="G836" s="3"/>
      <c r="L836" s="8"/>
      <c r="M836" s="8"/>
      <c r="N836" s="8"/>
      <c r="O836" s="8"/>
      <c r="P836" s="8"/>
      <c r="Q836" s="8"/>
    </row>
    <row r="837" ht="12.75" spans="1:17">
      <c r="A837" s="4"/>
      <c r="B837" s="12"/>
      <c r="C837" s="12"/>
      <c r="D837" s="17"/>
      <c r="E837" s="12"/>
      <c r="F837" s="3"/>
      <c r="G837" s="3"/>
      <c r="L837" s="8"/>
      <c r="M837" s="8"/>
      <c r="N837" s="8"/>
      <c r="O837" s="8"/>
      <c r="P837" s="8"/>
      <c r="Q837" s="8"/>
    </row>
    <row r="838" ht="12.75" spans="1:17">
      <c r="A838" s="4"/>
      <c r="B838" s="12"/>
      <c r="C838" s="12"/>
      <c r="D838" s="17"/>
      <c r="E838" s="12"/>
      <c r="F838" s="3"/>
      <c r="G838" s="3"/>
      <c r="L838" s="8"/>
      <c r="M838" s="8"/>
      <c r="N838" s="8"/>
      <c r="O838" s="8"/>
      <c r="P838" s="8"/>
      <c r="Q838" s="8"/>
    </row>
    <row r="839" ht="12.75" spans="1:17">
      <c r="A839" s="4"/>
      <c r="B839" s="12"/>
      <c r="C839" s="12"/>
      <c r="D839" s="17"/>
      <c r="E839" s="12"/>
      <c r="F839" s="3"/>
      <c r="G839" s="3"/>
      <c r="L839" s="8"/>
      <c r="M839" s="8"/>
      <c r="N839" s="8"/>
      <c r="O839" s="8"/>
      <c r="P839" s="8"/>
      <c r="Q839" s="8"/>
    </row>
    <row r="840" ht="12.75" spans="1:17">
      <c r="A840" s="4"/>
      <c r="B840" s="12"/>
      <c r="C840" s="12"/>
      <c r="D840" s="17"/>
      <c r="E840" s="12"/>
      <c r="F840" s="3"/>
      <c r="G840" s="3"/>
      <c r="L840" s="8"/>
      <c r="M840" s="8"/>
      <c r="N840" s="8"/>
      <c r="O840" s="8"/>
      <c r="P840" s="8"/>
      <c r="Q840" s="8"/>
    </row>
    <row r="841" ht="12.75" spans="1:17">
      <c r="A841" s="4"/>
      <c r="B841" s="12"/>
      <c r="C841" s="12"/>
      <c r="D841" s="17"/>
      <c r="E841" s="12"/>
      <c r="F841" s="3"/>
      <c r="G841" s="3"/>
      <c r="L841" s="8"/>
      <c r="M841" s="8"/>
      <c r="N841" s="8"/>
      <c r="O841" s="8"/>
      <c r="P841" s="8"/>
      <c r="Q841" s="8"/>
    </row>
    <row r="842" ht="12.75" spans="1:17">
      <c r="A842" s="4"/>
      <c r="B842" s="12"/>
      <c r="C842" s="12"/>
      <c r="D842" s="17"/>
      <c r="E842" s="12"/>
      <c r="F842" s="3"/>
      <c r="G842" s="3"/>
      <c r="L842" s="8"/>
      <c r="M842" s="8"/>
      <c r="N842" s="8"/>
      <c r="O842" s="8"/>
      <c r="P842" s="8"/>
      <c r="Q842" s="8"/>
    </row>
    <row r="843" ht="12.75" spans="1:17">
      <c r="A843" s="4"/>
      <c r="B843" s="12"/>
      <c r="C843" s="12"/>
      <c r="D843" s="17"/>
      <c r="E843" s="12"/>
      <c r="F843" s="3"/>
      <c r="G843" s="3"/>
      <c r="L843" s="8"/>
      <c r="M843" s="8"/>
      <c r="N843" s="8"/>
      <c r="O843" s="8"/>
      <c r="P843" s="8"/>
      <c r="Q843" s="8"/>
    </row>
    <row r="844" ht="12.75" spans="1:17">
      <c r="A844" s="4"/>
      <c r="B844" s="12"/>
      <c r="C844" s="12"/>
      <c r="D844" s="17"/>
      <c r="E844" s="12"/>
      <c r="F844" s="3"/>
      <c r="G844" s="3"/>
      <c r="L844" s="8"/>
      <c r="M844" s="8"/>
      <c r="N844" s="8"/>
      <c r="O844" s="8"/>
      <c r="P844" s="8"/>
      <c r="Q844" s="8"/>
    </row>
    <row r="845" ht="12.75" spans="1:17">
      <c r="A845" s="4"/>
      <c r="B845" s="12"/>
      <c r="C845" s="12"/>
      <c r="D845" s="17"/>
      <c r="E845" s="12"/>
      <c r="F845" s="3"/>
      <c r="G845" s="3"/>
      <c r="L845" s="8"/>
      <c r="M845" s="8"/>
      <c r="N845" s="8"/>
      <c r="O845" s="8"/>
      <c r="P845" s="8"/>
      <c r="Q845" s="8"/>
    </row>
    <row r="846" ht="12.75" spans="1:17">
      <c r="A846" s="4"/>
      <c r="B846" s="12"/>
      <c r="C846" s="12"/>
      <c r="D846" s="17"/>
      <c r="E846" s="12"/>
      <c r="F846" s="3"/>
      <c r="G846" s="3"/>
      <c r="L846" s="8"/>
      <c r="M846" s="8"/>
      <c r="N846" s="8"/>
      <c r="O846" s="8"/>
      <c r="P846" s="8"/>
      <c r="Q846" s="8"/>
    </row>
    <row r="847" ht="12.75" spans="1:17">
      <c r="A847" s="4"/>
      <c r="B847" s="12"/>
      <c r="C847" s="12"/>
      <c r="D847" s="17"/>
      <c r="E847" s="12"/>
      <c r="F847" s="3"/>
      <c r="G847" s="3"/>
      <c r="L847" s="8"/>
      <c r="M847" s="8"/>
      <c r="N847" s="8"/>
      <c r="O847" s="8"/>
      <c r="P847" s="8"/>
      <c r="Q847" s="8"/>
    </row>
    <row r="848" ht="12.75" spans="1:17">
      <c r="A848" s="4"/>
      <c r="B848" s="12"/>
      <c r="C848" s="12"/>
      <c r="D848" s="17"/>
      <c r="E848" s="12"/>
      <c r="F848" s="3"/>
      <c r="G848" s="3"/>
      <c r="L848" s="8"/>
      <c r="M848" s="8"/>
      <c r="N848" s="8"/>
      <c r="O848" s="8"/>
      <c r="P848" s="8"/>
      <c r="Q848" s="8"/>
    </row>
    <row r="849" ht="12.75" spans="1:17">
      <c r="A849" s="4"/>
      <c r="B849" s="12"/>
      <c r="C849" s="12"/>
      <c r="D849" s="17"/>
      <c r="E849" s="12"/>
      <c r="F849" s="3"/>
      <c r="G849" s="3"/>
      <c r="L849" s="8"/>
      <c r="M849" s="8"/>
      <c r="N849" s="8"/>
      <c r="O849" s="8"/>
      <c r="P849" s="8"/>
      <c r="Q849" s="8"/>
    </row>
    <row r="850" ht="12.75" spans="1:17">
      <c r="A850" s="4"/>
      <c r="B850" s="12"/>
      <c r="C850" s="12"/>
      <c r="D850" s="17"/>
      <c r="E850" s="12"/>
      <c r="F850" s="3"/>
      <c r="G850" s="3"/>
      <c r="L850" s="8"/>
      <c r="M850" s="8"/>
      <c r="N850" s="8"/>
      <c r="O850" s="8"/>
      <c r="P850" s="8"/>
      <c r="Q850" s="8"/>
    </row>
    <row r="851" ht="12.75" spans="1:17">
      <c r="A851" s="4"/>
      <c r="B851" s="12"/>
      <c r="C851" s="12"/>
      <c r="D851" s="17"/>
      <c r="E851" s="12"/>
      <c r="F851" s="3"/>
      <c r="G851" s="3"/>
      <c r="L851" s="8"/>
      <c r="M851" s="8"/>
      <c r="N851" s="8"/>
      <c r="O851" s="8"/>
      <c r="P851" s="8"/>
      <c r="Q851" s="8"/>
    </row>
    <row r="852" ht="12.75" spans="1:17">
      <c r="A852" s="4"/>
      <c r="B852" s="12"/>
      <c r="C852" s="12"/>
      <c r="D852" s="17"/>
      <c r="E852" s="12"/>
      <c r="F852" s="3"/>
      <c r="G852" s="3"/>
      <c r="L852" s="8"/>
      <c r="M852" s="8"/>
      <c r="N852" s="8"/>
      <c r="O852" s="8"/>
      <c r="P852" s="8"/>
      <c r="Q852" s="8"/>
    </row>
    <row r="853" ht="12.75" spans="1:17">
      <c r="A853" s="4"/>
      <c r="B853" s="12"/>
      <c r="C853" s="12"/>
      <c r="D853" s="17"/>
      <c r="E853" s="12"/>
      <c r="F853" s="3"/>
      <c r="G853" s="3"/>
      <c r="L853" s="8"/>
      <c r="M853" s="8"/>
      <c r="N853" s="8"/>
      <c r="O853" s="8"/>
      <c r="P853" s="8"/>
      <c r="Q853" s="8"/>
    </row>
    <row r="854" ht="12.75" spans="1:17">
      <c r="A854" s="4"/>
      <c r="B854" s="12"/>
      <c r="C854" s="12"/>
      <c r="D854" s="17"/>
      <c r="E854" s="12"/>
      <c r="F854" s="3"/>
      <c r="G854" s="3"/>
      <c r="L854" s="8"/>
      <c r="M854" s="8"/>
      <c r="N854" s="8"/>
      <c r="O854" s="8"/>
      <c r="P854" s="8"/>
      <c r="Q854" s="8"/>
    </row>
    <row r="855" ht="12.75" spans="1:17">
      <c r="A855" s="4"/>
      <c r="B855" s="12"/>
      <c r="C855" s="12"/>
      <c r="D855" s="17"/>
      <c r="E855" s="12"/>
      <c r="F855" s="3"/>
      <c r="G855" s="3"/>
      <c r="L855" s="8"/>
      <c r="M855" s="8"/>
      <c r="N855" s="8"/>
      <c r="O855" s="8"/>
      <c r="P855" s="8"/>
      <c r="Q855" s="8"/>
    </row>
    <row r="856" ht="12.75" spans="1:17">
      <c r="A856" s="4"/>
      <c r="B856" s="12"/>
      <c r="C856" s="12"/>
      <c r="D856" s="17"/>
      <c r="E856" s="12"/>
      <c r="F856" s="3"/>
      <c r="G856" s="3"/>
      <c r="L856" s="8"/>
      <c r="M856" s="8"/>
      <c r="N856" s="8"/>
      <c r="O856" s="8"/>
      <c r="P856" s="8"/>
      <c r="Q856" s="8"/>
    </row>
    <row r="857" ht="12.75" spans="1:17">
      <c r="A857" s="4"/>
      <c r="B857" s="12"/>
      <c r="C857" s="12"/>
      <c r="D857" s="17"/>
      <c r="E857" s="12"/>
      <c r="F857" s="3"/>
      <c r="G857" s="3"/>
      <c r="L857" s="8"/>
      <c r="M857" s="8"/>
      <c r="N857" s="8"/>
      <c r="O857" s="8"/>
      <c r="P857" s="8"/>
      <c r="Q857" s="8"/>
    </row>
    <row r="858" ht="12.75" spans="1:17">
      <c r="A858" s="4"/>
      <c r="B858" s="12"/>
      <c r="C858" s="12"/>
      <c r="D858" s="17"/>
      <c r="E858" s="12"/>
      <c r="F858" s="3"/>
      <c r="G858" s="3"/>
      <c r="L858" s="8"/>
      <c r="M858" s="8"/>
      <c r="N858" s="8"/>
      <c r="O858" s="8"/>
      <c r="P858" s="8"/>
      <c r="Q858" s="8"/>
    </row>
    <row r="859" ht="12.75" spans="1:17">
      <c r="A859" s="4"/>
      <c r="B859" s="12"/>
      <c r="C859" s="12"/>
      <c r="D859" s="17"/>
      <c r="E859" s="12"/>
      <c r="F859" s="3"/>
      <c r="G859" s="3"/>
      <c r="L859" s="8"/>
      <c r="M859" s="8"/>
      <c r="N859" s="8"/>
      <c r="O859" s="8"/>
      <c r="P859" s="8"/>
      <c r="Q859" s="8"/>
    </row>
    <row r="860" ht="12.75" spans="1:17">
      <c r="A860" s="4"/>
      <c r="B860" s="12"/>
      <c r="C860" s="12"/>
      <c r="D860" s="17"/>
      <c r="E860" s="12"/>
      <c r="F860" s="3"/>
      <c r="G860" s="3"/>
      <c r="L860" s="8"/>
      <c r="M860" s="8"/>
      <c r="N860" s="8"/>
      <c r="O860" s="8"/>
      <c r="P860" s="8"/>
      <c r="Q860" s="8"/>
    </row>
    <row r="861" ht="12.75" spans="1:17">
      <c r="A861" s="4"/>
      <c r="B861" s="12"/>
      <c r="C861" s="12"/>
      <c r="D861" s="17"/>
      <c r="E861" s="12"/>
      <c r="F861" s="3"/>
      <c r="G861" s="3"/>
      <c r="L861" s="8"/>
      <c r="M861" s="8"/>
      <c r="N861" s="8"/>
      <c r="O861" s="8"/>
      <c r="P861" s="8"/>
      <c r="Q861" s="8"/>
    </row>
    <row r="862" ht="12.75" spans="1:17">
      <c r="A862" s="4"/>
      <c r="B862" s="12"/>
      <c r="C862" s="12"/>
      <c r="D862" s="17"/>
      <c r="E862" s="12"/>
      <c r="F862" s="3"/>
      <c r="G862" s="3"/>
      <c r="L862" s="8"/>
      <c r="M862" s="8"/>
      <c r="N862" s="8"/>
      <c r="O862" s="8"/>
      <c r="P862" s="8"/>
      <c r="Q862" s="8"/>
    </row>
    <row r="863" ht="12.75" spans="1:17">
      <c r="A863" s="4"/>
      <c r="B863" s="12"/>
      <c r="C863" s="12"/>
      <c r="D863" s="17"/>
      <c r="E863" s="12"/>
      <c r="F863" s="3"/>
      <c r="G863" s="3"/>
      <c r="L863" s="8"/>
      <c r="M863" s="8"/>
      <c r="N863" s="8"/>
      <c r="O863" s="8"/>
      <c r="P863" s="8"/>
      <c r="Q863" s="8"/>
    </row>
    <row r="864" ht="12.75" spans="1:17">
      <c r="A864" s="4"/>
      <c r="B864" s="12"/>
      <c r="C864" s="12"/>
      <c r="D864" s="17"/>
      <c r="E864" s="12"/>
      <c r="F864" s="3"/>
      <c r="G864" s="3"/>
      <c r="L864" s="8"/>
      <c r="M864" s="8"/>
      <c r="N864" s="8"/>
      <c r="O864" s="8"/>
      <c r="P864" s="8"/>
      <c r="Q864" s="8"/>
    </row>
    <row r="865" ht="12.75" spans="1:17">
      <c r="A865" s="4"/>
      <c r="B865" s="12"/>
      <c r="C865" s="12"/>
      <c r="D865" s="17"/>
      <c r="E865" s="12"/>
      <c r="F865" s="3"/>
      <c r="G865" s="3"/>
      <c r="L865" s="8"/>
      <c r="M865" s="8"/>
      <c r="N865" s="8"/>
      <c r="O865" s="8"/>
      <c r="P865" s="8"/>
      <c r="Q865" s="8"/>
    </row>
    <row r="866" ht="12.75" spans="1:17">
      <c r="A866" s="4"/>
      <c r="B866" s="12"/>
      <c r="C866" s="12"/>
      <c r="D866" s="17"/>
      <c r="E866" s="12"/>
      <c r="F866" s="3"/>
      <c r="G866" s="3"/>
      <c r="L866" s="8"/>
      <c r="M866" s="8"/>
      <c r="N866" s="8"/>
      <c r="O866" s="8"/>
      <c r="P866" s="8"/>
      <c r="Q866" s="8"/>
    </row>
    <row r="867" ht="12.75" spans="1:17">
      <c r="A867" s="4"/>
      <c r="B867" s="12"/>
      <c r="C867" s="12"/>
      <c r="D867" s="17"/>
      <c r="E867" s="12"/>
      <c r="F867" s="3"/>
      <c r="G867" s="3"/>
      <c r="L867" s="8"/>
      <c r="M867" s="8"/>
      <c r="N867" s="8"/>
      <c r="O867" s="8"/>
      <c r="P867" s="8"/>
      <c r="Q867" s="8"/>
    </row>
    <row r="868" ht="12.75" spans="1:17">
      <c r="A868" s="4"/>
      <c r="B868" s="12"/>
      <c r="C868" s="12"/>
      <c r="D868" s="17"/>
      <c r="E868" s="12"/>
      <c r="F868" s="3"/>
      <c r="G868" s="3"/>
      <c r="L868" s="8"/>
      <c r="M868" s="8"/>
      <c r="N868" s="8"/>
      <c r="O868" s="8"/>
      <c r="P868" s="8"/>
      <c r="Q868" s="8"/>
    </row>
    <row r="869" ht="12.75" spans="1:17">
      <c r="A869" s="4"/>
      <c r="B869" s="12"/>
      <c r="C869" s="12"/>
      <c r="D869" s="17"/>
      <c r="E869" s="12"/>
      <c r="F869" s="3"/>
      <c r="G869" s="3"/>
      <c r="L869" s="8"/>
      <c r="M869" s="8"/>
      <c r="N869" s="8"/>
      <c r="O869" s="8"/>
      <c r="P869" s="8"/>
      <c r="Q869" s="8"/>
    </row>
    <row r="870" ht="12.75" spans="1:17">
      <c r="A870" s="4"/>
      <c r="B870" s="12"/>
      <c r="C870" s="12"/>
      <c r="D870" s="17"/>
      <c r="E870" s="12"/>
      <c r="F870" s="3"/>
      <c r="G870" s="3"/>
      <c r="L870" s="8"/>
      <c r="M870" s="8"/>
      <c r="N870" s="8"/>
      <c r="O870" s="8"/>
      <c r="P870" s="8"/>
      <c r="Q870" s="8"/>
    </row>
    <row r="871" ht="12.75" spans="1:17">
      <c r="A871" s="4"/>
      <c r="B871" s="12"/>
      <c r="C871" s="12"/>
      <c r="D871" s="17"/>
      <c r="E871" s="12"/>
      <c r="F871" s="3"/>
      <c r="G871" s="3"/>
      <c r="L871" s="8"/>
      <c r="M871" s="8"/>
      <c r="N871" s="8"/>
      <c r="O871" s="8"/>
      <c r="P871" s="8"/>
      <c r="Q871" s="8"/>
    </row>
    <row r="872" ht="12.75" spans="1:17">
      <c r="A872" s="4"/>
      <c r="B872" s="12"/>
      <c r="C872" s="12"/>
      <c r="D872" s="17"/>
      <c r="E872" s="12"/>
      <c r="F872" s="3"/>
      <c r="G872" s="3"/>
      <c r="L872" s="8"/>
      <c r="M872" s="8"/>
      <c r="N872" s="8"/>
      <c r="O872" s="8"/>
      <c r="P872" s="8"/>
      <c r="Q872" s="8"/>
    </row>
    <row r="873" ht="12.75" spans="1:17">
      <c r="A873" s="4"/>
      <c r="B873" s="12"/>
      <c r="C873" s="12"/>
      <c r="D873" s="17"/>
      <c r="E873" s="12"/>
      <c r="F873" s="3"/>
      <c r="G873" s="3"/>
      <c r="L873" s="8"/>
      <c r="M873" s="8"/>
      <c r="N873" s="8"/>
      <c r="O873" s="8"/>
      <c r="P873" s="8"/>
      <c r="Q873" s="8"/>
    </row>
    <row r="874" ht="12.75" spans="1:17">
      <c r="A874" s="4"/>
      <c r="B874" s="12"/>
      <c r="C874" s="12"/>
      <c r="D874" s="17"/>
      <c r="E874" s="12"/>
      <c r="F874" s="3"/>
      <c r="G874" s="3"/>
      <c r="L874" s="8"/>
      <c r="M874" s="8"/>
      <c r="N874" s="8"/>
      <c r="O874" s="8"/>
      <c r="P874" s="8"/>
      <c r="Q874" s="8"/>
    </row>
    <row r="875" ht="12.75" spans="1:17">
      <c r="A875" s="4"/>
      <c r="B875" s="12"/>
      <c r="C875" s="12"/>
      <c r="D875" s="17"/>
      <c r="E875" s="12"/>
      <c r="F875" s="3"/>
      <c r="G875" s="3"/>
      <c r="L875" s="8"/>
      <c r="M875" s="8"/>
      <c r="N875" s="8"/>
      <c r="O875" s="8"/>
      <c r="P875" s="8"/>
      <c r="Q875" s="8"/>
    </row>
    <row r="876" ht="12.75" spans="1:17">
      <c r="A876" s="4"/>
      <c r="B876" s="12"/>
      <c r="C876" s="12"/>
      <c r="D876" s="17"/>
      <c r="E876" s="12"/>
      <c r="F876" s="3"/>
      <c r="G876" s="3"/>
      <c r="L876" s="8"/>
      <c r="M876" s="8"/>
      <c r="N876" s="8"/>
      <c r="O876" s="8"/>
      <c r="P876" s="8"/>
      <c r="Q876" s="8"/>
    </row>
    <row r="877" ht="12.75" spans="1:17">
      <c r="A877" s="4"/>
      <c r="B877" s="12"/>
      <c r="C877" s="12"/>
      <c r="D877" s="17"/>
      <c r="E877" s="12"/>
      <c r="F877" s="3"/>
      <c r="G877" s="3"/>
      <c r="L877" s="8"/>
      <c r="M877" s="8"/>
      <c r="N877" s="8"/>
      <c r="O877" s="8"/>
      <c r="P877" s="8"/>
      <c r="Q877" s="8"/>
    </row>
    <row r="878" ht="12.75" spans="1:17">
      <c r="A878" s="4"/>
      <c r="B878" s="12"/>
      <c r="C878" s="12"/>
      <c r="D878" s="17"/>
      <c r="E878" s="12"/>
      <c r="F878" s="3"/>
      <c r="G878" s="3"/>
      <c r="L878" s="8"/>
      <c r="M878" s="8"/>
      <c r="N878" s="8"/>
      <c r="O878" s="8"/>
      <c r="P878" s="8"/>
      <c r="Q878" s="8"/>
    </row>
    <row r="879" ht="12.75" spans="1:17">
      <c r="A879" s="4"/>
      <c r="B879" s="12"/>
      <c r="C879" s="12"/>
      <c r="D879" s="17"/>
      <c r="E879" s="12"/>
      <c r="F879" s="3"/>
      <c r="G879" s="3"/>
      <c r="L879" s="8"/>
      <c r="M879" s="8"/>
      <c r="N879" s="8"/>
      <c r="O879" s="8"/>
      <c r="P879" s="8"/>
      <c r="Q879" s="8"/>
    </row>
    <row r="880" ht="12.75" spans="1:17">
      <c r="A880" s="4"/>
      <c r="B880" s="12"/>
      <c r="C880" s="12"/>
      <c r="D880" s="17"/>
      <c r="E880" s="12"/>
      <c r="F880" s="3"/>
      <c r="G880" s="3"/>
      <c r="L880" s="8"/>
      <c r="M880" s="8"/>
      <c r="N880" s="8"/>
      <c r="O880" s="8"/>
      <c r="P880" s="8"/>
      <c r="Q880" s="8"/>
    </row>
    <row r="881" ht="12.75" spans="1:17">
      <c r="A881" s="4"/>
      <c r="B881" s="12"/>
      <c r="C881" s="12"/>
      <c r="D881" s="17"/>
      <c r="E881" s="12"/>
      <c r="F881" s="3"/>
      <c r="G881" s="3"/>
      <c r="L881" s="8"/>
      <c r="M881" s="8"/>
      <c r="N881" s="8"/>
      <c r="O881" s="8"/>
      <c r="P881" s="8"/>
      <c r="Q881" s="8"/>
    </row>
    <row r="882" ht="12.75" spans="1:17">
      <c r="A882" s="4"/>
      <c r="B882" s="12"/>
      <c r="C882" s="12"/>
      <c r="D882" s="17"/>
      <c r="E882" s="12"/>
      <c r="F882" s="3"/>
      <c r="G882" s="3"/>
      <c r="L882" s="8"/>
      <c r="M882" s="8"/>
      <c r="N882" s="8"/>
      <c r="O882" s="8"/>
      <c r="P882" s="8"/>
      <c r="Q882" s="8"/>
    </row>
    <row r="883" ht="12.75" spans="1:17">
      <c r="A883" s="4"/>
      <c r="B883" s="12"/>
      <c r="C883" s="12"/>
      <c r="D883" s="17"/>
      <c r="E883" s="12"/>
      <c r="F883" s="3"/>
      <c r="G883" s="3"/>
      <c r="L883" s="8"/>
      <c r="M883" s="8"/>
      <c r="N883" s="8"/>
      <c r="O883" s="8"/>
      <c r="P883" s="8"/>
      <c r="Q883" s="8"/>
    </row>
    <row r="884" ht="12.75" spans="1:17">
      <c r="A884" s="4"/>
      <c r="B884" s="12"/>
      <c r="C884" s="12"/>
      <c r="D884" s="17"/>
      <c r="E884" s="12"/>
      <c r="F884" s="3"/>
      <c r="G884" s="3"/>
      <c r="L884" s="8"/>
      <c r="M884" s="8"/>
      <c r="N884" s="8"/>
      <c r="O884" s="8"/>
      <c r="P884" s="8"/>
      <c r="Q884" s="8"/>
    </row>
    <row r="885" ht="12.75" spans="1:17">
      <c r="A885" s="4"/>
      <c r="B885" s="12"/>
      <c r="C885" s="12"/>
      <c r="D885" s="17"/>
      <c r="E885" s="12"/>
      <c r="F885" s="3"/>
      <c r="G885" s="3"/>
      <c r="L885" s="8"/>
      <c r="M885" s="8"/>
      <c r="N885" s="8"/>
      <c r="O885" s="8"/>
      <c r="P885" s="8"/>
      <c r="Q885" s="8"/>
    </row>
    <row r="886" ht="12.75" spans="1:17">
      <c r="A886" s="4"/>
      <c r="B886" s="12"/>
      <c r="C886" s="12"/>
      <c r="D886" s="17"/>
      <c r="E886" s="12"/>
      <c r="F886" s="3"/>
      <c r="G886" s="3"/>
      <c r="L886" s="8"/>
      <c r="M886" s="8"/>
      <c r="N886" s="8"/>
      <c r="O886" s="8"/>
      <c r="P886" s="8"/>
      <c r="Q886" s="8"/>
    </row>
    <row r="887" ht="12.75" spans="1:17">
      <c r="A887" s="4"/>
      <c r="B887" s="12"/>
      <c r="C887" s="12"/>
      <c r="D887" s="17"/>
      <c r="E887" s="12"/>
      <c r="F887" s="3"/>
      <c r="G887" s="3"/>
      <c r="L887" s="8"/>
      <c r="M887" s="8"/>
      <c r="N887" s="8"/>
      <c r="O887" s="8"/>
      <c r="P887" s="8"/>
      <c r="Q887" s="8"/>
    </row>
    <row r="888" ht="12.75" spans="1:17">
      <c r="A888" s="4"/>
      <c r="B888" s="12"/>
      <c r="C888" s="12"/>
      <c r="D888" s="17"/>
      <c r="E888" s="12"/>
      <c r="F888" s="3"/>
      <c r="G888" s="3"/>
      <c r="L888" s="8"/>
      <c r="M888" s="8"/>
      <c r="N888" s="8"/>
      <c r="O888" s="8"/>
      <c r="P888" s="8"/>
      <c r="Q888" s="8"/>
    </row>
    <row r="889" ht="12.75" spans="1:17">
      <c r="A889" s="4"/>
      <c r="B889" s="12"/>
      <c r="C889" s="12"/>
      <c r="D889" s="17"/>
      <c r="E889" s="12"/>
      <c r="F889" s="3"/>
      <c r="G889" s="3"/>
      <c r="L889" s="8"/>
      <c r="M889" s="8"/>
      <c r="N889" s="8"/>
      <c r="O889" s="8"/>
      <c r="P889" s="8"/>
      <c r="Q889" s="8"/>
    </row>
    <row r="890" ht="12.75" spans="1:17">
      <c r="A890" s="4"/>
      <c r="B890" s="12"/>
      <c r="C890" s="12"/>
      <c r="D890" s="17"/>
      <c r="E890" s="12"/>
      <c r="F890" s="3"/>
      <c r="G890" s="3"/>
      <c r="L890" s="8"/>
      <c r="M890" s="8"/>
      <c r="N890" s="8"/>
      <c r="O890" s="8"/>
      <c r="P890" s="8"/>
      <c r="Q890" s="8"/>
    </row>
    <row r="891" ht="12.75" spans="1:17">
      <c r="A891" s="4"/>
      <c r="B891" s="12"/>
      <c r="C891" s="12"/>
      <c r="D891" s="17"/>
      <c r="E891" s="12"/>
      <c r="F891" s="3"/>
      <c r="G891" s="3"/>
      <c r="L891" s="8"/>
      <c r="M891" s="8"/>
      <c r="N891" s="8"/>
      <c r="O891" s="8"/>
      <c r="P891" s="8"/>
      <c r="Q891" s="8"/>
    </row>
    <row r="892" ht="12.75" spans="1:17">
      <c r="A892" s="4"/>
      <c r="B892" s="12"/>
      <c r="C892" s="12"/>
      <c r="D892" s="17"/>
      <c r="E892" s="12"/>
      <c r="F892" s="3"/>
      <c r="G892" s="3"/>
      <c r="L892" s="8"/>
      <c r="M892" s="8"/>
      <c r="N892" s="8"/>
      <c r="O892" s="8"/>
      <c r="P892" s="8"/>
      <c r="Q892" s="8"/>
    </row>
    <row r="893" ht="12.75" spans="1:17">
      <c r="A893" s="4"/>
      <c r="B893" s="12"/>
      <c r="C893" s="12"/>
      <c r="D893" s="17"/>
      <c r="E893" s="12"/>
      <c r="F893" s="3"/>
      <c r="G893" s="3"/>
      <c r="L893" s="8"/>
      <c r="M893" s="8"/>
      <c r="N893" s="8"/>
      <c r="O893" s="8"/>
      <c r="P893" s="8"/>
      <c r="Q893" s="8"/>
    </row>
    <row r="894" ht="12.75" spans="1:17">
      <c r="A894" s="4"/>
      <c r="B894" s="12"/>
      <c r="C894" s="12"/>
      <c r="D894" s="17"/>
      <c r="E894" s="12"/>
      <c r="F894" s="3"/>
      <c r="G894" s="3"/>
      <c r="L894" s="8"/>
      <c r="M894" s="8"/>
      <c r="N894" s="8"/>
      <c r="O894" s="8"/>
      <c r="P894" s="8"/>
      <c r="Q894" s="8"/>
    </row>
    <row r="895" ht="12.75" spans="1:17">
      <c r="A895" s="4"/>
      <c r="B895" s="12"/>
      <c r="C895" s="12"/>
      <c r="D895" s="17"/>
      <c r="E895" s="12"/>
      <c r="F895" s="3"/>
      <c r="G895" s="3"/>
      <c r="L895" s="8"/>
      <c r="M895" s="8"/>
      <c r="N895" s="8"/>
      <c r="O895" s="8"/>
      <c r="P895" s="8"/>
      <c r="Q895" s="8"/>
    </row>
    <row r="896" ht="12.75" spans="1:17">
      <c r="A896" s="4"/>
      <c r="B896" s="12"/>
      <c r="C896" s="12"/>
      <c r="D896" s="17"/>
      <c r="E896" s="12"/>
      <c r="F896" s="3"/>
      <c r="G896" s="3"/>
      <c r="L896" s="8"/>
      <c r="M896" s="8"/>
      <c r="N896" s="8"/>
      <c r="O896" s="8"/>
      <c r="P896" s="8"/>
      <c r="Q896" s="8"/>
    </row>
    <row r="897" ht="12.75" spans="1:17">
      <c r="A897" s="4"/>
      <c r="B897" s="12"/>
      <c r="C897" s="12"/>
      <c r="D897" s="17"/>
      <c r="E897" s="12"/>
      <c r="F897" s="3"/>
      <c r="G897" s="3"/>
      <c r="L897" s="8"/>
      <c r="M897" s="8"/>
      <c r="N897" s="8"/>
      <c r="O897" s="8"/>
      <c r="P897" s="8"/>
      <c r="Q897" s="8"/>
    </row>
    <row r="898" ht="12.75" spans="1:17">
      <c r="A898" s="4"/>
      <c r="B898" s="12"/>
      <c r="C898" s="12"/>
      <c r="D898" s="17"/>
      <c r="E898" s="12"/>
      <c r="F898" s="3"/>
      <c r="G898" s="3"/>
      <c r="L898" s="8"/>
      <c r="M898" s="8"/>
      <c r="N898" s="8"/>
      <c r="O898" s="8"/>
      <c r="P898" s="8"/>
      <c r="Q898" s="8"/>
    </row>
    <row r="899" ht="12.75" spans="1:17">
      <c r="A899" s="4"/>
      <c r="B899" s="12"/>
      <c r="C899" s="12"/>
      <c r="D899" s="17"/>
      <c r="E899" s="12"/>
      <c r="F899" s="3"/>
      <c r="G899" s="3"/>
      <c r="L899" s="8"/>
      <c r="M899" s="8"/>
      <c r="N899" s="8"/>
      <c r="O899" s="8"/>
      <c r="P899" s="8"/>
      <c r="Q899" s="8"/>
    </row>
    <row r="900" ht="12.75" spans="1:17">
      <c r="A900" s="4"/>
      <c r="B900" s="12"/>
      <c r="C900" s="12"/>
      <c r="D900" s="17"/>
      <c r="E900" s="12"/>
      <c r="F900" s="3"/>
      <c r="G900" s="3"/>
      <c r="L900" s="8"/>
      <c r="M900" s="8"/>
      <c r="N900" s="8"/>
      <c r="O900" s="8"/>
      <c r="P900" s="8"/>
      <c r="Q900" s="8"/>
    </row>
    <row r="901" ht="12.75" spans="1:17">
      <c r="A901" s="4"/>
      <c r="B901" s="12"/>
      <c r="C901" s="12"/>
      <c r="D901" s="17"/>
      <c r="E901" s="12"/>
      <c r="F901" s="3"/>
      <c r="G901" s="3"/>
      <c r="L901" s="8"/>
      <c r="M901" s="8"/>
      <c r="N901" s="8"/>
      <c r="O901" s="8"/>
      <c r="P901" s="8"/>
      <c r="Q901" s="8"/>
    </row>
    <row r="902" ht="12.75" spans="1:17">
      <c r="A902" s="4"/>
      <c r="B902" s="12"/>
      <c r="C902" s="12"/>
      <c r="D902" s="17"/>
      <c r="E902" s="12"/>
      <c r="F902" s="3"/>
      <c r="G902" s="3"/>
      <c r="L902" s="8"/>
      <c r="M902" s="8"/>
      <c r="N902" s="8"/>
      <c r="O902" s="8"/>
      <c r="P902" s="8"/>
      <c r="Q902" s="8"/>
    </row>
    <row r="903" ht="12.75" spans="1:17">
      <c r="A903" s="4"/>
      <c r="B903" s="12"/>
      <c r="C903" s="12"/>
      <c r="D903" s="17"/>
      <c r="E903" s="12"/>
      <c r="F903" s="3"/>
      <c r="G903" s="3"/>
      <c r="L903" s="8"/>
      <c r="M903" s="8"/>
      <c r="N903" s="8"/>
      <c r="O903" s="8"/>
      <c r="P903" s="8"/>
      <c r="Q903" s="8"/>
    </row>
    <row r="904" ht="12.75" spans="1:17">
      <c r="A904" s="4"/>
      <c r="B904" s="12"/>
      <c r="C904" s="12"/>
      <c r="D904" s="17"/>
      <c r="E904" s="12"/>
      <c r="F904" s="3"/>
      <c r="G904" s="3"/>
      <c r="L904" s="8"/>
      <c r="M904" s="8"/>
      <c r="N904" s="8"/>
      <c r="O904" s="8"/>
      <c r="P904" s="8"/>
      <c r="Q904" s="8"/>
    </row>
    <row r="905" ht="12.75" spans="1:17">
      <c r="A905" s="4"/>
      <c r="B905" s="12"/>
      <c r="C905" s="12"/>
      <c r="D905" s="17"/>
      <c r="E905" s="12"/>
      <c r="F905" s="3"/>
      <c r="G905" s="3"/>
      <c r="L905" s="8"/>
      <c r="M905" s="8"/>
      <c r="N905" s="8"/>
      <c r="O905" s="8"/>
      <c r="P905" s="8"/>
      <c r="Q905" s="8"/>
    </row>
    <row r="906" ht="12.75" spans="1:17">
      <c r="A906" s="4"/>
      <c r="B906" s="12"/>
      <c r="C906" s="12"/>
      <c r="D906" s="17"/>
      <c r="E906" s="12"/>
      <c r="F906" s="3"/>
      <c r="G906" s="3"/>
      <c r="L906" s="8"/>
      <c r="M906" s="8"/>
      <c r="N906" s="8"/>
      <c r="O906" s="8"/>
      <c r="P906" s="8"/>
      <c r="Q906" s="8"/>
    </row>
    <row r="907" ht="12.75" spans="1:17">
      <c r="A907" s="4"/>
      <c r="B907" s="12"/>
      <c r="C907" s="12"/>
      <c r="D907" s="17"/>
      <c r="E907" s="12"/>
      <c r="F907" s="3"/>
      <c r="G907" s="3"/>
      <c r="L907" s="8"/>
      <c r="M907" s="8"/>
      <c r="N907" s="8"/>
      <c r="O907" s="8"/>
      <c r="P907" s="8"/>
      <c r="Q907" s="8"/>
    </row>
    <row r="908" ht="12.75" spans="1:17">
      <c r="A908" s="4"/>
      <c r="B908" s="12"/>
      <c r="C908" s="12"/>
      <c r="D908" s="17"/>
      <c r="E908" s="12"/>
      <c r="F908" s="3"/>
      <c r="G908" s="3"/>
      <c r="L908" s="8"/>
      <c r="M908" s="8"/>
      <c r="N908" s="8"/>
      <c r="O908" s="8"/>
      <c r="P908" s="8"/>
      <c r="Q908" s="8"/>
    </row>
    <row r="909" ht="12.75" spans="1:17">
      <c r="A909" s="4"/>
      <c r="B909" s="12"/>
      <c r="C909" s="12"/>
      <c r="D909" s="17"/>
      <c r="E909" s="12"/>
      <c r="F909" s="3"/>
      <c r="G909" s="3"/>
      <c r="L909" s="8"/>
      <c r="M909" s="8"/>
      <c r="N909" s="8"/>
      <c r="O909" s="8"/>
      <c r="P909" s="8"/>
      <c r="Q909" s="8"/>
    </row>
    <row r="910" ht="12.75" spans="1:17">
      <c r="A910" s="4"/>
      <c r="B910" s="12"/>
      <c r="C910" s="12"/>
      <c r="D910" s="17"/>
      <c r="E910" s="12"/>
      <c r="F910" s="3"/>
      <c r="G910" s="3"/>
      <c r="L910" s="8"/>
      <c r="M910" s="8"/>
      <c r="N910" s="8"/>
      <c r="O910" s="8"/>
      <c r="P910" s="8"/>
      <c r="Q910" s="8"/>
    </row>
    <row r="911" ht="12.75" spans="1:17">
      <c r="A911" s="4"/>
      <c r="B911" s="12"/>
      <c r="C911" s="12"/>
      <c r="D911" s="17"/>
      <c r="E911" s="12"/>
      <c r="F911" s="3"/>
      <c r="G911" s="3"/>
      <c r="L911" s="8"/>
      <c r="M911" s="8"/>
      <c r="N911" s="8"/>
      <c r="O911" s="8"/>
      <c r="P911" s="8"/>
      <c r="Q911" s="8"/>
    </row>
    <row r="912" ht="12.75" spans="1:17">
      <c r="A912" s="4"/>
      <c r="B912" s="12"/>
      <c r="C912" s="12"/>
      <c r="D912" s="17"/>
      <c r="E912" s="12"/>
      <c r="F912" s="3"/>
      <c r="G912" s="3"/>
      <c r="L912" s="8"/>
      <c r="M912" s="8"/>
      <c r="N912" s="8"/>
      <c r="O912" s="8"/>
      <c r="P912" s="8"/>
      <c r="Q912" s="8"/>
    </row>
    <row r="913" ht="12.75" spans="1:17">
      <c r="A913" s="4"/>
      <c r="B913" s="12"/>
      <c r="C913" s="12"/>
      <c r="D913" s="17"/>
      <c r="E913" s="12"/>
      <c r="F913" s="3"/>
      <c r="G913" s="3"/>
      <c r="L913" s="8"/>
      <c r="M913" s="8"/>
      <c r="N913" s="8"/>
      <c r="O913" s="8"/>
      <c r="P913" s="8"/>
      <c r="Q913" s="8"/>
    </row>
    <row r="914" ht="12.75" spans="1:17">
      <c r="A914" s="4"/>
      <c r="B914" s="12"/>
      <c r="C914" s="12"/>
      <c r="D914" s="17"/>
      <c r="E914" s="12"/>
      <c r="F914" s="3"/>
      <c r="G914" s="3"/>
      <c r="L914" s="8"/>
      <c r="M914" s="8"/>
      <c r="N914" s="8"/>
      <c r="O914" s="8"/>
      <c r="P914" s="8"/>
      <c r="Q914" s="8"/>
    </row>
    <row r="915" ht="12.75" spans="1:17">
      <c r="A915" s="4"/>
      <c r="B915" s="12"/>
      <c r="C915" s="12"/>
      <c r="D915" s="17"/>
      <c r="E915" s="12"/>
      <c r="F915" s="3"/>
      <c r="G915" s="3"/>
      <c r="L915" s="8"/>
      <c r="M915" s="8"/>
      <c r="N915" s="8"/>
      <c r="O915" s="8"/>
      <c r="P915" s="8"/>
      <c r="Q915" s="8"/>
    </row>
    <row r="916" ht="12.75" spans="1:17">
      <c r="A916" s="4"/>
      <c r="B916" s="12"/>
      <c r="C916" s="12"/>
      <c r="D916" s="17"/>
      <c r="E916" s="12"/>
      <c r="F916" s="3"/>
      <c r="G916" s="3"/>
      <c r="L916" s="8"/>
      <c r="M916" s="8"/>
      <c r="N916" s="8"/>
      <c r="O916" s="8"/>
      <c r="P916" s="8"/>
      <c r="Q916" s="8"/>
    </row>
    <row r="917" ht="12.75" spans="1:17">
      <c r="A917" s="4"/>
      <c r="B917" s="12"/>
      <c r="C917" s="12"/>
      <c r="D917" s="17"/>
      <c r="E917" s="12"/>
      <c r="F917" s="3"/>
      <c r="G917" s="3"/>
      <c r="L917" s="8"/>
      <c r="M917" s="8"/>
      <c r="N917" s="8"/>
      <c r="O917" s="8"/>
      <c r="P917" s="8"/>
      <c r="Q917" s="8"/>
    </row>
    <row r="918" ht="12.75" spans="1:17">
      <c r="A918" s="4"/>
      <c r="B918" s="12"/>
      <c r="C918" s="12"/>
      <c r="D918" s="17"/>
      <c r="E918" s="12"/>
      <c r="F918" s="3"/>
      <c r="G918" s="3"/>
      <c r="L918" s="8"/>
      <c r="M918" s="8"/>
      <c r="N918" s="8"/>
      <c r="O918" s="8"/>
      <c r="P918" s="8"/>
      <c r="Q918" s="8"/>
    </row>
    <row r="919" ht="12.75" spans="1:17">
      <c r="A919" s="4"/>
      <c r="B919" s="12"/>
      <c r="C919" s="12"/>
      <c r="D919" s="17"/>
      <c r="E919" s="12"/>
      <c r="F919" s="3"/>
      <c r="G919" s="3"/>
      <c r="L919" s="8"/>
      <c r="M919" s="8"/>
      <c r="N919" s="8"/>
      <c r="O919" s="8"/>
      <c r="P919" s="8"/>
      <c r="Q919" s="8"/>
    </row>
    <row r="920" ht="12.75" spans="1:17">
      <c r="A920" s="4"/>
      <c r="B920" s="12"/>
      <c r="C920" s="12"/>
      <c r="D920" s="17"/>
      <c r="E920" s="12"/>
      <c r="F920" s="3"/>
      <c r="G920" s="3"/>
      <c r="L920" s="8"/>
      <c r="M920" s="8"/>
      <c r="N920" s="8"/>
      <c r="O920" s="8"/>
      <c r="P920" s="8"/>
      <c r="Q920" s="8"/>
    </row>
    <row r="921" ht="12.75" spans="1:17">
      <c r="A921" s="4"/>
      <c r="B921" s="12"/>
      <c r="C921" s="12"/>
      <c r="D921" s="17"/>
      <c r="E921" s="12"/>
      <c r="F921" s="3"/>
      <c r="G921" s="3"/>
      <c r="L921" s="8"/>
      <c r="M921" s="8"/>
      <c r="N921" s="8"/>
      <c r="O921" s="8"/>
      <c r="P921" s="8"/>
      <c r="Q921" s="8"/>
    </row>
    <row r="922" ht="12.75" spans="1:17">
      <c r="A922" s="4"/>
      <c r="B922" s="12"/>
      <c r="C922" s="12"/>
      <c r="D922" s="17"/>
      <c r="E922" s="12"/>
      <c r="F922" s="3"/>
      <c r="G922" s="3"/>
      <c r="L922" s="8"/>
      <c r="M922" s="8"/>
      <c r="N922" s="8"/>
      <c r="O922" s="8"/>
      <c r="P922" s="8"/>
      <c r="Q922" s="8"/>
    </row>
    <row r="923" ht="12.75" spans="1:17">
      <c r="A923" s="4"/>
      <c r="B923" s="12"/>
      <c r="C923" s="12"/>
      <c r="D923" s="17"/>
      <c r="E923" s="12"/>
      <c r="F923" s="3"/>
      <c r="G923" s="3"/>
      <c r="L923" s="8"/>
      <c r="M923" s="8"/>
      <c r="N923" s="8"/>
      <c r="O923" s="8"/>
      <c r="P923" s="8"/>
      <c r="Q923" s="8"/>
    </row>
    <row r="924" ht="12.75" spans="1:17">
      <c r="A924" s="4"/>
      <c r="B924" s="12"/>
      <c r="C924" s="12"/>
      <c r="D924" s="17"/>
      <c r="E924" s="12"/>
      <c r="F924" s="3"/>
      <c r="G924" s="3"/>
      <c r="L924" s="8"/>
      <c r="M924" s="8"/>
      <c r="N924" s="8"/>
      <c r="O924" s="8"/>
      <c r="P924" s="8"/>
      <c r="Q924" s="8"/>
    </row>
    <row r="925" ht="12.75" spans="1:17">
      <c r="A925" s="4"/>
      <c r="B925" s="12"/>
      <c r="C925" s="12"/>
      <c r="D925" s="17"/>
      <c r="E925" s="12"/>
      <c r="F925" s="3"/>
      <c r="G925" s="3"/>
      <c r="L925" s="8"/>
      <c r="M925" s="8"/>
      <c r="N925" s="8"/>
      <c r="O925" s="8"/>
      <c r="P925" s="8"/>
      <c r="Q925" s="8"/>
    </row>
    <row r="926" ht="12.75" spans="1:17">
      <c r="A926" s="4"/>
      <c r="B926" s="12"/>
      <c r="C926" s="12"/>
      <c r="D926" s="17"/>
      <c r="E926" s="12"/>
      <c r="F926" s="3"/>
      <c r="G926" s="3"/>
      <c r="L926" s="8"/>
      <c r="M926" s="8"/>
      <c r="N926" s="8"/>
      <c r="O926" s="8"/>
      <c r="P926" s="8"/>
      <c r="Q926" s="8"/>
    </row>
    <row r="927" ht="12.75" spans="1:17">
      <c r="A927" s="4"/>
      <c r="B927" s="12"/>
      <c r="C927" s="12"/>
      <c r="D927" s="17"/>
      <c r="E927" s="12"/>
      <c r="F927" s="3"/>
      <c r="G927" s="3"/>
      <c r="L927" s="8"/>
      <c r="M927" s="8"/>
      <c r="N927" s="8"/>
      <c r="O927" s="8"/>
      <c r="P927" s="8"/>
      <c r="Q927" s="8"/>
    </row>
    <row r="928" ht="12.75" spans="1:17">
      <c r="A928" s="4"/>
      <c r="B928" s="12"/>
      <c r="C928" s="12"/>
      <c r="D928" s="17"/>
      <c r="E928" s="12"/>
      <c r="F928" s="3"/>
      <c r="G928" s="3"/>
      <c r="L928" s="8"/>
      <c r="M928" s="8"/>
      <c r="N928" s="8"/>
      <c r="O928" s="8"/>
      <c r="P928" s="8"/>
      <c r="Q928" s="8"/>
    </row>
    <row r="929" ht="12.75" spans="1:17">
      <c r="A929" s="4"/>
      <c r="B929" s="12"/>
      <c r="C929" s="12"/>
      <c r="D929" s="17"/>
      <c r="E929" s="12"/>
      <c r="F929" s="3"/>
      <c r="G929" s="3"/>
      <c r="L929" s="8"/>
      <c r="M929" s="8"/>
      <c r="N929" s="8"/>
      <c r="O929" s="8"/>
      <c r="P929" s="8"/>
      <c r="Q929" s="8"/>
    </row>
    <row r="930" ht="12.75" spans="1:17">
      <c r="A930" s="4"/>
      <c r="B930" s="12"/>
      <c r="C930" s="12"/>
      <c r="D930" s="17"/>
      <c r="E930" s="12"/>
      <c r="F930" s="3"/>
      <c r="G930" s="3"/>
      <c r="L930" s="8"/>
      <c r="M930" s="8"/>
      <c r="N930" s="8"/>
      <c r="O930" s="8"/>
      <c r="P930" s="8"/>
      <c r="Q930" s="8"/>
    </row>
    <row r="931" ht="12.75" spans="1:17">
      <c r="A931" s="4"/>
      <c r="B931" s="12"/>
      <c r="C931" s="12"/>
      <c r="D931" s="17"/>
      <c r="E931" s="12"/>
      <c r="F931" s="3"/>
      <c r="G931" s="3"/>
      <c r="L931" s="8"/>
      <c r="M931" s="8"/>
      <c r="N931" s="8"/>
      <c r="O931" s="8"/>
      <c r="P931" s="8"/>
      <c r="Q931" s="8"/>
    </row>
    <row r="932" ht="12.75" spans="1:17">
      <c r="A932" s="4"/>
      <c r="B932" s="12"/>
      <c r="C932" s="12"/>
      <c r="D932" s="17"/>
      <c r="E932" s="12"/>
      <c r="F932" s="3"/>
      <c r="G932" s="3"/>
      <c r="L932" s="8"/>
      <c r="M932" s="8"/>
      <c r="N932" s="8"/>
      <c r="O932" s="8"/>
      <c r="P932" s="8"/>
      <c r="Q932" s="8"/>
    </row>
    <row r="933" ht="12.75" spans="1:17">
      <c r="A933" s="4"/>
      <c r="B933" s="12"/>
      <c r="C933" s="12"/>
      <c r="D933" s="17"/>
      <c r="E933" s="12"/>
      <c r="F933" s="3"/>
      <c r="G933" s="3"/>
      <c r="L933" s="8"/>
      <c r="M933" s="8"/>
      <c r="N933" s="8"/>
      <c r="O933" s="8"/>
      <c r="P933" s="8"/>
      <c r="Q933" s="8"/>
    </row>
    <row r="934" ht="12.75" spans="1:17">
      <c r="A934" s="4"/>
      <c r="B934" s="12"/>
      <c r="C934" s="12"/>
      <c r="D934" s="17"/>
      <c r="E934" s="12"/>
      <c r="F934" s="3"/>
      <c r="G934" s="3"/>
      <c r="L934" s="8"/>
      <c r="M934" s="8"/>
      <c r="N934" s="8"/>
      <c r="O934" s="8"/>
      <c r="P934" s="8"/>
      <c r="Q934" s="8"/>
    </row>
    <row r="935" ht="12.75" spans="1:17">
      <c r="A935" s="4"/>
      <c r="B935" s="12"/>
      <c r="C935" s="12"/>
      <c r="D935" s="17"/>
      <c r="E935" s="12"/>
      <c r="F935" s="3"/>
      <c r="G935" s="3"/>
      <c r="L935" s="8"/>
      <c r="M935" s="8"/>
      <c r="N935" s="8"/>
      <c r="O935" s="8"/>
      <c r="P935" s="8"/>
      <c r="Q935" s="8"/>
    </row>
    <row r="936" ht="12.75" spans="1:17">
      <c r="A936" s="4"/>
      <c r="B936" s="12"/>
      <c r="C936" s="12"/>
      <c r="D936" s="17"/>
      <c r="E936" s="12"/>
      <c r="F936" s="3"/>
      <c r="G936" s="3"/>
      <c r="L936" s="8"/>
      <c r="M936" s="8"/>
      <c r="N936" s="8"/>
      <c r="O936" s="8"/>
      <c r="P936" s="8"/>
      <c r="Q936" s="8"/>
    </row>
    <row r="937" ht="12.75" spans="1:17">
      <c r="A937" s="4"/>
      <c r="B937" s="12"/>
      <c r="C937" s="12"/>
      <c r="D937" s="17"/>
      <c r="E937" s="12"/>
      <c r="F937" s="3"/>
      <c r="G937" s="3"/>
      <c r="L937" s="8"/>
      <c r="M937" s="8"/>
      <c r="N937" s="8"/>
      <c r="O937" s="8"/>
      <c r="P937" s="8"/>
      <c r="Q937" s="8"/>
    </row>
    <row r="938" ht="12.75" spans="1:17">
      <c r="A938" s="4"/>
      <c r="B938" s="12"/>
      <c r="C938" s="12"/>
      <c r="D938" s="17"/>
      <c r="E938" s="12"/>
      <c r="F938" s="3"/>
      <c r="G938" s="3"/>
      <c r="L938" s="8"/>
      <c r="M938" s="8"/>
      <c r="N938" s="8"/>
      <c r="O938" s="8"/>
      <c r="P938" s="8"/>
      <c r="Q938" s="8"/>
    </row>
    <row r="939" ht="12.75" spans="1:17">
      <c r="A939" s="4"/>
      <c r="B939" s="12"/>
      <c r="C939" s="12"/>
      <c r="D939" s="17"/>
      <c r="E939" s="12"/>
      <c r="F939" s="3"/>
      <c r="G939" s="3"/>
      <c r="L939" s="8"/>
      <c r="M939" s="8"/>
      <c r="N939" s="8"/>
      <c r="O939" s="8"/>
      <c r="P939" s="8"/>
      <c r="Q939" s="8"/>
    </row>
    <row r="940" ht="12.75" spans="1:17">
      <c r="A940" s="4"/>
      <c r="B940" s="12"/>
      <c r="C940" s="12"/>
      <c r="D940" s="17"/>
      <c r="E940" s="12"/>
      <c r="F940" s="3"/>
      <c r="G940" s="3"/>
      <c r="L940" s="8"/>
      <c r="M940" s="8"/>
      <c r="N940" s="8"/>
      <c r="O940" s="8"/>
      <c r="P940" s="8"/>
      <c r="Q940" s="8"/>
    </row>
    <row r="941" ht="12.75" spans="1:17">
      <c r="A941" s="4"/>
      <c r="B941" s="12"/>
      <c r="C941" s="12"/>
      <c r="D941" s="17"/>
      <c r="E941" s="12"/>
      <c r="F941" s="3"/>
      <c r="G941" s="3"/>
      <c r="L941" s="8"/>
      <c r="M941" s="8"/>
      <c r="N941" s="8"/>
      <c r="O941" s="8"/>
      <c r="P941" s="8"/>
      <c r="Q941" s="8"/>
    </row>
    <row r="942" ht="12.75" spans="1:17">
      <c r="A942" s="4"/>
      <c r="B942" s="12"/>
      <c r="C942" s="12"/>
      <c r="D942" s="17"/>
      <c r="E942" s="12"/>
      <c r="F942" s="3"/>
      <c r="G942" s="3"/>
      <c r="L942" s="8"/>
      <c r="M942" s="8"/>
      <c r="N942" s="8"/>
      <c r="O942" s="8"/>
      <c r="P942" s="8"/>
      <c r="Q942" s="8"/>
    </row>
    <row r="943" ht="12.75" spans="1:17">
      <c r="A943" s="4"/>
      <c r="B943" s="12"/>
      <c r="C943" s="12"/>
      <c r="D943" s="17"/>
      <c r="E943" s="12"/>
      <c r="F943" s="3"/>
      <c r="G943" s="3"/>
      <c r="L943" s="8"/>
      <c r="M943" s="8"/>
      <c r="N943" s="8"/>
      <c r="O943" s="8"/>
      <c r="P943" s="8"/>
      <c r="Q943" s="8"/>
    </row>
    <row r="944" ht="12.75" spans="1:17">
      <c r="A944" s="4"/>
      <c r="B944" s="12"/>
      <c r="C944" s="12"/>
      <c r="D944" s="17"/>
      <c r="E944" s="12"/>
      <c r="F944" s="3"/>
      <c r="G944" s="3"/>
      <c r="L944" s="8"/>
      <c r="M944" s="8"/>
      <c r="N944" s="8"/>
      <c r="O944" s="8"/>
      <c r="P944" s="8"/>
      <c r="Q944" s="8"/>
    </row>
    <row r="945" ht="12.75" spans="1:17">
      <c r="A945" s="4"/>
      <c r="B945" s="12"/>
      <c r="C945" s="12"/>
      <c r="D945" s="17"/>
      <c r="E945" s="12"/>
      <c r="F945" s="3"/>
      <c r="G945" s="3"/>
      <c r="L945" s="8"/>
      <c r="M945" s="8"/>
      <c r="N945" s="8"/>
      <c r="O945" s="8"/>
      <c r="P945" s="8"/>
      <c r="Q945" s="8"/>
    </row>
    <row r="946" ht="12.75" spans="1:17">
      <c r="A946" s="4"/>
      <c r="B946" s="12"/>
      <c r="C946" s="12"/>
      <c r="D946" s="17"/>
      <c r="E946" s="12"/>
      <c r="F946" s="3"/>
      <c r="G946" s="3"/>
      <c r="L946" s="8"/>
      <c r="M946" s="8"/>
      <c r="N946" s="8"/>
      <c r="O946" s="8"/>
      <c r="P946" s="8"/>
      <c r="Q946" s="8"/>
    </row>
    <row r="947" ht="12.75" spans="1:17">
      <c r="A947" s="4"/>
      <c r="B947" s="12"/>
      <c r="C947" s="12"/>
      <c r="D947" s="17"/>
      <c r="E947" s="12"/>
      <c r="F947" s="3"/>
      <c r="G947" s="3"/>
      <c r="L947" s="8"/>
      <c r="M947" s="8"/>
      <c r="N947" s="8"/>
      <c r="O947" s="8"/>
      <c r="P947" s="8"/>
      <c r="Q947" s="8"/>
    </row>
    <row r="948" ht="12.75" spans="1:17">
      <c r="A948" s="4"/>
      <c r="B948" s="12"/>
      <c r="C948" s="12"/>
      <c r="D948" s="17"/>
      <c r="E948" s="12"/>
      <c r="F948" s="3"/>
      <c r="G948" s="3"/>
      <c r="L948" s="8"/>
      <c r="M948" s="8"/>
      <c r="N948" s="8"/>
      <c r="O948" s="8"/>
      <c r="P948" s="8"/>
      <c r="Q948" s="8"/>
    </row>
    <row r="949" ht="12.75" spans="1:17">
      <c r="A949" s="4"/>
      <c r="B949" s="12"/>
      <c r="C949" s="12"/>
      <c r="D949" s="17"/>
      <c r="E949" s="12"/>
      <c r="F949" s="3"/>
      <c r="G949" s="3"/>
      <c r="L949" s="8"/>
      <c r="M949" s="8"/>
      <c r="N949" s="8"/>
      <c r="O949" s="8"/>
      <c r="P949" s="8"/>
      <c r="Q949" s="8"/>
    </row>
    <row r="950" ht="12.75" spans="1:17">
      <c r="A950" s="4"/>
      <c r="B950" s="12"/>
      <c r="C950" s="12"/>
      <c r="D950" s="17"/>
      <c r="E950" s="12"/>
      <c r="F950" s="3"/>
      <c r="G950" s="3"/>
      <c r="L950" s="8"/>
      <c r="M950" s="8"/>
      <c r="N950" s="8"/>
      <c r="O950" s="8"/>
      <c r="P950" s="8"/>
      <c r="Q950" s="8"/>
    </row>
    <row r="951" ht="12.75" spans="1:17">
      <c r="A951" s="4"/>
      <c r="B951" s="12"/>
      <c r="C951" s="12"/>
      <c r="D951" s="17"/>
      <c r="E951" s="12"/>
      <c r="F951" s="3"/>
      <c r="G951" s="3"/>
      <c r="L951" s="8"/>
      <c r="M951" s="8"/>
      <c r="N951" s="8"/>
      <c r="O951" s="8"/>
      <c r="P951" s="8"/>
      <c r="Q951" s="8"/>
    </row>
    <row r="952" ht="12.75" spans="1:17">
      <c r="A952" s="4"/>
      <c r="B952" s="12"/>
      <c r="C952" s="12"/>
      <c r="D952" s="17"/>
      <c r="E952" s="12"/>
      <c r="F952" s="3"/>
      <c r="G952" s="3"/>
      <c r="L952" s="8"/>
      <c r="M952" s="8"/>
      <c r="N952" s="8"/>
      <c r="O952" s="8"/>
      <c r="P952" s="8"/>
      <c r="Q952" s="8"/>
    </row>
    <row r="953" ht="12.75" spans="1:17">
      <c r="A953" s="4"/>
      <c r="B953" s="12"/>
      <c r="C953" s="12"/>
      <c r="D953" s="17"/>
      <c r="E953" s="12"/>
      <c r="F953" s="3"/>
      <c r="G953" s="3"/>
      <c r="L953" s="8"/>
      <c r="M953" s="8"/>
      <c r="N953" s="8"/>
      <c r="O953" s="8"/>
      <c r="P953" s="8"/>
      <c r="Q953" s="8"/>
    </row>
    <row r="954" ht="12.75" spans="1:17">
      <c r="A954" s="4"/>
      <c r="B954" s="12"/>
      <c r="C954" s="12"/>
      <c r="D954" s="17"/>
      <c r="E954" s="12"/>
      <c r="F954" s="3"/>
      <c r="G954" s="3"/>
      <c r="L954" s="8"/>
      <c r="M954" s="8"/>
      <c r="N954" s="8"/>
      <c r="O954" s="8"/>
      <c r="P954" s="8"/>
      <c r="Q954" s="8"/>
    </row>
    <row r="955" ht="12.75" spans="1:17">
      <c r="A955" s="4"/>
      <c r="B955" s="12"/>
      <c r="C955" s="12"/>
      <c r="D955" s="17"/>
      <c r="E955" s="12"/>
      <c r="F955" s="3"/>
      <c r="G955" s="3"/>
      <c r="L955" s="8"/>
      <c r="M955" s="8"/>
      <c r="N955" s="8"/>
      <c r="O955" s="8"/>
      <c r="P955" s="8"/>
      <c r="Q955" s="8"/>
    </row>
    <row r="956" ht="12.75" spans="1:17">
      <c r="A956" s="4"/>
      <c r="B956" s="12"/>
      <c r="C956" s="12"/>
      <c r="D956" s="17"/>
      <c r="E956" s="12"/>
      <c r="F956" s="3"/>
      <c r="G956" s="3"/>
      <c r="L956" s="8"/>
      <c r="M956" s="8"/>
      <c r="N956" s="8"/>
      <c r="O956" s="8"/>
      <c r="P956" s="8"/>
      <c r="Q956" s="8"/>
    </row>
    <row r="957" ht="12.75" spans="1:17">
      <c r="A957" s="4"/>
      <c r="B957" s="12"/>
      <c r="C957" s="12"/>
      <c r="D957" s="17"/>
      <c r="E957" s="12"/>
      <c r="F957" s="3"/>
      <c r="G957" s="3"/>
      <c r="L957" s="8"/>
      <c r="M957" s="8"/>
      <c r="N957" s="8"/>
      <c r="O957" s="8"/>
      <c r="P957" s="8"/>
      <c r="Q957" s="8"/>
    </row>
    <row r="958" ht="12.75" spans="1:17">
      <c r="A958" s="4"/>
      <c r="B958" s="12"/>
      <c r="C958" s="12"/>
      <c r="D958" s="17"/>
      <c r="E958" s="12"/>
      <c r="F958" s="3"/>
      <c r="G958" s="3"/>
      <c r="L958" s="8"/>
      <c r="M958" s="8"/>
      <c r="N958" s="8"/>
      <c r="O958" s="8"/>
      <c r="P958" s="8"/>
      <c r="Q958" s="8"/>
    </row>
    <row r="959" ht="12.75" spans="1:17">
      <c r="A959" s="4"/>
      <c r="B959" s="12"/>
      <c r="C959" s="12"/>
      <c r="D959" s="17"/>
      <c r="E959" s="12"/>
      <c r="F959" s="3"/>
      <c r="G959" s="3"/>
      <c r="L959" s="8"/>
      <c r="M959" s="8"/>
      <c r="N959" s="8"/>
      <c r="O959" s="8"/>
      <c r="P959" s="8"/>
      <c r="Q959" s="8"/>
    </row>
    <row r="960" ht="12.75" spans="1:17">
      <c r="A960" s="4"/>
      <c r="B960" s="12"/>
      <c r="C960" s="12"/>
      <c r="D960" s="17"/>
      <c r="E960" s="12"/>
      <c r="F960" s="3"/>
      <c r="G960" s="3"/>
      <c r="L960" s="8"/>
      <c r="M960" s="8"/>
      <c r="N960" s="8"/>
      <c r="O960" s="8"/>
      <c r="P960" s="8"/>
      <c r="Q960" s="8"/>
    </row>
    <row r="961" ht="12.75" spans="1:17">
      <c r="A961" s="4"/>
      <c r="B961" s="12"/>
      <c r="C961" s="12"/>
      <c r="D961" s="17"/>
      <c r="E961" s="12"/>
      <c r="F961" s="3"/>
      <c r="G961" s="3"/>
      <c r="L961" s="8"/>
      <c r="M961" s="8"/>
      <c r="N961" s="8"/>
      <c r="O961" s="8"/>
      <c r="P961" s="8"/>
      <c r="Q961" s="8"/>
    </row>
    <row r="962" ht="12.75" spans="1:17">
      <c r="A962" s="4"/>
      <c r="B962" s="12"/>
      <c r="C962" s="12"/>
      <c r="D962" s="17"/>
      <c r="E962" s="12"/>
      <c r="F962" s="3"/>
      <c r="G962" s="3"/>
      <c r="L962" s="8"/>
      <c r="M962" s="8"/>
      <c r="N962" s="8"/>
      <c r="O962" s="8"/>
      <c r="P962" s="8"/>
      <c r="Q962" s="8"/>
    </row>
    <row r="963" ht="12.75" spans="1:17">
      <c r="A963" s="4"/>
      <c r="B963" s="12"/>
      <c r="C963" s="12"/>
      <c r="D963" s="17"/>
      <c r="E963" s="12"/>
      <c r="F963" s="3"/>
      <c r="G963" s="3"/>
      <c r="L963" s="8"/>
      <c r="M963" s="8"/>
      <c r="N963" s="8"/>
      <c r="O963" s="8"/>
      <c r="P963" s="8"/>
      <c r="Q963" s="8"/>
    </row>
    <row r="964" ht="12.75" spans="1:17">
      <c r="A964" s="4"/>
      <c r="B964" s="12"/>
      <c r="C964" s="12"/>
      <c r="D964" s="17"/>
      <c r="E964" s="12"/>
      <c r="F964" s="3"/>
      <c r="G964" s="3"/>
      <c r="L964" s="8"/>
      <c r="M964" s="8"/>
      <c r="N964" s="8"/>
      <c r="O964" s="8"/>
      <c r="P964" s="8"/>
      <c r="Q964" s="8"/>
    </row>
    <row r="965" ht="12.75" spans="1:17">
      <c r="A965" s="4"/>
      <c r="B965" s="12"/>
      <c r="C965" s="12"/>
      <c r="D965" s="17"/>
      <c r="E965" s="12"/>
      <c r="F965" s="3"/>
      <c r="G965" s="3"/>
      <c r="L965" s="8"/>
      <c r="M965" s="8"/>
      <c r="N965" s="8"/>
      <c r="O965" s="8"/>
      <c r="P965" s="8"/>
      <c r="Q965" s="8"/>
    </row>
    <row r="966" ht="12.75" spans="1:17">
      <c r="A966" s="4"/>
      <c r="B966" s="12"/>
      <c r="C966" s="12"/>
      <c r="D966" s="17"/>
      <c r="E966" s="12"/>
      <c r="F966" s="3"/>
      <c r="G966" s="3"/>
      <c r="L966" s="8"/>
      <c r="M966" s="8"/>
      <c r="N966" s="8"/>
      <c r="O966" s="8"/>
      <c r="P966" s="8"/>
      <c r="Q966" s="8"/>
    </row>
    <row r="967" ht="12.75" spans="1:17">
      <c r="A967" s="4"/>
      <c r="B967" s="12"/>
      <c r="C967" s="12"/>
      <c r="D967" s="17"/>
      <c r="E967" s="12"/>
      <c r="F967" s="3"/>
      <c r="G967" s="3"/>
      <c r="L967" s="8"/>
      <c r="M967" s="8"/>
      <c r="N967" s="8"/>
      <c r="O967" s="8"/>
      <c r="P967" s="8"/>
      <c r="Q967" s="8"/>
    </row>
    <row r="968" ht="12.75" spans="1:17">
      <c r="A968" s="4"/>
      <c r="B968" s="12"/>
      <c r="C968" s="12"/>
      <c r="D968" s="17"/>
      <c r="E968" s="12"/>
      <c r="F968" s="3"/>
      <c r="G968" s="3"/>
      <c r="L968" s="8"/>
      <c r="M968" s="8"/>
      <c r="N968" s="8"/>
      <c r="O968" s="8"/>
      <c r="P968" s="8"/>
      <c r="Q968" s="8"/>
    </row>
    <row r="969" ht="12.75" spans="1:17">
      <c r="A969" s="4"/>
      <c r="B969" s="12"/>
      <c r="C969" s="12"/>
      <c r="D969" s="17"/>
      <c r="E969" s="12"/>
      <c r="F969" s="3"/>
      <c r="G969" s="3"/>
      <c r="L969" s="8"/>
      <c r="M969" s="8"/>
      <c r="N969" s="8"/>
      <c r="O969" s="8"/>
      <c r="P969" s="8"/>
      <c r="Q969" s="8"/>
    </row>
    <row r="970" ht="12.75" spans="1:17">
      <c r="A970" s="4"/>
      <c r="B970" s="12"/>
      <c r="C970" s="12"/>
      <c r="D970" s="17"/>
      <c r="E970" s="12"/>
      <c r="F970" s="3"/>
      <c r="G970" s="3"/>
      <c r="L970" s="8"/>
      <c r="M970" s="8"/>
      <c r="N970" s="8"/>
      <c r="O970" s="8"/>
      <c r="P970" s="8"/>
      <c r="Q970" s="8"/>
    </row>
    <row r="971" ht="12.75" spans="1:17">
      <c r="A971" s="4"/>
      <c r="B971" s="12"/>
      <c r="C971" s="12"/>
      <c r="D971" s="17"/>
      <c r="E971" s="12"/>
      <c r="F971" s="3"/>
      <c r="G971" s="3"/>
      <c r="L971" s="8"/>
      <c r="M971" s="8"/>
      <c r="N971" s="8"/>
      <c r="O971" s="8"/>
      <c r="P971" s="8"/>
      <c r="Q971" s="8"/>
    </row>
    <row r="972" ht="12.75" spans="1:17">
      <c r="A972" s="4"/>
      <c r="B972" s="12"/>
      <c r="C972" s="12"/>
      <c r="D972" s="17"/>
      <c r="E972" s="12"/>
      <c r="F972" s="3"/>
      <c r="G972" s="3"/>
      <c r="L972" s="8"/>
      <c r="M972" s="8"/>
      <c r="N972" s="8"/>
      <c r="O972" s="8"/>
      <c r="P972" s="8"/>
      <c r="Q972" s="8"/>
    </row>
    <row r="973" ht="12.75" spans="1:17">
      <c r="A973" s="4"/>
      <c r="B973" s="12"/>
      <c r="C973" s="12"/>
      <c r="D973" s="17"/>
      <c r="E973" s="12"/>
      <c r="F973" s="3"/>
      <c r="G973" s="3"/>
      <c r="L973" s="8"/>
      <c r="M973" s="8"/>
      <c r="N973" s="8"/>
      <c r="O973" s="8"/>
      <c r="P973" s="8"/>
      <c r="Q973" s="8"/>
    </row>
    <row r="974" ht="12.75" spans="1:17">
      <c r="A974" s="4"/>
      <c r="B974" s="12"/>
      <c r="C974" s="12"/>
      <c r="D974" s="17"/>
      <c r="E974" s="12"/>
      <c r="F974" s="3"/>
      <c r="G974" s="3"/>
      <c r="L974" s="8"/>
      <c r="M974" s="8"/>
      <c r="N974" s="8"/>
      <c r="O974" s="8"/>
      <c r="P974" s="8"/>
      <c r="Q974" s="8"/>
    </row>
    <row r="975" ht="12.75" spans="1:17">
      <c r="A975" s="4"/>
      <c r="B975" s="12"/>
      <c r="C975" s="12"/>
      <c r="D975" s="17"/>
      <c r="E975" s="12"/>
      <c r="F975" s="3"/>
      <c r="G975" s="3"/>
      <c r="L975" s="8"/>
      <c r="M975" s="8"/>
      <c r="N975" s="8"/>
      <c r="O975" s="8"/>
      <c r="P975" s="8"/>
      <c r="Q975" s="8"/>
    </row>
    <row r="976" ht="12.75" spans="1:17">
      <c r="A976" s="4"/>
      <c r="B976" s="12"/>
      <c r="C976" s="12"/>
      <c r="D976" s="17"/>
      <c r="E976" s="12"/>
      <c r="F976" s="3"/>
      <c r="G976" s="3"/>
      <c r="L976" s="8"/>
      <c r="M976" s="8"/>
      <c r="N976" s="8"/>
      <c r="O976" s="8"/>
      <c r="P976" s="8"/>
      <c r="Q976" s="8"/>
    </row>
    <row r="977" ht="12.75" spans="1:17">
      <c r="A977" s="4"/>
      <c r="B977" s="12"/>
      <c r="C977" s="12"/>
      <c r="D977" s="17"/>
      <c r="E977" s="12"/>
      <c r="F977" s="3"/>
      <c r="G977" s="3"/>
      <c r="L977" s="8"/>
      <c r="M977" s="8"/>
      <c r="N977" s="8"/>
      <c r="O977" s="8"/>
      <c r="P977" s="8"/>
      <c r="Q977" s="8"/>
    </row>
    <row r="978" ht="12.75" spans="1:17">
      <c r="A978" s="4"/>
      <c r="B978" s="12"/>
      <c r="C978" s="12"/>
      <c r="D978" s="17"/>
      <c r="E978" s="12"/>
      <c r="F978" s="3"/>
      <c r="G978" s="3"/>
      <c r="L978" s="8"/>
      <c r="M978" s="8"/>
      <c r="N978" s="8"/>
      <c r="O978" s="8"/>
      <c r="P978" s="8"/>
      <c r="Q978" s="8"/>
    </row>
    <row r="979" ht="12.75" spans="1:17">
      <c r="A979" s="4"/>
      <c r="B979" s="12"/>
      <c r="C979" s="12"/>
      <c r="D979" s="17"/>
      <c r="E979" s="12"/>
      <c r="F979" s="3"/>
      <c r="G979" s="3"/>
      <c r="L979" s="8"/>
      <c r="M979" s="8"/>
      <c r="N979" s="8"/>
      <c r="O979" s="8"/>
      <c r="P979" s="8"/>
      <c r="Q979" s="8"/>
    </row>
    <row r="980" ht="12.75" spans="1:17">
      <c r="A980" s="4"/>
      <c r="B980" s="12"/>
      <c r="C980" s="12"/>
      <c r="D980" s="17"/>
      <c r="E980" s="12"/>
      <c r="F980" s="3"/>
      <c r="G980" s="3"/>
      <c r="L980" s="8"/>
      <c r="M980" s="8"/>
      <c r="N980" s="8"/>
      <c r="O980" s="8"/>
      <c r="P980" s="8"/>
      <c r="Q980" s="8"/>
    </row>
    <row r="981" ht="12.75" spans="1:17">
      <c r="A981" s="4"/>
      <c r="B981" s="12"/>
      <c r="C981" s="12"/>
      <c r="D981" s="17"/>
      <c r="E981" s="12"/>
      <c r="F981" s="3"/>
      <c r="G981" s="3"/>
      <c r="L981" s="8"/>
      <c r="M981" s="8"/>
      <c r="N981" s="8"/>
      <c r="O981" s="8"/>
      <c r="P981" s="8"/>
      <c r="Q981" s="8"/>
    </row>
    <row r="982" ht="12.75" spans="1:17">
      <c r="A982" s="4"/>
      <c r="B982" s="12"/>
      <c r="C982" s="12"/>
      <c r="D982" s="17"/>
      <c r="E982" s="12"/>
      <c r="F982" s="3"/>
      <c r="G982" s="3"/>
      <c r="L982" s="8"/>
      <c r="M982" s="8"/>
      <c r="N982" s="8"/>
      <c r="O982" s="8"/>
      <c r="P982" s="8"/>
      <c r="Q982" s="8"/>
    </row>
    <row r="983" ht="12.75" spans="1:17">
      <c r="A983" s="4"/>
      <c r="B983" s="12"/>
      <c r="C983" s="12"/>
      <c r="D983" s="17"/>
      <c r="E983" s="12"/>
      <c r="F983" s="3"/>
      <c r="G983" s="3"/>
      <c r="L983" s="8"/>
      <c r="M983" s="8"/>
      <c r="N983" s="8"/>
      <c r="O983" s="8"/>
      <c r="P983" s="8"/>
      <c r="Q983" s="8"/>
    </row>
    <row r="984" ht="12.75" spans="1:17">
      <c r="A984" s="4"/>
      <c r="B984" s="12"/>
      <c r="C984" s="12"/>
      <c r="D984" s="17"/>
      <c r="E984" s="12"/>
      <c r="F984" s="3"/>
      <c r="G984" s="3"/>
      <c r="L984" s="8"/>
      <c r="M984" s="8"/>
      <c r="N984" s="8"/>
      <c r="O984" s="8"/>
      <c r="P984" s="8"/>
      <c r="Q984" s="8"/>
    </row>
    <row r="985" ht="12.75" spans="1:17">
      <c r="A985" s="4"/>
      <c r="B985" s="12"/>
      <c r="C985" s="12"/>
      <c r="D985" s="17"/>
      <c r="E985" s="12"/>
      <c r="F985" s="3"/>
      <c r="G985" s="3"/>
      <c r="L985" s="8"/>
      <c r="M985" s="8"/>
      <c r="N985" s="8"/>
      <c r="O985" s="8"/>
      <c r="P985" s="8"/>
      <c r="Q985" s="8"/>
    </row>
    <row r="986" ht="12.75" spans="1:17">
      <c r="A986" s="4"/>
      <c r="B986" s="12"/>
      <c r="C986" s="12"/>
      <c r="D986" s="17"/>
      <c r="E986" s="12"/>
      <c r="F986" s="3"/>
      <c r="G986" s="3"/>
      <c r="L986" s="8"/>
      <c r="M986" s="8"/>
      <c r="N986" s="8"/>
      <c r="O986" s="8"/>
      <c r="P986" s="8"/>
      <c r="Q986" s="8"/>
    </row>
    <row r="987" ht="12.75" spans="1:17">
      <c r="A987" s="4"/>
      <c r="B987" s="12"/>
      <c r="C987" s="12"/>
      <c r="D987" s="17"/>
      <c r="E987" s="12"/>
      <c r="F987" s="3"/>
      <c r="G987" s="3"/>
      <c r="L987" s="8"/>
      <c r="M987" s="8"/>
      <c r="N987" s="8"/>
      <c r="O987" s="8"/>
      <c r="P987" s="8"/>
      <c r="Q987" s="8"/>
    </row>
    <row r="988" ht="12.75" spans="1:17">
      <c r="A988" s="4"/>
      <c r="B988" s="12"/>
      <c r="C988" s="12"/>
      <c r="D988" s="17"/>
      <c r="E988" s="12"/>
      <c r="F988" s="3"/>
      <c r="G988" s="3"/>
      <c r="L988" s="8"/>
      <c r="M988" s="8"/>
      <c r="N988" s="8"/>
      <c r="O988" s="8"/>
      <c r="P988" s="8"/>
      <c r="Q988" s="8"/>
    </row>
    <row r="989" ht="12.75" spans="1:17">
      <c r="A989" s="4"/>
      <c r="B989" s="12"/>
      <c r="C989" s="12"/>
      <c r="D989" s="17"/>
      <c r="E989" s="12"/>
      <c r="F989" s="3"/>
      <c r="G989" s="3"/>
      <c r="L989" s="8"/>
      <c r="M989" s="8"/>
      <c r="N989" s="8"/>
      <c r="O989" s="8"/>
      <c r="P989" s="8"/>
      <c r="Q989" s="8"/>
    </row>
    <row r="990" ht="12.75" spans="1:17">
      <c r="A990" s="4"/>
      <c r="B990" s="12"/>
      <c r="C990" s="12"/>
      <c r="D990" s="17"/>
      <c r="E990" s="12"/>
      <c r="F990" s="3"/>
      <c r="G990" s="3"/>
      <c r="L990" s="8"/>
      <c r="M990" s="8"/>
      <c r="N990" s="8"/>
      <c r="O990" s="8"/>
      <c r="P990" s="8"/>
      <c r="Q990" s="8"/>
    </row>
    <row r="991" ht="12.75" spans="1:17">
      <c r="A991" s="4"/>
      <c r="B991" s="12"/>
      <c r="C991" s="12"/>
      <c r="D991" s="17"/>
      <c r="E991" s="12"/>
      <c r="F991" s="3"/>
      <c r="G991" s="3"/>
      <c r="L991" s="8"/>
      <c r="M991" s="8"/>
      <c r="N991" s="8"/>
      <c r="O991" s="8"/>
      <c r="P991" s="8"/>
      <c r="Q991" s="8"/>
    </row>
    <row r="992" ht="12.75" spans="1:17">
      <c r="A992" s="4"/>
      <c r="B992" s="12"/>
      <c r="C992" s="12"/>
      <c r="D992" s="17"/>
      <c r="E992" s="12"/>
      <c r="F992" s="3"/>
      <c r="G992" s="3"/>
      <c r="L992" s="8"/>
      <c r="M992" s="8"/>
      <c r="N992" s="8"/>
      <c r="O992" s="8"/>
      <c r="P992" s="8"/>
      <c r="Q992" s="8"/>
    </row>
    <row r="993" ht="12.75" spans="1:17">
      <c r="A993" s="4"/>
      <c r="B993" s="12"/>
      <c r="C993" s="12"/>
      <c r="D993" s="17"/>
      <c r="E993" s="12"/>
      <c r="F993" s="3"/>
      <c r="G993" s="3"/>
      <c r="L993" s="8"/>
      <c r="M993" s="8"/>
      <c r="N993" s="8"/>
      <c r="O993" s="8"/>
      <c r="P993" s="8"/>
      <c r="Q993" s="8"/>
    </row>
    <row r="994" ht="12.75" spans="1:17">
      <c r="A994" s="4"/>
      <c r="B994" s="12"/>
      <c r="C994" s="12"/>
      <c r="D994" s="17"/>
      <c r="E994" s="12"/>
      <c r="F994" s="3"/>
      <c r="G994" s="3"/>
      <c r="L994" s="8"/>
      <c r="M994" s="8"/>
      <c r="N994" s="8"/>
      <c r="O994" s="8"/>
      <c r="P994" s="8"/>
      <c r="Q994" s="8"/>
    </row>
    <row r="995" ht="12.75" spans="1:17">
      <c r="A995" s="4"/>
      <c r="B995" s="12"/>
      <c r="C995" s="12"/>
      <c r="D995" s="17"/>
      <c r="E995" s="12"/>
      <c r="F995" s="3"/>
      <c r="G995" s="3"/>
      <c r="L995" s="8"/>
      <c r="M995" s="8"/>
      <c r="N995" s="8"/>
      <c r="O995" s="8"/>
      <c r="P995" s="8"/>
      <c r="Q995" s="8"/>
    </row>
    <row r="996" ht="12.75" spans="1:17">
      <c r="A996" s="4"/>
      <c r="B996" s="12"/>
      <c r="C996" s="12"/>
      <c r="D996" s="17"/>
      <c r="E996" s="12"/>
      <c r="F996" s="3"/>
      <c r="G996" s="3"/>
      <c r="L996" s="8"/>
      <c r="M996" s="8"/>
      <c r="N996" s="8"/>
      <c r="O996" s="8"/>
      <c r="P996" s="8"/>
      <c r="Q996" s="8"/>
    </row>
    <row r="997" ht="12.75" spans="1:17">
      <c r="A997" s="4"/>
      <c r="B997" s="12"/>
      <c r="C997" s="12"/>
      <c r="D997" s="17"/>
      <c r="E997" s="12"/>
      <c r="F997" s="3"/>
      <c r="G997" s="3"/>
      <c r="L997" s="8"/>
      <c r="M997" s="8"/>
      <c r="N997" s="8"/>
      <c r="O997" s="8"/>
      <c r="P997" s="8"/>
      <c r="Q997" s="8"/>
    </row>
    <row r="998" ht="12.75" spans="1:17">
      <c r="A998" s="4"/>
      <c r="B998" s="12"/>
      <c r="C998" s="12"/>
      <c r="D998" s="17"/>
      <c r="E998" s="12"/>
      <c r="F998" s="3"/>
      <c r="G998" s="3"/>
      <c r="L998" s="8"/>
      <c r="M998" s="8"/>
      <c r="N998" s="8"/>
      <c r="O998" s="8"/>
      <c r="P998" s="8"/>
      <c r="Q998" s="8"/>
    </row>
    <row r="999" ht="12.75" spans="1:17">
      <c r="A999" s="4"/>
      <c r="B999" s="12"/>
      <c r="C999" s="12"/>
      <c r="D999" s="17"/>
      <c r="E999" s="12"/>
      <c r="F999" s="3"/>
      <c r="G999" s="3"/>
      <c r="L999" s="8"/>
      <c r="M999" s="8"/>
      <c r="N999" s="8"/>
      <c r="O999" s="8"/>
      <c r="P999" s="8"/>
      <c r="Q999" s="8"/>
    </row>
    <row r="1000" ht="12.75" spans="1:17">
      <c r="A1000" s="4"/>
      <c r="B1000" s="12"/>
      <c r="C1000" s="12"/>
      <c r="D1000" s="17"/>
      <c r="E1000" s="12"/>
      <c r="F1000" s="3"/>
      <c r="G1000" s="3"/>
      <c r="L1000" s="8"/>
      <c r="M1000" s="8"/>
      <c r="N1000" s="8"/>
      <c r="O1000" s="8"/>
      <c r="P1000" s="8"/>
      <c r="Q1000" s="8"/>
    </row>
  </sheetData>
  <hyperlinks>
    <hyperlink ref="C2" r:id="rId1" display="=IFERROR(@__xludf.DUMMYFUNCTION(&quot;&quot;&quot;COMPUTED_VALUE&quot;&quot;&quot;),&quot;https://vt.tiktok.com/ZSH3JVkKEGdfu-PAEKZ/&quot;)"/>
    <hyperlink ref="C3" r:id="rId2" display="=IFERROR(@__xludf.DUMMYFUNCTION(&quot;&quot;&quot;COMPUTED_VALUE&quot;&quot;&quot;),&quot;https://vt.tiktok.com/ZSHT5xkbLkLs2-G2Wqn/&quot;)"/>
    <hyperlink ref="C4" r:id="rId3" display="=IFERROR(@__xludf.DUMMYFUNCTION(&quot;&quot;&quot;COMPUTED_VALUE&quot;&quot;&quot;),&quot;https://vt.tiktok.com/ZSHT5CfuSkLNC-NTPBZ/&quot;)"/>
    <hyperlink ref="C5" r:id="rId4" display="=IFERROR(@__xludf.DUMMYFUNCTION(&quot;&quot;&quot;COMPUTED_VALUE&quot;&quot;&quot;),&quot;vt.tiktok.com/ZSHT5CpP4R5N1-SfueQ/&quot;)"/>
    <hyperlink ref="C6" r:id="rId5" display="=IFERROR(@__xludf.DUMMYFUNCTION(&quot;&quot;&quot;COMPUTED_VALUE&quot;&quot;&quot;),&quot;vt.tiktok.com/ZSHTpAtNHF14b-nVTh8/&quot;)"/>
    <hyperlink ref="C7" r:id="rId6" display="=IFERROR(@__xludf.DUMMYFUNCTION(&quot;&quot;&quot;COMPUTED_VALUE&quot;&quot;&quot;),&quot;https://vt.tiktok.com/ZSHctVNm2Bccg-vpg8Y/&quot;)"/>
    <hyperlink ref="C8" r:id="rId7" display="=IFERROR(@__xludf.DUMMYFUNCTION(&quot;&quot;&quot;COMPUTED_VALUE&quot;&quot;&quot;),&quot;vt.tiktok.com/ZSH3LpN3n2xrB-MVTvN/&quot;)"/>
    <hyperlink ref="C9" r:id="rId8" display="=IFERROR(@__xludf.DUMMYFUNCTION(&quot;&quot;&quot;COMPUTED_VALUE&quot;&quot;&quot;),&quot;vt.tiktok.com/ZSH3pKeNvNVTd-qNeWF/&quot;)"/>
    <hyperlink ref="C10" r:id="rId9" display="=IFERROR(@__xludf.DUMMYFUNCTION(&quot;&quot;&quot;COMPUTED_VALUE&quot;&quot;&quot;),&quot;https://vt.tiktok.com/ZSHTycq8HomNu-cKhYT/&quot;)"/>
    <hyperlink ref="C11" r:id="rId10" display="=IFERROR(@__xludf.DUMMYFUNCTION(&quot;&quot;&quot;COMPUTED_VALUE&quot;&quot;&quot;),&quot;https://vt.tiktok.com/ZSHTy31txRjuY-mcq9c/&quot;)"/>
    <hyperlink ref="C12" r:id="rId11" display="=IFERROR(@__xludf.DUMMYFUNCTION(&quot;&quot;&quot;COMPUTED_VALUE&quot;&quot;&quot;),&quot;https://vt.tiktok.com/ZSHT5xVvvowTD-sVscQ/&quot;)"/>
    <hyperlink ref="C13" r:id="rId12" display="=IFERROR(@__xludf.DUMMYFUNCTION(&quot;&quot;&quot;COMPUTED_VALUE&quot;&quot;&quot;),&quot;vt.tiktok.com/ZSHT5QS4FLkPv-dJBAW/&quot;)"/>
    <hyperlink ref="C14" r:id="rId13" display="=IFERROR(@__xludf.DUMMYFUNCTION(&quot;&quot;&quot;COMPUTED_VALUE&quot;&quot;&quot;),&quot;https://vt.tiktok.com/ZSHT5QQVjeqPT-JDPNG/&quot;)"/>
    <hyperlink ref="C15" r:id="rId14" display="=IFERROR(@__xludf.DUMMYFUNCTION(&quot;&quot;&quot;COMPUTED_VALUE&quot;&quot;&quot;),&quot;https://vt.tiktok.com/ZSHTgnFdqUWup-YP87x/&quot;)"/>
    <hyperlink ref="C16" r:id="rId15" display="=IFERROR(@__xludf.DUMMYFUNCTION(&quot;&quot;&quot;COMPUTED_VALUE&quot;&quot;&quot;),&quot;https://vt.tiktok.com/ZSHTvKL3hndtb-uvPEK/&quot;)"/>
    <hyperlink ref="C17" r:id="rId16" display="=IFERROR(@__xludf.DUMMYFUNCTION(&quot;&quot;&quot;COMPUTED_VALUE&quot;&quot;&quot;),&quot;vt.tiktok.com/ZSHwPGSCTjSSc-GaE44/&quot;)"/>
    <hyperlink ref="C18" r:id="rId17" display="=IFERROR(@__xludf.DUMMYFUNCTION(&quot;&quot;&quot;COMPUTED_VALUE&quot;&quot;&quot;),&quot;https://vt.tiktok.com/ZSHWtvcSCDp5X-ykV3E/&quot;)"/>
    <hyperlink ref="C19" r:id="rId18" display="=IFERROR(@__xludf.DUMMYFUNCTION(&quot;&quot;&quot;COMPUTED_VALUE&quot;&quot;&quot;),&quot;https://vt.tiktok.com/ZSH7j84V5qkYB-uvpSC/&quot;)"/>
    <hyperlink ref="C20" r:id="rId19" display="=IFERROR(@__xludf.DUMMYFUNCTION(&quot;&quot;&quot;COMPUTED_VALUE&quot;&quot;&quot;),&quot;https://vt.tiktok.com/ZSH7Ndvb2tyJF-32oqi/&quot;)"/>
    <hyperlink ref="C21" r:id="rId20" display="=IFERROR(@__xludf.DUMMYFUNCTION(&quot;&quot;&quot;COMPUTED_VALUE&quot;&quot;&quot;),&quot;https://vt.tiktok.com/ZSH7Lgbn2LHLq-HsvDb/&quot;)"/>
    <hyperlink ref="C22" r:id="rId21" display="=IFERROR(@__xludf.DUMMYFUNCTION(&quot;&quot;&quot;COMPUTED_VALUE&quot;&quot;&quot;),&quot;https://vt.tiktok.com/ZSH7NNt9dBLGa-5nUrx/&quot;)"/>
    <hyperlink ref="C23" r:id="rId22" display="=IFERROR(@__xludf.DUMMYFUNCTION(&quot;&quot;&quot;COMPUTED_VALUE&quot;&quot;&quot;),&quot;https://vt.tiktok.com/ZSH7bQJnBmbGK-vKKiZ/&quot;)"/>
    <hyperlink ref="C24" r:id="rId23" display="=IFERROR(@__xludf.DUMMYFUNCTION(&quot;&quot;&quot;COMPUTED_VALUE&quot;&quot;&quot;),&quot;https://vt.tiktok.com/ZSH7NA1b5G51g-gTMzm/&quot;)"/>
    <hyperlink ref="C25" r:id="rId24" display="=IFERROR(@__xludf.DUMMYFUNCTION(&quot;&quot;&quot;COMPUTED_VALUE&quot;&quot;&quot;),&quot;https://vt.tiktok.com/ZSH7NAvpKr4YG-p9V7O/&quot;)"/>
    <hyperlink ref="C26" r:id="rId25" display="=IFERROR(@__xludf.DUMMYFUNCTION(&quot;&quot;&quot;COMPUTED_VALUE&quot;&quot;&quot;),&quot;https://vt.tiktok.com/ZSH7NfPmWBA3G-X3k3L/&quot;)"/>
    <hyperlink ref="C27" r:id="rId26" display="=IFERROR(@__xludf.DUMMYFUNCTION(&quot;&quot;&quot;COMPUTED_VALUE&quot;&quot;&quot;),&quot;https://vt.tiktok.com/ZSH7j8KmHpc7x-oHyzL/&quot;)"/>
    <hyperlink ref="C28" r:id="rId27" display="=IFERROR(@__xludf.DUMMYFUNCTION(&quot;&quot;&quot;COMPUTED_VALUE&quot;&quot;&quot;),&quot;https://vt.tiktok.com/ZSH7bHATobpsp-rzLiT/&quot;)"/>
    <hyperlink ref="C29" r:id="rId28" display="=IFERROR(@__xludf.DUMMYFUNCTION(&quot;&quot;&quot;COMPUTED_VALUE&quot;&quot;&quot;),&quot;https://vt.tiktok.com/ZSH7b9UKEtX6K-fCILL/&quot;)"/>
    <hyperlink ref="C30" r:id="rId29" display="=IFERROR(@__xludf.DUMMYFUNCTION(&quot;&quot;&quot;COMPUTED_VALUE&quot;&quot;&quot;),&quot;https://vt.tiktok.com/ZSH7b9nDptkmN-4WGO9/&quot;)"/>
    <hyperlink ref="C31" r:id="rId30" display="=IFERROR(@__xludf.DUMMYFUNCTION(&quot;&quot;&quot;COMPUTED_VALUE&quot;&quot;&quot;),&quot;https://vt.tiktok.com/ZSH7bQptMsfF4-MAXho/&quot;)"/>
    <hyperlink ref="C32" r:id="rId31" display="=IFERROR(@__xludf.DUMMYFUNCTION(&quot;&quot;&quot;COMPUTED_VALUE&quot;&quot;&quot;),&quot;https://vt.tiktok.com/ZSH7bXFqX4BJm-AoaRR/&quot;)"/>
    <hyperlink ref="C33" r:id="rId32" display="=IFERROR(@__xludf.DUMMYFUNCTION(&quot;&quot;&quot;COMPUTED_VALUE&quot;&quot;&quot;),&quot;https://vt.tiktok.com/ZSH7bXgcybuEj-YGqSI/&quot;)"/>
    <hyperlink ref="C34" r:id="rId33" display="=IFERROR(@__xludf.DUMMYFUNCTION(&quot;&quot;&quot;COMPUTED_VALUE&quot;&quot;&quot;),&quot;https://vt.tiktok.com/ZSH7b464J9pXR-6H0Ep/&quot;)"/>
    <hyperlink ref="C35" r:id="rId34" display="=IFERROR(@__xludf.DUMMYFUNCTION(&quot;&quot;&quot;COMPUTED_VALUE&quot;&quot;&quot;),&quot;vt.tiktok.com/ZSH3s8JNQaean-aBXwn/&quot;)"/>
    <hyperlink ref="C36" r:id="rId35" display="=IFERROR(@__xludf.DUMMYFUNCTION(&quot;&quot;&quot;COMPUTED_VALUE&quot;&quot;&quot;),&quot;https://vt.tiktok.com/ZSHv82Agy7txh-Nh0PC/&quot;)"/>
    <hyperlink ref="C37" r:id="rId36" display="=IFERROR(@__xludf.DUMMYFUNCTION(&quot;&quot;&quot;COMPUTED_VALUE&quot;&quot;&quot;),&quot;https://vt.tiktok.com/ZSHv82WAAWdxt-IxR8C/&quot;)"/>
    <hyperlink ref="C38" r:id="rId37" display="=IFERROR(@__xludf.DUMMYFUNCTION(&quot;&quot;&quot;COMPUTED_VALUE&quot;&quot;&quot;),&quot;https://vt.tiktok.com/ZSHv8jP5SFkje-yhHru/&quot;)"/>
    <hyperlink ref="C39" r:id="rId38" display="=IFERROR(@__xludf.DUMMYFUNCTION(&quot;&quot;&quot;COMPUTED_VALUE&quot;&quot;&quot;),&quot;https://vt.tiktok.com/ZSHv8j7cmEpWs-qFH2A/&quot;)"/>
    <hyperlink ref="C40" r:id="rId39" display="=IFERROR(@__xludf.DUMMYFUNCTION(&quot;&quot;&quot;COMPUTED_VALUE&quot;&quot;&quot;),&quot;https://vt.tiktok.com/ZSHvrFujvdrhV-gVKBT/&quot;)"/>
    <hyperlink ref="C41" r:id="rId40" display="=IFERROR(@__xludf.DUMMYFUNCTION(&quot;&quot;&quot;COMPUTED_VALUE&quot;&quot;&quot;),&quot;https://vt.tiktok.com/ZSHvWqNvGsdDG-rWeti/&quot;)"/>
    <hyperlink ref="C42" r:id="rId41" display="=IFERROR(@__xludf.DUMMYFUNCTION(&quot;&quot;&quot;COMPUTED_VALUE&quot;&quot;&quot;),&quot;https://vt.tiktok.com/ZSHvWbF5WmAes-jiRn3/&quot;)"/>
    <hyperlink ref="C43" r:id="rId42" display="=IFERROR(@__xludf.DUMMYFUNCTION(&quot;&quot;&quot;COMPUTED_VALUE&quot;&quot;&quot;),&quot;https://vt.tiktok.com/ZSHcBBx9b6REB-vWTJV/&#10;&#10;&quot;)"/>
    <hyperlink ref="C44" r:id="rId43" display="=IFERROR(@__xludf.DUMMYFUNCTION(&quot;&quot;&quot;COMPUTED_VALUE&quot;&quot;&quot;),&quot;vt.tiktok.com/ZSHctmPxABjxR-orhW3/&quot;)"/>
    <hyperlink ref="C45" r:id="rId44" display="=IFERROR(@__xludf.DUMMYFUNCTION(&quot;&quot;&quot;COMPUTED_VALUE&quot;&quot;&quot;),&quot;vt.tiktok.com/ZSHctu578Ee5P-wfrrr/&quot;)"/>
    <hyperlink ref="C46" r:id="rId45" display="=IFERROR(@__xludf.DUMMYFUNCTION(&quot;&quot;&quot;COMPUTED_VALUE&quot;&quot;&quot;),&quot;https://vt.tiktok.com/ZSHctHy62JFX6-IXsa5/&quot;)"/>
    <hyperlink ref="C47" r:id="rId46" display="=IFERROR(@__xludf.DUMMYFUNCTION(&quot;&quot;&quot;COMPUTED_VALUE&quot;&quot;&quot;),&quot;vt.tiktok.com/ZSHctx2GwUnWb-Uolqg/&quot;)"/>
    <hyperlink ref="C48" r:id="rId47" display="=IFERROR(@__xludf.DUMMYFUNCTION(&quot;&quot;&quot;COMPUTED_VALUE&quot;&quot;&quot;),&quot;vt.tiktok.com/ZSHctQaugwX8B-OAW5Z/&quot;)"/>
    <hyperlink ref="C49" r:id="rId48" display="=IFERROR(@__xludf.DUMMYFUNCTION(&quot;&quot;&quot;COMPUTED_VALUE&quot;&quot;&quot;),&quot;vt.tiktok.com/ZSH3L4uyL5LVD-90lwC/&quot;)"/>
    <hyperlink ref="C50" r:id="rId49" display="=IFERROR(@__xludf.DUMMYFUNCTION(&quot;&quot;&quot;COMPUTED_VALUE&quot;&quot;&quot;),&quot;https://vt.tiktok.com/ZSH3LVsv5AyMW-3VGdp/&quot;)"/>
    <hyperlink ref="C51" r:id="rId50" display="=IFERROR(@__xludf.DUMMYFUNCTION(&quot;&quot;&quot;COMPUTED_VALUE&quot;&quot;&quot;),&quot;https://vt.tiktok.com/ZSH3Lsudyv2qG-5kJdK/&quot;)"/>
    <hyperlink ref="C52" r:id="rId51" display="=IFERROR(@__xludf.DUMMYFUNCTION(&quot;&quot;&quot;COMPUTED_VALUE&quot;&quot;&quot;),&quot;vt.tiktok.com/ZSH3q812gdcNB-qDVfO/&quot;)"/>
    <hyperlink ref="C53" r:id="rId52" display="=IFERROR(@__xludf.DUMMYFUNCTION(&quot;&quot;&quot;COMPUTED_VALUE&quot;&quot;&quot;),&quot;https://vt.tiktok.com/ZSH3s8fyXU4oW-n39eT/&quot;)"/>
    <hyperlink ref="C54" r:id="rId53" display="=IFERROR(@__xludf.DUMMYFUNCTION(&quot;&quot;&quot;COMPUTED_VALUE&quot;&quot;&quot;),&quot;https://vt.tiktok.com/ZSH3s8tQKQR9t-4tWp9/&quot;)"/>
    <hyperlink ref="C55" r:id="rId54" display="=IFERROR(@__xludf.DUMMYFUNCTION(&quot;&quot;&quot;COMPUTED_VALUE&quot;&quot;&quot;),&quot;vt.tiktok.com/ZSH3sH1BwAYcV-P6Kez/&quot;)"/>
    <hyperlink ref="C56" r:id="rId55" display="=IFERROR(@__xludf.DUMMYFUNCTION(&quot;&quot;&quot;COMPUTED_VALUE&quot;&quot;&quot;),&quot;https://vt.tiktok.com/ZSH3sx5vefeGJ-KiUms/&quot;)"/>
    <hyperlink ref="C57" r:id="rId56" display="=IFERROR(@__xludf.DUMMYFUNCTION(&quot;&quot;&quot;COMPUTED_VALUE&quot;&quot;&quot;),&quot;vt.tiktok.com/ZSH3WHkqPnaKd-pJYEn/&quot;)"/>
    <hyperlink ref="C58" r:id="rId57" display="=IFERROR(@__xludf.DUMMYFUNCTION(&quot;&quot;&quot;COMPUTED_VALUE&quot;&quot;&quot;),&quot;vt.tiktok.com/ZSH3oBGSmfu9E-SAymf/&quot;)"/>
    <hyperlink ref="C59" r:id="rId58" display="=IFERROR(@__xludf.DUMMYFUNCTION(&quot;&quot;&quot;COMPUTED_VALUE&quot;&quot;&quot;),&quot;https://vt.tiktok.com/ZSH3oS6P2H3mB-bEAAs/&quot;)"/>
    <hyperlink ref="C60" r:id="rId59" display="=IFERROR(@__xludf.DUMMYFUNCTION(&quot;&quot;&quot;COMPUTED_VALUE&quot;&quot;&quot;),&quot;vt.tiktok.com/ZSH3oSuK7p6Xk-LyhKc/&quot;)"/>
    <hyperlink ref="C61" r:id="rId60" display="=IFERROR(@__xludf.DUMMYFUNCTION(&quot;&quot;&quot;COMPUTED_VALUE&quot;&quot;&quot;),&quot;https://vt.tiktok.com/ZSHT59xwRLXj5-Mzx8y/&quot;)"/>
    <hyperlink ref="C62" r:id="rId61" display="=IFERROR(@__xludf.DUMMYFUNCTION(&quot;&quot;&quot;COMPUTED_VALUE&quot;&quot;&quot;),&quot;https://vt.tiktok.com/ZSHTpDAhJbMY1-C5JNe/&quot;)"/>
    <hyperlink ref="C63" r:id="rId62" display="=IFERROR(@__xludf.DUMMYFUNCTION(&quot;&quot;&quot;COMPUTED_VALUE&quot;&quot;&quot;),&quot;vt.tiktok.com/ZSHTpDTprvWuv-8a8jU/&quot;)"/>
    <hyperlink ref="C64" r:id="rId63" display="=IFERROR(@__xludf.DUMMYFUNCTION(&quot;&quot;&quot;COMPUTED_VALUE&quot;&quot;&quot;),&quot;https://vt.tiktok.com/ZSH3J4MxGvNC4-6AdJL/&quot;)"/>
    <hyperlink ref="C65" r:id="rId64" display="=IFERROR(@__xludf.DUMMYFUNCTION(&quot;&quot;&quot;COMPUTED_VALUE&quot;&quot;&quot;),&quot;https://vt.tiktok.com/ZSH3JVbjMksTn-Q5UAT/&quot;)"/>
    <hyperlink ref="C66" r:id="rId65" display="=IFERROR(@__xludf.DUMMYFUNCTION(&quot;&quot;&quot;COMPUTED_VALUE&quot;&quot;&quot;),&quot;vt.tiktok.com/ZSH3L7KyxLHbo-rMIwh/&quot;)"/>
    <hyperlink ref="C67" r:id="rId66" display="=IFERROR(@__xludf.DUMMYFUNCTION(&quot;&quot;&quot;COMPUTED_VALUE&quot;&quot;&quot;),&quot;https://vt.tiktok.com/ZSH3LveEuoLuQ-19Plt/&quot;)"/>
    <hyperlink ref="C68" r:id="rId67" display="=IFERROR(@__xludf.DUMMYFUNCTION(&quot;&quot;&quot;COMPUTED_VALUE&quot;&quot;&quot;),&quot;https://vt.tiktok.com/ZSHT5fEaA577T-VoWMZ/&quot;)"/>
    <hyperlink ref="C69" r:id="rId68" display="=IFERROR(@__xludf.DUMMYFUNCTION(&quot;&quot;&quot;COMPUTED_VALUE&quot;&quot;&quot;),&quot;https://vt.tiktok.com/ZSHT5Putxe43R-07bzz/&quot;)"/>
    <hyperlink ref="C70" r:id="rId69" display="=IFERROR(@__xludf.DUMMYFUNCTION(&quot;&quot;&quot;COMPUTED_VALUE&quot;&quot;&quot;),&quot;vt.tiktok.com/ZSHT55dwuCnGK-Lztep/&quot;)"/>
    <hyperlink ref="C71" r:id="rId70" display="=IFERROR(@__xludf.DUMMYFUNCTION(&quot;&quot;&quot;COMPUTED_VALUE&quot;&quot;&quot;),&quot;https://vt.tiktok.com/ZSHT559Bt8CpE-mHirK/&quot;)"/>
    <hyperlink ref="C72" r:id="rId71" display="=IFERROR(@__xludf.DUMMYFUNCTION(&quot;&quot;&quot;COMPUTED_VALUE&quot;&quot;&quot;),&quot;vt.tiktok.com/ZSHT557cGXpJk-OyHv0/&quot;)"/>
    <hyperlink ref="C73" r:id="rId72" display="=IFERROR(@__xludf.DUMMYFUNCTION(&quot;&quot;&quot;COMPUTED_VALUE&quot;&quot;&quot;),&quot;vt.tiktok.com/ZSHK4CeXWeCfF-hzTna/&quot;)"/>
    <hyperlink ref="C74" r:id="rId73" display="=IFERROR(@__xludf.DUMMYFUNCTION(&quot;&quot;&quot;COMPUTED_VALUE&quot;&quot;&quot;),&quot;vt.tiktok.com/ZSHK4C9JYBLVo-Y7Vko/&quot;)"/>
    <hyperlink ref="C75" r:id="rId74" display="=IFERROR(@__xludf.DUMMYFUNCTION(&quot;&quot;&quot;COMPUTED_VALUE&quot;&quot;&quot;),&quot;vt.tiktok.com/ZSHK4Co1DAQYg-maN0X/&quot;)"/>
    <hyperlink ref="C76" r:id="rId75" display="=IFERROR(@__xludf.DUMMYFUNCTION(&quot;&quot;&quot;COMPUTED_VALUE&quot;&quot;&quot;),&quot;vt.tiktok.com/ZSHK4X9tXpVcC-QY0VJ/&quot;)"/>
    <hyperlink ref="C77" r:id="rId76" display="=IFERROR(@__xludf.DUMMYFUNCTION(&quot;&quot;&quot;COMPUTED_VALUE&quot;&quot;&quot;),&quot;vt.tiktok.com/ZSHK445LE2tjY-oc9OL/&quot;)"/>
    <hyperlink ref="C78" r:id="rId77" display="=IFERROR(@__xludf.DUMMYFUNCTION(&quot;&quot;&quot;COMPUTED_VALUE&quot;&quot;&quot;),&quot;vt.tiktok.com/ZSH38UPg76gop-IRXJV/&quot;)"/>
    <hyperlink ref="C79" r:id="rId78" display="=IFERROR(@__xludf.DUMMYFUNCTION(&quot;&quot;&quot;COMPUTED_VALUE&quot;&quot;&quot;),&quot;vt.tiktok.com/ZSH38Qc19FYGL-wBWXN/&quot;)"/>
    <hyperlink ref="C80" r:id="rId79" display="=IFERROR(@__xludf.DUMMYFUNCTION(&quot;&quot;&quot;COMPUTED_VALUE&quot;&quot;&quot;),&quot;vt.tiktok.com/ZSH38Xe1c5F55-eACEO/&quot;)"/>
    <hyperlink ref="C81" r:id="rId80" display="=IFERROR(@__xludf.DUMMYFUNCTION(&quot;&quot;&quot;COMPUTED_VALUE&quot;&quot;&quot;),&quot;vt.tiktok.com/ZSH38XyyKjf2x-xKt85/&quot;)"/>
    <hyperlink ref="C82" r:id="rId81" display="=IFERROR(@__xludf.DUMMYFUNCTION(&quot;&quot;&quot;COMPUTED_VALUE&quot;&quot;&quot;),&quot;vt.tiktok.com/ZSH38XsB1w4hK-5ipmQ/&quot;)"/>
    <hyperlink ref="C83" r:id="rId82" display="=IFERROR(@__xludf.DUMMYFUNCTION(&quot;&quot;&quot;COMPUTED_VALUE&quot;&quot;&quot;),&quot;https://vt.tiktok.com/ZSH384sQXEEUV-HtM4c/&quot;)"/>
    <hyperlink ref="C84" r:id="rId83" display="=IFERROR(@__xludf.DUMMYFUNCTION(&quot;&quot;&quot;COMPUTED_VALUE&quot;&quot;&quot;),&quot;https://vt.tiktok.com/ZSH38VpSh8uoE-PRULf/&quot;)"/>
    <hyperlink ref="C85" r:id="rId84" display="=IFERROR(@__xludf.DUMMYFUNCTION(&quot;&quot;&quot;COMPUTED_VALUE&quot;&quot;&quot;),&quot;vt.tiktok.com/ZSH3LGf2CHAAA-0yEOk/&quot;)"/>
    <hyperlink ref="C86" r:id="rId85" display="=IFERROR(@__xludf.DUMMYFUNCTION(&quot;&quot;&quot;COMPUTED_VALUE&quot;&quot;&quot;),&quot;https://vt.tiktok.com/ZSH7jRGVewH8M-oUVgO/&quot;)"/>
    <hyperlink ref="C87" r:id="rId86" display="=IFERROR(@__xludf.DUMMYFUNCTION(&quot;&quot;&quot;COMPUTED_VALUE&quot;&quot;&quot;),&quot;&#10;https://vt.tiktok.com/ZSH7jdk1bM5LH-NYZzZ/&quot;)"/>
    <hyperlink ref="C88" r:id="rId87" display="=IFERROR(@__xludf.DUMMYFUNCTION(&quot;&quot;&quot;COMPUTED_VALUE&quot;&quot;&quot;),&quot;https://vt.tiktok.com/ZSH7jRc5Xm2Fe-o9MO0/&quot;)"/>
    <hyperlink ref="C89" r:id="rId88" display="=IFERROR(@__xludf.DUMMYFUNCTION(&quot;&quot;&quot;COMPUTED_VALUE&quot;&quot;&quot;),&quot;https://vt.tiktok.com/ZSH7j8BTD6cjh-qjffv/&quot;)"/>
    <hyperlink ref="C90" r:id="rId89" display="=IFERROR(@__xludf.DUMMYFUNCTION(&quot;&quot;&quot;COMPUTED_VALUE&quot;&quot;&quot;),&quot;https://vt.tiktok.com/ZSH7j8NsAWcAe-rhOHz/&quot;)"/>
    <hyperlink ref="C91" r:id="rId90" display="=IFERROR(@__xludf.DUMMYFUNCTION(&quot;&quot;&quot;COMPUTED_VALUE&quot;&quot;&quot;),&quot;https://vt.tiktok.com/ZSH7jdgt5BDF8-lgv8n/&quot;)"/>
    <hyperlink ref="C92" r:id="rId91" display="=IFERROR(@__xludf.DUMMYFUNCTION(&quot;&quot;&quot;COMPUTED_VALUE&quot;&quot;&quot;),&quot;https://vt.tiktok.com/ZSH7j8U9Nr3Pn-Sygl3/&quot;)"/>
    <hyperlink ref="C93" r:id="rId92" display="=IFERROR(@__xludf.DUMMYFUNCTION(&quot;&quot;&quot;COMPUTED_VALUE&quot;&quot;&quot;),&quot;https://vt.tiktok.com/ZSH7jRoq5Ere3-O9cgk/&quot;)"/>
    <hyperlink ref="C94" r:id="rId93" display="=IFERROR(@__xludf.DUMMYFUNCTION(&quot;&quot;&quot;COMPUTED_VALUE&quot;&quot;&quot;),&quot;https://vt.tiktok.com/ZSH7jdx2nhHbP-MLuWu/&quot;)"/>
    <hyperlink ref="C95" r:id="rId94" display="=IFERROR(@__xludf.DUMMYFUNCTION(&quot;&quot;&quot;COMPUTED_VALUE&quot;&quot;&quot;),&quot;https://vt.tiktok.com/ZSH7j8uoQRHFR-3rqtB/&quot;)"/>
    <hyperlink ref="C96" r:id="rId95" display="=IFERROR(@__xludf.DUMMYFUNCTION(&quot;&quot;&quot;COMPUTED_VALUE&quot;&quot;&quot;),&quot;https://vt.tiktok.com/ZSH7LCcYRu7Tq-6zTDf/&quot;)"/>
    <hyperlink ref="C97" r:id="rId96" display="=IFERROR(@__xludf.DUMMYFUNCTION(&quot;&quot;&quot;COMPUTED_VALUE&quot;&quot;&quot;),&quot;https://vt.tiktok.com/ZSH7LXmkCJy6p-Nj8sC/&quot;)"/>
    <hyperlink ref="C98" r:id="rId97" display="=IFERROR(@__xludf.DUMMYFUNCTION(&quot;&quot;&quot;COMPUTED_VALUE&quot;&quot;&quot;),&quot;https://vt.tiktok.com/ZSH7LqNAjd135-fITrE/&quot;)"/>
    <hyperlink ref="C99" r:id="rId98" display="=IFERROR(@__xludf.DUMMYFUNCTION(&quot;&quot;&quot;COMPUTED_VALUE&quot;&quot;&quot;),&quot;https://vt.tiktok.com/ZSH7Lqagw49EV-l0KDf/&quot;)"/>
    <hyperlink ref="C100" r:id="rId99" display="=IFERROR(@__xludf.DUMMYFUNCTION(&quot;&quot;&quot;COMPUTED_VALUE&quot;&quot;&quot;),&quot;https://vt.tiktok.com/ZSH7Lb6HUaABM-KAmiZ/&quot;)"/>
    <hyperlink ref="C101" r:id="rId100" display="=IFERROR(@__xludf.DUMMYFUNCTION(&quot;&quot;&quot;COMPUTED_VALUE&quot;&quot;&quot;),&quot;https://vt.tiktok.com/ZSH7LbqJSB2g5-Vyskk/&quot;)"/>
    <hyperlink ref="C102" r:id="rId101" display="=IFERROR(@__xludf.DUMMYFUNCTION(&quot;&quot;&quot;COMPUTED_VALUE&quot;&quot;&quot;),&quot;https://vt.tiktok.com/ZSH7brpawpm7j-IrON2/&quot;)"/>
    <hyperlink ref="C103" r:id="rId102" display="=IFERROR(@__xludf.DUMMYFUNCTION(&quot;&quot;&quot;COMPUTED_VALUE&quot;&quot;&quot;),&quot;https://vt.tiktok.com/ZSH7bhT7V7XxB-b3QEV/&quot;)"/>
    <hyperlink ref="C104" r:id="rId103" display="=IFERROR(@__xludf.DUMMYFUNCTION(&quot;&quot;&quot;COMPUTED_VALUE&quot;&quot;&quot;),&quot;https://vt.tiktok.com/ZSH7bkBYtAHvU-971Ji/&quot;)"/>
    <hyperlink ref="C105" r:id="rId104" display="=IFERROR(@__xludf.DUMMYFUNCTION(&quot;&quot;&quot;COMPUTED_VALUE&quot;&quot;&quot;),&quot;https://vt.tiktok.com/ZSH7bSpFgKP69-obV3u/&quot;)"/>
    <hyperlink ref="C106" r:id="rId105" display="=IFERROR(@__xludf.DUMMYFUNCTION(&quot;&quot;&quot;COMPUTED_VALUE&quot;&quot;&quot;),&quot;https://vt.tiktok.com/ZSH7bARYwNcpg-4PQEd/&quot;)"/>
    <hyperlink ref="C107" r:id="rId106" display="=IFERROR(@__xludf.DUMMYFUNCTION(&quot;&quot;&quot;COMPUTED_VALUE&quot;&quot;&quot;),&quot;https://vt.tiktok.com/ZSH7bDogPxyUb-Kj4Vy/&quot;)"/>
    <hyperlink ref="C108" r:id="rId107" display="=IFERROR(@__xludf.DUMMYFUNCTION(&quot;&quot;&quot;COMPUTED_VALUE&quot;&quot;&quot;),&quot;https://vt.tiktok.com/ZSH7bUasHcRMg-P9KzA/&quot;)"/>
    <hyperlink ref="C109" r:id="rId108" display="=IFERROR(@__xludf.DUMMYFUNCTION(&quot;&quot;&quot;COMPUTED_VALUE&quot;&quot;&quot;),&quot;https://vt.tiktok.com/ZSH7by5HutXHf-4nPUB/&quot;)"/>
    <hyperlink ref="C110" r:id="rId109" display="=IFERROR(@__xludf.DUMMYFUNCTION(&quot;&quot;&quot;COMPUTED_VALUE&quot;&quot;&quot;),&quot;https://vt.tiktok.com/ZSH7bfMsqQubN-rBYVy/&quot;)"/>
    <hyperlink ref="C111" r:id="rId110" display="=IFERROR(@__xludf.DUMMYFUNCTION(&quot;&quot;&quot;COMPUTED_VALUE&quot;&quot;&quot;),&quot;https://vt.tiktok.com/ZSH7vfCmGa4NA-v6A4b/&quot;)"/>
    <hyperlink ref="C112" r:id="rId111" display="=IFERROR(@__xludf.DUMMYFUNCTION(&quot;&quot;&quot;COMPUTED_VALUE&quot;&quot;&quot;),&quot;https://vt.tiktok.com/ZSH7b5nTemYfY-9W1tq/&quot;)"/>
    <hyperlink ref="C113" r:id="rId112" display="=IFERROR(@__xludf.DUMMYFUNCTION(&quot;&quot;&quot;COMPUTED_VALUE&quot;&quot;&quot;),&quot;https://vt.tiktok.com/ZSH7bmb78Kc3r-0rHGS/&quot;)"/>
    <hyperlink ref="C114" r:id="rId113" display="=IFERROR(@__xludf.DUMMYFUNCTION(&quot;&quot;&quot;COMPUTED_VALUE&quot;&quot;&quot;),&quot;https://vt.tiktok.com/ZSH7buAaBFMeX-TXDKA/&quot;)"/>
    <hyperlink ref="C115" r:id="rId114" display="=IFERROR(@__xludf.DUMMYFUNCTION(&quot;&quot;&quot;COMPUTED_VALUE&quot;&quot;&quot;),&quot;https://vt.tiktok.com/ZSHvMbfAvWbER-wwuNp/&quot;)"/>
    <hyperlink ref="C116" r:id="rId115" display="=IFERROR(@__xludf.DUMMYFUNCTION(&quot;&quot;&quot;COMPUTED_VALUE&quot;&quot;&quot;),&quot;https://vt.tiktok.com/ZSHvrN6oBDF9S-Pe5lI/&quot;)"/>
    <hyperlink ref="C117" r:id="rId116" display="=IFERROR(@__xludf.DUMMYFUNCTION(&quot;&quot;&quot;COMPUTED_VALUE&quot;&quot;&quot;),&quot;https://vt.tiktok.com/ZSHvyyxneDPuM-Pm0GL/&quot;)"/>
    <hyperlink ref="C118" r:id="rId117" display="=IFERROR(@__xludf.DUMMYFUNCTION(&quot;&quot;&quot;COMPUTED_VALUE&quot;&quot;&quot;),&quot;https://vt.tiktok.com/ZSHvyPrqoBYC7-vlZ6F/&quot;)"/>
    <hyperlink ref="C119" r:id="rId118" display="=IFERROR(@__xludf.DUMMYFUNCTION(&quot;&quot;&quot;COMPUTED_VALUE&quot;&quot;&quot;),&quot;https://vt.tiktok.com/ZSHvy9wqM8s7B-YTx6i/&quot;)"/>
    <hyperlink ref="C120" r:id="rId119" display="=IFERROR(@__xludf.DUMMYFUNCTION(&quot;&quot;&quot;COMPUTED_VALUE&quot;&quot;&quot;),&quot;https://vt.tiktok.com/ZSHvyQkjJnE7t-t6S3k/&quot;)"/>
    <hyperlink ref="C121" r:id="rId120" display="=IFERROR(@__xludf.DUMMYFUNCTION(&quot;&quot;&quot;COMPUTED_VALUE&quot;&quot;&quot;),&quot;https://vt.tiktok.com/ZSHvQdWqnXj8B-Fy4mS/&quot;)"/>
    <hyperlink ref="C122" r:id="rId121" display="=IFERROR(@__xludf.DUMMYFUNCTION(&quot;&quot;&quot;COMPUTED_VALUE&quot;&quot;&quot;),&quot;https://vt.tiktok.com/ZSHvQNumocHF8-VevS1/&quot;)"/>
    <hyperlink ref="C123" r:id="rId122" display="=IFERROR(@__xludf.DUMMYFUNCTION(&quot;&quot;&quot;COMPUTED_VALUE&quot;&quot;&quot;),&quot;https://vt.tiktok.com/ZSHv4AUgHTJST-3YVdb/&quot;)"/>
    <hyperlink ref="C124" r:id="rId123" display="=IFERROR(@__xludf.DUMMYFUNCTION(&quot;&quot;&quot;COMPUTED_VALUE&quot;&quot;&quot;),&quot;https://vt.tiktok.com/ZSHvVpjb757MA-sRvLs/&quot;)"/>
    <hyperlink ref="C125" r:id="rId124" display="=IFERROR(@__xludf.DUMMYFUNCTION(&quot;&quot;&quot;COMPUTED_VALUE&quot;&quot;&quot;),&quot;https://vt.tiktok.com/ZSHvW4xnNbWcN-eiI2u/&quot;)"/>
    <hyperlink ref="C126" r:id="rId125" display="=IFERROR(@__xludf.DUMMYFUNCTION(&quot;&quot;&quot;COMPUTED_VALUE&quot;&quot;&quot;),&quot;https://vt.tiktok.com/ZSHvWV73WPLv1-CBOGO/&quot;)"/>
    <hyperlink ref="C127" r:id="rId126" display="=IFERROR(@__xludf.DUMMYFUNCTION(&quot;&quot;&quot;COMPUTED_VALUE&quot;&quot;&quot;),&quot;https://vt.tiktok.com/ZSHcBkut8oD4s-Gknv1/&quot;)"/>
    <hyperlink ref="C128" r:id="rId127" display="=IFERROR(@__xludf.DUMMYFUNCTION(&quot;&quot;&quot;COMPUTED_VALUE&quot;&quot;&quot;),&quot;https://vt.tiktok.com/ZSHcBkKrUMxYT-kwzd5/&quot;)"/>
    <hyperlink ref="C129" r:id="rId128" display="=IFERROR(@__xludf.DUMMYFUNCTION(&quot;&quot;&quot;COMPUTED_VALUE&quot;&quot;&quot;),&quot;vt.tiktok.com/ZSHctuG8ugvr3-aDiFB/&quot;)"/>
    <hyperlink ref="C130" r:id="rId129" display="=IFERROR(@__xludf.DUMMYFUNCTION(&quot;&quot;&quot;COMPUTED_VALUE&quot;&quot;&quot;),&quot;https://vt.tiktok.com/ZSHctHq5w5m5q-ahkRM/&quot;)"/>
    <hyperlink ref="C131" r:id="rId130" display="=IFERROR(@__xludf.DUMMYFUNCTION(&quot;&quot;&quot;COMPUTED_VALUE&quot;&quot;&quot;),&quot;vt.tiktok.com/ZSHct9en1VjSj-gjtmo/&quot;)"/>
    <hyperlink ref="C132" r:id="rId131" display="=IFERROR(@__xludf.DUMMYFUNCTION(&quot;&quot;&quot;COMPUTED_VALUE&quot;&quot;&quot;),&quot;https://vt.tiktok.com/ZSHct9Pdasvyg-MDbDW/&quot;)"/>
    <hyperlink ref="C133" r:id="rId132" display="=IFERROR(@__xludf.DUMMYFUNCTION(&quot;&quot;&quot;COMPUTED_VALUE&quot;&quot;&quot;),&quot;vt.tiktok.com/ZSHct9t3QcPY3-q21go/&quot;)"/>
    <hyperlink ref="C134" r:id="rId133" display="=IFERROR(@__xludf.DUMMYFUNCTION(&quot;&quot;&quot;COMPUTED_VALUE&quot;&quot;&quot;),&quot;https://vt.tiktok.com/ZSHctQjw23DvS-mOJjn/&quot;)"/>
    <hyperlink ref="C135" r:id="rId134" display="=IFERROR(@__xludf.DUMMYFUNCTION(&quot;&quot;&quot;COMPUTED_VALUE&quot;&quot;&quot;),&quot;vt.tiktok.com/ZSHctQsDwurmC-uWqoR/&quot;)"/>
    <hyperlink ref="C136" r:id="rId135" display="=IFERROR(@__xludf.DUMMYFUNCTION(&quot;&quot;&quot;COMPUTED_VALUE&quot;&quot;&quot;),&quot;vt.tiktok.com/ZSHct4HfwCghm-fmzX8/&quot;)"/>
    <hyperlink ref="C137" r:id="rId136" display="=IFERROR(@__xludf.DUMMYFUNCTION(&quot;&quot;&quot;COMPUTED_VALUE&quot;&quot;&quot;),&quot;https://vt.tiktok.com/ZSHctVsJK4C4W-yqaGE/&quot;)"/>
    <hyperlink ref="C138" r:id="rId137" display="=IFERROR(@__xludf.DUMMYFUNCTION(&quot;&quot;&quot;COMPUTED_VALUE&quot;&quot;&quot;),&quot;https://vt.tiktok.com/ZSHctqFGKrVod-ao81l/&quot;)"/>
    <hyperlink ref="C139" r:id="rId138" display="=IFERROR(@__xludf.DUMMYFUNCTION(&quot;&quot;&quot;COMPUTED_VALUE&quot;&quot;&quot;),&quot;vt.tiktok.com/ZSH3LcdpupTF8-T7uGn/&quot;)"/>
    <hyperlink ref="C140" r:id="rId139" display="=IFERROR(@__xludf.DUMMYFUNCTION(&quot;&quot;&quot;COMPUTED_VALUE&quot;&quot;&quot;),&quot;vt.tiktok.com/ZSH3LcgSdghc7-0Pxgh/&quot;)"/>
    <hyperlink ref="C141" r:id="rId140" display="=IFERROR(@__xludf.DUMMYFUNCTION(&quot;&quot;&quot;COMPUTED_VALUE&quot;&quot;&quot;),&quot;https://vt.tiktok.com/ZSH7NBpQbDSxX-f19tn/&quot;)"/>
    <hyperlink ref="C142" r:id="rId141" display="=IFERROR(@__xludf.DUMMYFUNCTION(&quot;&quot;&quot;COMPUTED_VALUE&quot;&quot;&quot;),&quot;vt.tiktok.com/ZSH3qg6eL4Mea-sJG93/&quot;)"/>
    <hyperlink ref="C143" r:id="rId142" display="=IFERROR(@__xludf.DUMMYFUNCTION(&quot;&quot;&quot;COMPUTED_VALUE&quot;&quot;&quot;),&quot;vt.tiktok.com/ZSH3qggba2MgN-w4O4I/&quot;)"/>
    <hyperlink ref="C144" r:id="rId143" display="=IFERROR(@__xludf.DUMMYFUNCTION(&quot;&quot;&quot;COMPUTED_VALUE&quot;&quot;&quot;),&quot;vt.tiktok.com/ZSH3qpmB7urXd-xJ7oT/&quot;)"/>
    <hyperlink ref="C145" r:id="rId144" display="=IFERROR(@__xludf.DUMMYFUNCTION(&quot;&quot;&quot;COMPUTED_VALUE&quot;&quot;&quot;),&quot;https://vt.tiktok.com/ZSH3pKGDMpHba-phL5s/&quot;)"/>
    <hyperlink ref="C146" r:id="rId145" display="=IFERROR(@__xludf.DUMMYFUNCTION(&quot;&quot;&quot;COMPUTED_VALUE&quot;&quot;&quot;),&quot;https://vt.tiktok.com/ZSH3pEmTX7KeT-WjBMM/&quot;)"/>
    <hyperlink ref="C147" r:id="rId146" display="=IFERROR(@__xludf.DUMMYFUNCTION(&quot;&quot;&quot;COMPUTED_VALUE&quot;&quot;&quot;),&quot;https://vt.tiktok.com/ZSH3poJgdULPn-JT6Hk/&quot;)"/>
    <hyperlink ref="C148" r:id="rId147" display="=IFERROR(@__xludf.DUMMYFUNCTION(&quot;&quot;&quot;COMPUTED_VALUE&quot;&quot;&quot;),&quot;vt.tiktok.com/ZSH3pokEgqW9b-n8GbM/&quot;)"/>
    <hyperlink ref="C149" r:id="rId148" display="=IFERROR(@__xludf.DUMMYFUNCTION(&quot;&quot;&quot;COMPUTED_VALUE&quot;&quot;&quot;),&quot;vt.tiktok.com/ZSH3sJ4xjSSf6-UniiU/&quot;)"/>
    <hyperlink ref="C150" r:id="rId149" display="=IFERROR(@__xludf.DUMMYFUNCTION(&quot;&quot;&quot;COMPUTED_VALUE&quot;&quot;&quot;),&quot;https://vt.tiktok.com/ZSH3W91h45XQV-JecZp/&quot;)"/>
    <hyperlink ref="C151" r:id="rId150" display="=IFERROR(@__xludf.DUMMYFUNCTION(&quot;&quot;&quot;COMPUTED_VALUE&quot;&quot;&quot;),&quot;vt.tiktok.com/ZSHTF8uWQhsvP-3Eb3r/&quot;)"/>
    <hyperlink ref="C152" r:id="rId151" display="=IFERROR(@__xludf.DUMMYFUNCTION(&quot;&quot;&quot;COMPUTED_VALUE&quot;&quot;&quot;),&quot;https://vt.tiktok.com/ZSHTy7f9TC4BU-rilXz/&quot;)"/>
    <hyperlink ref="C153" r:id="rId152" display="=IFERROR(@__xludf.DUMMYFUNCTION(&quot;&quot;&quot;COMPUTED_VALUE&quot;&quot;&quot;),&quot;https://vt.tiktok.com/ZSHTy7p35HgUD-1tESd/&quot;)"/>
    <hyperlink ref="C154" r:id="rId153" display="=IFERROR(@__xludf.DUMMYFUNCTION(&quot;&quot;&quot;COMPUTED_VALUE&quot;&quot;&quot;),&quot;https://vt.tiktok.com/ZSHTyvDqY9EUK-x5Bfs/&quot;)"/>
    <hyperlink ref="C155" r:id="rId154" display="=IFERROR(@__xludf.DUMMYFUNCTION(&quot;&quot;&quot;COMPUTED_VALUE&quot;&quot;&quot;),&quot;https://vt.tiktok.com/ZSHTyvCKEDpSe-Sekge/&quot;)"/>
    <hyperlink ref="C156" r:id="rId155" display="=IFERROR(@__xludf.DUMMYFUNCTION(&quot;&quot;&quot;COMPUTED_VALUE&quot;&quot;&quot;),&quot;vt.tiktok.com/ZSHTyv7vas3KM-8M3tN/&quot;)"/>
    <hyperlink ref="C157" r:id="rId156" display="=IFERROR(@__xludf.DUMMYFUNCTION(&quot;&quot;&quot;COMPUTED_VALUE&quot;&quot;&quot;),&quot;vt.tiktok.com/ZSHTycRB6jBt5-yn2B9/&quot;)"/>
    <hyperlink ref="C158" r:id="rId157" display="=IFERROR(@__xludf.DUMMYFUNCTION(&quot;&quot;&quot;COMPUTED_VALUE&quot;&quot;&quot;),&quot;https://vt.tiktok.com/ZSHTyckAeCCu6-ir2Iz/&quot;)"/>
    <hyperlink ref="C159" r:id="rId158" display="=IFERROR(@__xludf.DUMMYFUNCTION(&quot;&quot;&quot;COMPUTED_VALUE&quot;&quot;&quot;),&quot;vt.tiktok.com/ZSHT5uPf11a8G-snPG4/&quot;)"/>
    <hyperlink ref="C160" r:id="rId159" display="=IFERROR(@__xludf.DUMMYFUNCTION(&quot;&quot;&quot;COMPUTED_VALUE&quot;&quot;&quot;),&quot;https://vt.tiktok.com/ZSHK3NfFnT1HJ-NKVYN/&quot;)"/>
    <hyperlink ref="C161" r:id="rId160" display="=IFERROR(@__xludf.DUMMYFUNCTION(&quot;&quot;&quot;COMPUTED_VALUE&quot;&quot;&quot;),&quot;vt.tiktok.com/ZSHTp5dJ8SFg6-dhn9k/&quot;)"/>
    <hyperlink ref="C162" r:id="rId161" display="=IFERROR(@__xludf.DUMMYFUNCTION(&quot;&quot;&quot;COMPUTED_VALUE&quot;&quot;&quot;),&quot;https://vt.tiktok.com/ZSHTp5h4SGLU5-hWHWk/&quot;)"/>
    <hyperlink ref="C163" r:id="rId162" display="=IFERROR(@__xludf.DUMMYFUNCTION(&quot;&quot;&quot;COMPUTED_VALUE&quot;&quot;&quot;),&quot;vt.tiktok.com/ZSHTp5xSG2aKg-huJsI/&quot;)"/>
    <hyperlink ref="C164" r:id="rId163" display="=IFERROR(@__xludf.DUMMYFUNCTION(&quot;&quot;&quot;COMPUTED_VALUE&quot;&quot;&quot;),&quot;vt.tiktok.com/ZSHTp5KkHhjsG-b1kdC/&quot;)"/>
    <hyperlink ref="C165" r:id="rId164" display="=IFERROR(@__xludf.DUMMYFUNCTION(&quot;&quot;&quot;COMPUTED_VALUE&quot;&quot;&quot;),&quot;vt.tiktok.com/ZSHTparSLjP3W-0iSli/&quot;)"/>
    <hyperlink ref="C166" r:id="rId165" display="=IFERROR(@__xludf.DUMMYFUNCTION(&quot;&quot;&quot;COMPUTED_VALUE&quot;&quot;&quot;),&quot;vt.tiktok.com/ZSHTpa4jQbrVw-mirei/&quot;)"/>
    <hyperlink ref="C167" r:id="rId166" display="=IFERROR(@__xludf.DUMMYFUNCTION(&quot;&quot;&quot;COMPUTED_VALUE&quot;&quot;&quot;),&quot;https://vt.tiktok.com/ZSHTpm7X261bP-om4E5/&quot;)"/>
    <hyperlink ref="C168" r:id="rId167" display="=IFERROR(@__xludf.DUMMYFUNCTION(&quot;&quot;&quot;COMPUTED_VALUE&quot;&quot;&quot;),&quot;https://vt.tiktok.com/ZSHTpuRJKJVT8-6WMX3/&quot;)"/>
    <hyperlink ref="C169" r:id="rId168" display="=IFERROR(@__xludf.DUMMYFUNCTION(&quot;&quot;&quot;COMPUTED_VALUE&quot;&quot;&quot;),&quot;https://vt.tiktok.com/ZSHTpuHqNbcDV-fNNtb/&quot;)"/>
    <hyperlink ref="C170" r:id="rId169" display="=IFERROR(@__xludf.DUMMYFUNCTION(&quot;&quot;&quot;COMPUTED_VALUE&quot;&quot;&quot;),&quot;https://vt.tiktok.com/ZSHwfwDCCABXy-2kLm9/&quot;)"/>
    <hyperlink ref="C171" r:id="rId170" display="=IFERROR(@__xludf.DUMMYFUNCTION(&quot;&quot;&quot;COMPUTED_VALUE&quot;&quot;&quot;),&quot;vt.tiktok.com/ZSHwuYeD4Lmof-VlpiH/&quot;)"/>
    <hyperlink ref="C172" r:id="rId171" display="=IFERROR(@__xludf.DUMMYFUNCTION(&quot;&quot;&quot;COMPUTED_VALUE&quot;&quot;&quot;),&quot;vt.tiktok.com/ZSHwwU2eUSmf8-pYUS0/&quot;)"/>
    <hyperlink ref="C173" r:id="rId172" display="=IFERROR(@__xludf.DUMMYFUNCTION(&quot;&quot;&quot;COMPUTED_VALUE&quot;&quot;&quot;),&quot;https://vt.tiktok.com/ZSHK88LWEcP37-hNk3y/&quot;)"/>
    <hyperlink ref="C174" r:id="rId173" display="=IFERROR(@__xludf.DUMMYFUNCTION(&quot;&quot;&quot;COMPUTED_VALUE&quot;&quot;&quot;),&quot;vt.tiktok.com/ZSHKF3X5xvrrw-deqVN/&quot;)"/>
    <hyperlink ref="C175" r:id="rId174" display="=IFERROR(@__xludf.DUMMYFUNCTION(&quot;&quot;&quot;COMPUTED_VALUE&quot;&quot;&quot;),&quot;vt.tiktok.com/ZSHKYxve2953K-XXikb/&quot;)"/>
    <hyperlink ref="C176" r:id="rId175" display="=IFERROR(@__xludf.DUMMYFUNCTION(&quot;&quot;&quot;COMPUTED_VALUE&quot;&quot;&quot;),&quot;https://vt.tiktok.com/ZSHctxaYypGu9-4Xpoz/&quot;)"/>
    <hyperlink ref="C177" r:id="rId176" display="=IFERROR(@__xludf.DUMMYFUNCTION(&quot;&quot;&quot;COMPUTED_VALUE&quot;&quot;&quot;),&quot;https://vt.tiktok.com/ZSHctxt9pvaHP-D0LwY/&quot;)"/>
    <hyperlink ref="C178" r:id="rId177" display="=IFERROR(@__xludf.DUMMYFUNCTION(&quot;&quot;&quot;COMPUTED_VALUE&quot;&quot;&quot;),&quot;https://vt.tiktok.com/ZSHctxocLD3ne-CXWr7/&quot;)"/>
    <hyperlink ref="C179" r:id="rId178" display="=IFERROR(@__xludf.DUMMYFUNCTION(&quot;&quot;&quot;COMPUTED_VALUE&quot;&quot;&quot;),&quot;https://vt.tiktok.com/ZSHctVPjbj71o-N1E19/&quot;)"/>
    <hyperlink ref="C180" r:id="rId179" display="=IFERROR(@__xludf.DUMMYFUNCTION(&quot;&quot;&quot;COMPUTED_VALUE&quot;&quot;&quot;),&quot;https://vt.tiktok.com/ZSH3JMPtmuQGL-LkgVM/&quot;)"/>
    <hyperlink ref="C181" r:id="rId180" display="=IFERROR(@__xludf.DUMMYFUNCTION(&quot;&quot;&quot;COMPUTED_VALUE&quot;&quot;&quot;),&quot;vt.tiktok.com/ZSH3e2Ttwb3JR-I7xkS/&quot;)"/>
    <hyperlink ref="C182" r:id="rId181" display="=IFERROR(@__xludf.DUMMYFUNCTION(&quot;&quot;&quot;COMPUTED_VALUE&quot;&quot;&quot;),&quot;vt.tiktok.com/ZSH38D2ewLVE4-67lu3/&quot;)"/>
    <hyperlink ref="C183" r:id="rId182" display="=IFERROR(@__xludf.DUMMYFUNCTION(&quot;&quot;&quot;COMPUTED_VALUE&quot;&quot;&quot;),&quot;vt.tiktok.com/ZSH38DQ2owmDv-bbgwz/&quot;)"/>
    <hyperlink ref="C184" r:id="rId183" display="=IFERROR(@__xludf.DUMMYFUNCTION(&quot;&quot;&quot;COMPUTED_VALUE&quot;&quot;&quot;),&quot;vt.tiktok.com/ZSH38DE82w88c-n1nNy/&quot;)"/>
    <hyperlink ref="C185" r:id="rId184" display="=IFERROR(@__xludf.DUMMYFUNCTION(&quot;&quot;&quot;COMPUTED_VALUE&quot;&quot;&quot;),&quot;vt.tiktok.com/ZSH38yaPANAvh-gcOrh/&quot;)"/>
    <hyperlink ref="C186" r:id="rId185" display="=IFERROR(@__xludf.DUMMYFUNCTION(&quot;&quot;&quot;COMPUTED_VALUE&quot;&quot;&quot;),&quot;vt.tiktok.com/ZSH38PV9CCLfr-oaxJ2/&quot;)"/>
    <hyperlink ref="C187" r:id="rId186" display="=IFERROR(@__xludf.DUMMYFUNCTION(&quot;&quot;&quot;COMPUTED_VALUE&quot;&quot;&quot;),&quot;vt.tiktok.com/ZSH38aryMdeqy-Dz272/&quot;)"/>
    <hyperlink ref="C188" r:id="rId187" display="=IFERROR(@__xludf.DUMMYFUNCTION(&quot;&quot;&quot;COMPUTED_VALUE&quot;&quot;&quot;),&quot;vt.tiktok.com/ZSH38uL9PdFAM-pk7cQ/&quot;)"/>
    <hyperlink ref="C189" r:id="rId188" display="=IFERROR(@__xludf.DUMMYFUNCTION(&quot;&quot;&quot;COMPUTED_VALUE&quot;&quot;&quot;),&quot;vt.tiktok.com/ZSH38usPYMQ5v-TD6cN/&quot;)"/>
    <hyperlink ref="C190" r:id="rId189" display="=IFERROR(@__xludf.DUMMYFUNCTION(&quot;&quot;&quot;COMPUTED_VALUE&quot;&quot;&quot;),&quot;vt.tiktok.com/ZSH38HUavXT7c-BtXpv/&quot;)"/>
    <hyperlink ref="C191" r:id="rId190" display="=IFERROR(@__xludf.DUMMYFUNCTION(&quot;&quot;&quot;COMPUTED_VALUE&quot;&quot;&quot;),&quot;vt.tiktok.com/ZSH389aGCMAmH-pqUzx/&quot;)"/>
    <hyperlink ref="C192" r:id="rId191" display="=IFERROR(@__xludf.DUMMYFUNCTION(&quot;&quot;&quot;COMPUTED_VALUE&quot;&quot;&quot;),&quot;vt.tiktok.com/ZSH38xdgMYTPK-vdPmb/&quot;)"/>
    <hyperlink ref="C193" r:id="rId192" display="=IFERROR(@__xludf.DUMMYFUNCTION(&quot;&quot;&quot;COMPUTED_VALUE&quot;&quot;&quot;),&quot;vt.tiktok.com/ZSH38QfohtSKk-De2Q3/&quot;)"/>
    <hyperlink ref="C194" r:id="rId193" display="=IFERROR(@__xludf.DUMMYFUNCTION(&quot;&quot;&quot;COMPUTED_VALUE&quot;&quot;&quot;),&quot;https://vt.tiktok.com/ZSH38qrj5rdM6-5qeoo/&quot;)"/>
    <hyperlink ref="C195" r:id="rId194" display="=IFERROR(@__xludf.DUMMYFUNCTION(&quot;&quot;&quot;COMPUTED_VALUE&quot;&quot;&quot;),&quot;https://vt.tiktok.com/ZSH38q4G1TYV6-H3HMP/&quot;)"/>
    <hyperlink ref="C196" r:id="rId195" display="=IFERROR(@__xludf.DUMMYFUNCTION(&quot;&quot;&quot;COMPUTED_VALUE&quot;&quot;&quot;),&quot;https://vt.tiktok.com/ZSH38bJyjmDQ7-sA4Xd/&quot;)"/>
    <hyperlink ref="C197" r:id="rId196" display="=IFERROR(@__xludf.DUMMYFUNCTION(&quot;&quot;&quot;COMPUTED_VALUE&quot;&quot;&quot;),&quot;vt.tiktok.com/ZSH38baoVCL55-odX8K/&quot;)"/>
    <hyperlink ref="C198" r:id="rId197" display="=IFERROR(@__xludf.DUMMYFUNCTION(&quot;&quot;&quot;COMPUTED_VALUE&quot;&quot;&quot;),&quot;https://vt.tiktok.com/ZSH3Lb1u3mxxo-HuFhA/&quot;)"/>
    <hyperlink ref="C199" r:id="rId198" display="=IFERROR(@__xludf.DUMMYFUNCTION(&quot;&quot;&quot;COMPUTED_VALUE&quot;&quot;&quot;),&quot;https://vt.tiktok.com/ZSH3LbUDptHEo-23Ur6/&quot;)"/>
    <hyperlink ref="C200" r:id="rId199" display="=IFERROR(@__xludf.DUMMYFUNCTION(&quot;&quot;&quot;COMPUTED_VALUE&quot;&quot;&quot;),&quot;vt.tiktok.com/ZSH3qsJagVCY7-xFujd/&quot;)"/>
    <hyperlink ref="C201" r:id="rId200" display="=IFERROR(@__xludf.DUMMYFUNCTION(&quot;&quot;&quot;COMPUTED_VALUE&quot;&quot;&quot;),&quot;https://vt.tiktok.com/ZSH3qsugQ5h1B-GPjnw/&quot;)"/>
    <hyperlink ref="C202" r:id="rId201" display="=IFERROR(@__xludf.DUMMYFUNCTION(&quot;&quot;&quot;COMPUTED_VALUE&quot;&quot;&quot;),&quot;vt.tiktok.com/ZSH3pKaUpA7Mq-VUsjN/&quot;)"/>
    <hyperlink ref="C203" r:id="rId202" display="=IFERROR(@__xludf.DUMMYFUNCTION(&quot;&quot;&quot;COMPUTED_VALUE&quot;&quot;&quot;),&quot;vt.tiktok.com/ZSH3seCHG48Tf-bzH2T/&quot;)"/>
    <hyperlink ref="C204" r:id="rId203" display="=IFERROR(@__xludf.DUMMYFUNCTION(&quot;&quot;&quot;COMPUTED_VALUE&quot;&quot;&quot;),&quot;https://vt.tiktok.com/ZSH3secfQBx9V-UEZNa/&quot;)"/>
    <hyperlink ref="C205" r:id="rId204" display="=IFERROR(@__xludf.DUMMYFUNCTION(&quot;&quot;&quot;COMPUTED_VALUE&quot;&quot;&quot;),&quot;vt.tiktok.com/ZSH3sdN765dsR-qIzFN/&quot;)"/>
    <hyperlink ref="C206" r:id="rId205" display="=IFERROR(@__xludf.DUMMYFUNCTION(&quot;&quot;&quot;COMPUTED_VALUE&quot;&quot;&quot;),&quot;https://vt.tiktok.com/ZSH3sd9a7CKGd-4w3pn/&quot;)"/>
    <hyperlink ref="C207" r:id="rId206" display="=IFERROR(@__xludf.DUMMYFUNCTION(&quot;&quot;&quot;COMPUTED_VALUE&quot;&quot;&quot;),&quot;vt.tiktok.com/ZSH3sQEKevGCo-8YMzy/&quot;)"/>
    <hyperlink ref="C208" r:id="rId207" display="=IFERROR(@__xludf.DUMMYFUNCTION(&quot;&quot;&quot;COMPUTED_VALUE&quot;&quot;&quot;),&quot;https://vt.tiktok.com/ZSH3sCgmnFyKS-J15XZ/&quot;)"/>
    <hyperlink ref="C209" r:id="rId208" display="=IFERROR(@__xludf.DUMMYFUNCTION(&quot;&quot;&quot;COMPUTED_VALUE&quot;&quot;&quot;),&quot;https://vt.tiktok.com/ZSH3sXDQ6okT8-azm7b/&quot;)"/>
    <hyperlink ref="C210" r:id="rId209" display="=IFERROR(@__xludf.DUMMYFUNCTION(&quot;&quot;&quot;COMPUTED_VALUE&quot;&quot;&quot;),&quot;https://vt.tiktok.com/ZSH33Q1XtUm2S-lujyT/&quot;)"/>
    <hyperlink ref="C211" r:id="rId210" display="=IFERROR(@__xludf.DUMMYFUNCTION(&quot;&quot;&quot;COMPUTED_VALUE&quot;&quot;&quot;),&quot;https://vt.tiktok.com/ZSH33QeKoUJMP-GAoPV/&quot;)"/>
    <hyperlink ref="C212" r:id="rId211" display="=IFERROR(@__xludf.DUMMYFUNCTION(&quot;&quot;&quot;COMPUTED_VALUE&quot;&quot;&quot;),&quot;https://vt.tiktok.com/ZSH33QRtSdgye-VNT68/&quot;)"/>
    <hyperlink ref="C213" r:id="rId212" display="=IFERROR(@__xludf.DUMMYFUNCTION(&quot;&quot;&quot;COMPUTED_VALUE&quot;&quot;&quot;),&quot;vt.tiktok.com/ZSHTdHrTYuHuH-jBcqn/&quot;)"/>
    <hyperlink ref="C214" r:id="rId213" display="=IFERROR(@__xludf.DUMMYFUNCTION(&quot;&quot;&quot;COMPUTED_VALUE&quot;&quot;&quot;),&quot;vt.tiktok.com/ZSHT5mqKCgfef-PLKV2/&quot;)"/>
    <hyperlink ref="C215" r:id="rId214" display="=IFERROR(@__xludf.DUMMYFUNCTION(&quot;&quot;&quot;COMPUTED_VALUE&quot;&quot;&quot;),&quot;https://vt.tiktok.com/ZSHT5mo7oYdMn-emck8/&quot;)"/>
    <hyperlink ref="C216" r:id="rId215" display="=IFERROR(@__xludf.DUMMYFUNCTION(&quot;&quot;&quot;COMPUTED_VALUE&quot;&quot;&quot;),&quot;vt.tiktok.com/ZSHT5ubhRpKtc-2mgIi/&quot;)"/>
    <hyperlink ref="C217" r:id="rId216" display="=IFERROR(@__xludf.DUMMYFUNCTION(&quot;&quot;&quot;COMPUTED_VALUE&quot;&quot;&quot;),&quot;vt.tiktok.com/ZSHT5HYcG2xuH-dehlp/&quot;)"/>
    <hyperlink ref="C218" r:id="rId217" display="=IFERROR(@__xludf.DUMMYFUNCTION(&quot;&quot;&quot;COMPUTED_VALUE&quot;&quot;&quot;),&quot;https://vt.tiktok.com/ZSHT5HcqcHSGd-ByR3N/&quot;)"/>
    <hyperlink ref="C219" r:id="rId218" display="=IFERROR(@__xludf.DUMMYFUNCTION(&quot;&quot;&quot;COMPUTED_VALUE&quot;&quot;&quot;),&quot;https://vt.tiktok.com/ZSHT59RDsfCyH-bPecl/&quot;)"/>
    <hyperlink ref="C220" r:id="rId219" display="=IFERROR(@__xludf.DUMMYFUNCTION(&quot;&quot;&quot;COMPUTED_VALUE&quot;&quot;&quot;),&quot;https://vt.tiktok.com/ZSHT59hMUuTW2-s3B6H/&quot;)"/>
    <hyperlink ref="C221" r:id="rId220" display="=IFERROR(@__xludf.DUMMYFUNCTION(&quot;&quot;&quot;COMPUTED_VALUE&quot;&quot;&quot;),&quot;vt.tiktok.com/ZSHTpkHdhqNF9-o1nzK/&quot;)"/>
    <hyperlink ref="C222" r:id="rId221" display="=IFERROR(@__xludf.DUMMYFUNCTION(&quot;&quot;&quot;COMPUTED_VALUE&quot;&quot;&quot;),&quot;https://vt.tiktok.com/ZSHTpBuQ8L21q-drvdG/&quot;)"/>
    <hyperlink ref="C223" r:id="rId222" display="=IFERROR(@__xludf.DUMMYFUNCTION(&quot;&quot;&quot;COMPUTED_VALUE&quot;&quot;&quot;),&quot;vt.tiktok.com/ZSHTpSd2wUyG1-2RkJQ/&quot;)"/>
    <hyperlink ref="C224" r:id="rId223" display="=IFERROR(@__xludf.DUMMYFUNCTION(&quot;&quot;&quot;COMPUTED_VALUE&quot;&quot;&quot;),&quot;vt.tiktok.com/ZSHTpawkrrYg9-RrB9v/&quot;)"/>
    <hyperlink ref="C225" r:id="rId224" display="=IFERROR(@__xludf.DUMMYFUNCTION(&quot;&quot;&quot;COMPUTED_VALUE&quot;&quot;&quot;),&quot;https://vt.tiktok.com/ZSHTvTBr2B3nx-ssuF2/&quot;)"/>
    <hyperlink ref="C226" r:id="rId225" display="=IFERROR(@__xludf.DUMMYFUNCTION(&quot;&quot;&quot;COMPUTED_VALUE&quot;&quot;&quot;),&quot;vt.tiktok.com/ZSHTvwnv2TJhT-j55pq/&quot;)"/>
    <hyperlink ref="C227" r:id="rId226" display="=IFERROR(@__xludf.DUMMYFUNCTION(&quot;&quot;&quot;COMPUTED_VALUE&quot;&quot;&quot;),&quot;https://vt.tiktok.com/ZSHwJqUqKqhwv-37P4q/&quot;)"/>
    <hyperlink ref="C228" r:id="rId227" display="=IFERROR(@__xludf.DUMMYFUNCTION(&quot;&quot;&quot;COMPUTED_VALUE&quot;&quot;&quot;),&quot;https://vt.tiktok.com/ZSHwJgdS9Jxd7-3tS9q/&quot;)"/>
    <hyperlink ref="C229" r:id="rId228" display="=IFERROR(@__xludf.DUMMYFUNCTION(&quot;&quot;&quot;COMPUTED_VALUE&quot;&quot;&quot;),&quot;vt.tiktok.com/ZSHwP45yCW7jN-NXW3Z/&quot;)"/>
    <hyperlink ref="C230" r:id="rId229" display="=IFERROR(@__xludf.DUMMYFUNCTION(&quot;&quot;&quot;COMPUTED_VALUE&quot;&quot;&quot;),&quot;https://vt.tiktok.com/ZSHwP4gR6yfVH-dMEMv/&quot;)"/>
    <hyperlink ref="C231" r:id="rId230" display="=IFERROR(@__xludf.DUMMYFUNCTION(&quot;&quot;&quot;COMPUTED_VALUE&quot;&quot;&quot;),&quot;vt.tiktok.com/ZSHwuFXyHBFvs-cKTqo/&quot;)"/>
    <hyperlink ref="C232" r:id="rId231" display="=IFERROR(@__xludf.DUMMYFUNCTION(&quot;&quot;&quot;COMPUTED_VALUE&quot;&quot;&quot;),&quot;vt.tiktok.com/ZSHwuY6g3rDUk-kcPyl/&quot;)"/>
    <hyperlink ref="C233" r:id="rId232" display="=IFERROR(@__xludf.DUMMYFUNCTION(&quot;&quot;&quot;COMPUTED_VALUE&quot;&quot;&quot;),&quot;vt.tiktok.com/ZSHKF3LPkDhk4-kRW9C/&quot;)"/>
    <hyperlink ref="C234" r:id="rId233" display="=IFERROR(@__xludf.DUMMYFUNCTION(&quot;&quot;&quot;COMPUTED_VALUE&quot;&quot;&quot;),&quot;vt.tiktok.com/ZSHKBsxLTCPoN-cWl6a/&quot;)"/>
    <hyperlink ref="C235" r:id="rId234" display="=IFERROR(@__xludf.DUMMYFUNCTION(&quot;&quot;&quot;COMPUTED_VALUE&quot;&quot;&quot;),&quot;vt.tiktok.com/ZSHKBGLR3hgNc-0CuIv/&quot;)"/>
    <hyperlink ref="C236" r:id="rId235" display="=IFERROR(@__xludf.DUMMYFUNCTION(&quot;&quot;&quot;COMPUTED_VALUE&quot;&quot;&quot;),&quot;vt.tiktok.com/ZSHKykHNGhBQA-WWJeT/&quot;)"/>
    <hyperlink ref="C237" r:id="rId236" display="=IFERROR(@__xludf.DUMMYFUNCTION(&quot;&quot;&quot;COMPUTED_VALUE&quot;&quot;&quot;),&quot;vt.tiktok.com/ZSHK44L9c1HM4-WWo4B/&quot;)"/>
    <hyperlink ref="C238" r:id="rId237" display="=IFERROR(@__xludf.DUMMYFUNCTION(&quot;&quot;&quot;COMPUTED_VALUE&quot;&quot;&quot;),&quot;https://vt.tiktok.com/ZSHK4qXcuvXwf-0FMmc/&quot;)"/>
    <hyperlink ref="C239" r:id="rId238" display="=IFERROR(@__xludf.DUMMYFUNCTION(&quot;&quot;&quot;COMPUTED_VALUE&quot;&quot;&quot;),&quot;https://vt.tiktok.com/ZSHKEFXPUmH7v-EdmcF/&quot;)"/>
    <hyperlink ref="C240" r:id="rId239" display="=IFERROR(@__xludf.DUMMYFUNCTION(&quot;&quot;&quot;COMPUTED_VALUE&quot;&quot;&quot;),&quot;vt.tiktok.com/ZSHKEY4MeaLh7-bpCrC/&quot;)"/>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000"/>
  <sheetViews>
    <sheetView workbookViewId="0">
      <pane ySplit="1" topLeftCell="A2" activePane="bottomLeft" state="frozen"/>
      <selection/>
      <selection pane="bottomLeft" activeCell="B3" sqref="B3"/>
    </sheetView>
  </sheetViews>
  <sheetFormatPr defaultColWidth="12.6285714285714" defaultRowHeight="15.75" customHeight="1" outlineLevelCol="7"/>
  <cols>
    <col min="2" max="2" width="23.3809523809524" customWidth="1"/>
    <col min="3" max="3" width="19.5047619047619" customWidth="1"/>
    <col min="5" max="5" width="26.8761904761905" customWidth="1"/>
    <col min="6" max="6" width="20.752380952381" customWidth="1"/>
    <col min="7" max="7" width="26.6285714285714" customWidth="1"/>
  </cols>
  <sheetData>
    <row r="1" ht="25.5" spans="1:7">
      <c r="A1" s="1" t="str">
        <f>IFERROR(__xludf.DUMMYFUNCTION("QUERY(
  IMPORTRANGE(""https://docs.google.com/spreadsheets/d/1EGDYfR_7ZP0jUh9-xDWd-_SZT_pUQcBMEXS7nT4K0Fo/edit?gid=1424304722#gid=1424304722"",""'Tổng'!A:Z""),
  ""select Col1, Col3, Col5, Col16, Col17 where Col12='Đã có hàng'order by Col16 asc"",
  1
)"),"Ngày")</f>
        <v>Ngày</v>
      </c>
      <c r="B1" s="10" t="str">
        <f>IFERROR(__xludf.DUMMYFUNCTION("""COMPUTED_VALUE"""),"Tên sản phẩm")</f>
        <v>Tên sản phẩm</v>
      </c>
      <c r="C1" s="10" t="str">
        <f>IFERROR(__xludf.DUMMYFUNCTION("""COMPUTED_VALUE"""),"Link sp")</f>
        <v>Link sp</v>
      </c>
      <c r="D1" s="10" t="str">
        <f>IFERROR(__xludf.DUMMYFUNCTION("""COMPUTED_VALUE"""),"Mã sản phẩm")</f>
        <v>Mã sản phẩm</v>
      </c>
      <c r="E1" s="10" t="str">
        <f>IFERROR(__xludf.DUMMYFUNCTION("""COMPUTED_VALUE"""),"Content")</f>
        <v>Content</v>
      </c>
      <c r="F1" s="2"/>
      <c r="G1" s="3"/>
    </row>
    <row r="2" ht="51" spans="1:6">
      <c r="A2" s="9">
        <f>IFERROR(__xludf.DUMMYFUNCTION("""COMPUTED_VALUE"""),45958)</f>
        <v>45958</v>
      </c>
      <c r="B2" s="8" t="str">
        <f>IFERROR(__xludf.DUMMYFUNCTION("""COMPUTED_VALUE"""),"Kukumi Diaper Pants 50pcs Free Shipping Large Super Absorbent and Breathable Pull-up Pants")</f>
        <v>Kukumi Diaper Pants 50pcs Free Shipping Large Super Absorbent and Breathable Pull-up Pants</v>
      </c>
      <c r="C2" s="11" t="str">
        <f>IFERROR(__xludf.DUMMYFUNCTION("""COMPUTED_VALUE"""),"https://vt.tiktok.com/ZSHcFvn9aseTv-8UpR1/")</f>
        <v>https://vt.tiktok.com/ZSHcFvn9aseTv-8UpR1/</v>
      </c>
      <c r="D2" s="8" t="str">
        <f>IFERROR(__xludf.DUMMYFUNCTION("""COMPUTED_VALUE"""),"BB_TEST_001")</f>
        <v>BB_TEST_001</v>
      </c>
      <c r="E2" s="8" t="str">
        <f>IFERROR(__xludf.DUMMYFUNCTION("""COMPUTED_VALUE"""),"Kukumi Diaper pants #Kukumidiaper #babydiaper")</f>
        <v>Kukumi Diaper pants #Kukumidiaper #babydiaper</v>
      </c>
      <c r="F2" s="3"/>
    </row>
    <row r="3" ht="51" spans="1:8">
      <c r="A3" s="9">
        <f>IFERROR(__xludf.DUMMYFUNCTION("""COMPUTED_VALUE"""),45958)</f>
        <v>45958</v>
      </c>
      <c r="B3" s="8" t="str">
        <f>IFERROR(__xludf.DUMMYFUNCTION("""COMPUTED_VALUE"""),"ichi Baby Diaper Pants Buy1 Take1 Bundle Pack Large Size Small Medium XL XXL Tape/Pull-ups")</f>
        <v>ichi Baby Diaper Pants Buy1 Take1 Bundle Pack Large Size Small Medium XL XXL Tape/Pull-ups</v>
      </c>
      <c r="C3" s="11" t="str">
        <f>IFERROR(__xludf.DUMMYFUNCTION("""COMPUTED_VALUE"""),"https://vt.tiktok.com/ZSHcFcePgjEPP-Y7WGa/")</f>
        <v>https://vt.tiktok.com/ZSHcFcePgjEPP-Y7WGa/</v>
      </c>
      <c r="D3" s="8" t="str">
        <f>IFERROR(__xludf.DUMMYFUNCTION("""COMPUTED_VALUE"""),"BB_TEST_002")</f>
        <v>BB_TEST_002</v>
      </c>
      <c r="E3" s="8" t="str">
        <f>IFERROR(__xludf.DUMMYFUNCTION("""COMPUTED_VALUE"""),"Ichi Diaper pants #ichi #babydiaper")</f>
        <v>Ichi Diaper pants #ichi #babydiaper</v>
      </c>
      <c r="F3" s="3"/>
      <c r="G3" s="3"/>
      <c r="H3" s="12"/>
    </row>
    <row r="4" ht="81" customHeight="1" spans="1:8">
      <c r="A4" s="9">
        <f>IFERROR(__xludf.DUMMYFUNCTION("""COMPUTED_VALUE"""),45958)</f>
        <v>45958</v>
      </c>
      <c r="B4" s="8" t="str">
        <f>IFERROR(__xludf.DUMMYFUNCTION("""COMPUTED_VALUE"""),"HANMAC diaper 50pcs free shipping japan diaper
Pull-up pants Unisex Ultra thin and dry
Breathable baby diapers tape")</f>
        <v>HANMAC diaper 50pcs free shipping japan diaper
Pull-up pants Unisex Ultra thin and dry
Breathable baby diapers tape</v>
      </c>
      <c r="C4" s="11" t="str">
        <f>IFERROR(__xludf.DUMMYFUNCTION("""COMPUTED_VALUE"""),"https://vt.tiktok.com/ZSHvoDqRUkG7G-g2hHZ/")</f>
        <v>https://vt.tiktok.com/ZSHvoDqRUkG7G-g2hHZ/</v>
      </c>
      <c r="D4" s="8" t="str">
        <f>IFERROR(__xludf.DUMMYFUNCTION("""COMPUTED_VALUE"""),"BB_TEST_003")</f>
        <v>BB_TEST_003</v>
      </c>
      <c r="E4" s="8" t="str">
        <f>IFERROR(__xludf.DUMMYFUNCTION("""COMPUTED_VALUE"""),"HANMAC Diaper pants #Hanmac #babydiaper")</f>
        <v>HANMAC Diaper pants #Hanmac #babydiaper</v>
      </c>
      <c r="F4" s="3"/>
      <c r="G4" s="3"/>
      <c r="H4" s="3"/>
    </row>
    <row r="5" ht="80.25" customHeight="1" spans="1:7">
      <c r="A5" s="9">
        <f>IFERROR(__xludf.DUMMYFUNCTION("""COMPUTED_VALUE"""),45958)</f>
        <v>45958</v>
      </c>
      <c r="B5" s="8" t="str">
        <f>IFERROR(__xludf.DUMMYFUNCTION("""COMPUTED_VALUE"""),"[FDA Approved] ICHI 5 packs x 100 pieces pure natural no added fragrance alcohol free mild non-allergenic ")</f>
        <v>[FDA Approved] ICHI 5 packs x 100 pieces pure natural no added fragrance alcohol free mild non-allergenic </v>
      </c>
      <c r="C5" s="11" t="str">
        <f>IFERROR(__xludf.DUMMYFUNCTION("""COMPUTED_VALUE"""),"https://vt.tiktok.com/ZSHvoaN92Rdft-XwtNm/")</f>
        <v>https://vt.tiktok.com/ZSHvoaN92Rdft-XwtNm/</v>
      </c>
      <c r="D5" s="8" t="str">
        <f>IFERROR(__xludf.DUMMYFUNCTION("""COMPUTED_VALUE"""),"BB_TEST_004")</f>
        <v>BB_TEST_004</v>
      </c>
      <c r="E5" s="8" t="str">
        <f>IFERROR(__xludf.DUMMYFUNCTION("""COMPUTED_VALUE"""),"Ichi wet wipes #ichi #wetwipes")</f>
        <v>Ichi wet wipes #ichi #wetwipes</v>
      </c>
      <c r="F5" s="3"/>
      <c r="G5" s="3"/>
    </row>
    <row r="6" ht="90" customHeight="1" spans="1:7">
      <c r="A6" s="9">
        <f>IFERROR(__xludf.DUMMYFUNCTION("""COMPUTED_VALUE"""),45962)</f>
        <v>45962</v>
      </c>
      <c r="B6" s="8" t="str">
        <f>IFERROR(__xludf.DUMMYFUNCTION("""COMPUTED_VALUE"""),"【QUICK DRY】 MAKUKU Quick Dry Diapers, I-Zone | 2-seconds Faster Absorption | 50 Pcs")</f>
        <v>【QUICK DRY】 MAKUKU Quick Dry Diapers, I-Zone | 2-seconds Faster Absorption | 50 Pcs</v>
      </c>
      <c r="C6" s="11" t="str">
        <f>IFERROR(__xludf.DUMMYFUNCTION("""COMPUTED_VALUE"""),"https://vt.tiktok.com/ZSHcghp41VJEo-vHtEW/")</f>
        <v>https://vt.tiktok.com/ZSHcghp41VJEo-vHtEW/</v>
      </c>
      <c r="D6" s="8" t="str">
        <f>IFERROR(__xludf.DUMMYFUNCTION("""COMPUTED_VALUE"""),"BB_TEST_005")</f>
        <v>BB_TEST_005</v>
      </c>
      <c r="E6" s="8" t="str">
        <f>IFERROR(__xludf.DUMMYFUNCTION("""COMPUTED_VALUE"""),"MARUKU Diaper pants #Maruku #babydiaper")</f>
        <v>MARUKU Diaper pants #Maruku #babydiaper</v>
      </c>
      <c r="F6" s="3"/>
      <c r="G6" s="3"/>
    </row>
    <row r="7" ht="87.75" customHeight="1" spans="1:7">
      <c r="A7" s="9">
        <f>IFERROR(__xludf.DUMMYFUNCTION("""COMPUTED_VALUE"""),45962)</f>
        <v>45962</v>
      </c>
      <c r="B7" s="8" t="str">
        <f>IFERROR(__xludf.DUMMYFUNCTION("""COMPUTED_VALUE"""),"170 | 270mL Jollibaby Durable PPSU Wide Neck Feeding Bottle Silicone Nipple Pastel Colored Baby Milk Bottle")</f>
        <v>170 | 270mL Jollibaby Durable PPSU Wide Neck Feeding Bottle Silicone Nipple Pastel Colored Baby Milk Bottle</v>
      </c>
      <c r="C7" s="11" t="str">
        <f>IFERROR(__xludf.DUMMYFUNCTION("""COMPUTED_VALUE"""),"https://vt.tiktok.com/ZSHcgBMHhYXqy-Ulq70/")</f>
        <v>https://vt.tiktok.com/ZSHcgBMHhYXqy-Ulq70/</v>
      </c>
      <c r="D7" s="8" t="str">
        <f>IFERROR(__xludf.DUMMYFUNCTION("""COMPUTED_VALUE"""),"BB_TEST_008")</f>
        <v>BB_TEST_008</v>
      </c>
      <c r="E7" s="8" t="str">
        <f>IFERROR(__xludf.DUMMYFUNCTION("""COMPUTED_VALUE"""),"Jollibaby Milk Bottle #Jollibaby #milkbottle")</f>
        <v>Jollibaby Milk Bottle #Jollibaby #milkbottle</v>
      </c>
      <c r="F7" s="3"/>
      <c r="G7" s="3"/>
    </row>
    <row r="8" ht="104.25" customHeight="1" spans="1:7">
      <c r="A8" s="9">
        <f>IFERROR(__xludf.DUMMYFUNCTION("""COMPUTED_VALUE"""),45992)</f>
        <v>45992</v>
      </c>
      <c r="B8" s="8" t="str">
        <f>IFERROR(__xludf.DUMMYFUNCTION("""COMPUTED_VALUE"""),"Payday Kleenfant Cherry Blossom Cleansing Wet Wipes for face 21 Sheets Pack of 3 Make Up Remover Skin care")</f>
        <v>Payday Kleenfant Cherry Blossom Cleansing Wet Wipes for face 21 Sheets Pack of 3 Make Up Remover Skin care</v>
      </c>
      <c r="C8" s="11" t="str">
        <f>IFERROR(__xludf.DUMMYFUNCTION("""COMPUTED_VALUE"""),"https://vt.tiktok.com/ZSHTyADPwvxCQ-owpTt/")</f>
        <v>https://vt.tiktok.com/ZSHTyADPwvxCQ-owpTt/</v>
      </c>
      <c r="D8" s="8" t="str">
        <f>IFERROR(__xludf.DUMMYFUNCTION("""COMPUTED_VALUE"""),"BB_TEST_009")</f>
        <v>BB_TEST_009</v>
      </c>
      <c r="E8" s="8" t="str">
        <f>IFERROR(__xludf.DUMMYFUNCTION("""COMPUTED_VALUE"""),"Kleenfant Wet Wipes #Kleefant #wetwipes")</f>
        <v>Kleenfant Wet Wipes #Kleefant #wetwipes</v>
      </c>
      <c r="F8" s="3"/>
      <c r="G8" s="3"/>
    </row>
    <row r="9" ht="76.5" customHeight="1" spans="1:7">
      <c r="A9" s="9">
        <f>IFERROR(__xludf.DUMMYFUNCTION("""COMPUTED_VALUE"""),45997)</f>
        <v>45997</v>
      </c>
      <c r="B9" s="8" t="str">
        <f>IFERROR(__xludf.DUMMYFUNCTION("""COMPUTED_VALUE"""),"12.12 BEK 18 pcs/Set Kids Hair Accessories Headband Hair Band Hair Pin")</f>
        <v>12.12 BEK 18 pcs/Set Kids Hair Accessories Headband Hair Band Hair Pin</v>
      </c>
      <c r="C9" s="11" t="str">
        <f>IFERROR(__xludf.DUMMYFUNCTION("""COMPUTED_VALUE"""),"https://vt.tiktok.com/ZSHwJgCqjNkdt-3sTEv/")</f>
        <v>https://vt.tiktok.com/ZSHwJgCqjNkdt-3sTEv/</v>
      </c>
      <c r="D9" s="8" t="str">
        <f>IFERROR(__xludf.DUMMYFUNCTION("""COMPUTED_VALUE"""),"BB_TEST_011")</f>
        <v>BB_TEST_011</v>
      </c>
      <c r="E9" s="8" t="str">
        <f>IFERROR(__xludf.DUMMYFUNCTION("""COMPUTED_VALUE"""),"Kid Hair Accessories #hairaccessories #kidgift")</f>
        <v>Kid Hair Accessories #hairaccessories #kidgift</v>
      </c>
      <c r="F9" s="3"/>
      <c r="G9" s="3"/>
    </row>
    <row r="10" ht="90.75" customHeight="1" spans="1:7">
      <c r="A10" s="9">
        <f>IFERROR(__xludf.DUMMYFUNCTION("""COMPUTED_VALUE"""),46003)</f>
        <v>46003</v>
      </c>
      <c r="B10" s="8" t="str">
        <f>IFERROR(__xludf.DUMMYFUNCTION("""COMPUTED_VALUE"""),"Timi baby Finger Movement Brain Game Children toys Quick Push Hand-Held toy soft lighting")</f>
        <v>Timi baby Finger Movement Brain Game Children toys Quick Push Hand-Held toy soft lighting</v>
      </c>
      <c r="C10" s="11" t="str">
        <f>IFERROR(__xludf.DUMMYFUNCTION("""COMPUTED_VALUE"""),"vt.tiktok.com/ZSHwuRY3xvy9L-8M7P7/")</f>
        <v>vt.tiktok.com/ZSHwuRY3xvy9L-8M7P7/</v>
      </c>
      <c r="D10" s="8" t="str">
        <f>IFERROR(__xludf.DUMMYFUNCTION("""COMPUTED_VALUE"""),"BB_TEST_012")</f>
        <v>BB_TEST_012</v>
      </c>
      <c r="E10" s="8" t="str">
        <f>IFERROR(__xludf.DUMMYFUNCTION("""COMPUTED_VALUE"""),"Timi baby Finger Movement Brain Game #childrengame #kidtoy")</f>
        <v>Timi baby Finger Movement Brain Game #childrengame #kidtoy</v>
      </c>
      <c r="F10" s="3"/>
      <c r="G10" s="3"/>
    </row>
    <row r="11" ht="81.75" customHeight="1" spans="1:7">
      <c r="A11" s="9">
        <f>IFERROR(__xludf.DUMMYFUNCTION("""COMPUTED_VALUE"""),45954)</f>
        <v>45954</v>
      </c>
      <c r="B11" s="8" t="str">
        <f>IFERROR(__xludf.DUMMYFUNCTION("""COMPUTED_VALUE"""),"COCO Christmas Gifts Blasting Chocolate Cone IceCream Cone Snacks - 1kg Box - Long 18-Month Shelf Life - Quick Delivery in Metro Manila and Beyond"" Dessert Bonbon")</f>
        <v>COCO Christmas Gifts Blasting Chocolate Cone IceCream Cone Snacks - 1kg Box - Long 18-Month Shelf Life - Quick Delivery in Metro Manila and Beyond" Dessert Bonbon</v>
      </c>
      <c r="C11" s="11" t="str">
        <f>IFERROR(__xludf.DUMMYFUNCTION("""COMPUTED_VALUE"""),"https://vt.tiktok.com/ZSHvQCKtFb9xE-uDXUk/")</f>
        <v>https://vt.tiktok.com/ZSHvQCKtFb9xE-uDXUk/</v>
      </c>
      <c r="D11" s="8" t="str">
        <f>IFERROR(__xludf.DUMMYFUNCTION("""COMPUTED_VALUE"""),"FD_TEST_001")</f>
        <v>FD_TEST_001</v>
      </c>
      <c r="E11" s="8" t="str">
        <f>IFERROR(__xludf.DUMMYFUNCTION("""COMPUTED_VALUE"""),"COCO Christmas Chocolate cone #cocofood #chocolatecone ")</f>
        <v>COCO Christmas Chocolate cone #cocofood #chocolatecone </v>
      </c>
      <c r="F11" s="3"/>
      <c r="G11" s="3"/>
    </row>
    <row r="12" ht="89.25" customHeight="1" spans="1:7">
      <c r="A12" s="9">
        <f>IFERROR(__xludf.DUMMYFUNCTION("""COMPUTED_VALUE"""),45960)</f>
        <v>45960</v>
      </c>
      <c r="B12" s="8" t="str">
        <f>IFERROR(__xludf.DUMMYFUNCTION("""COMPUTED_VALUE"""),"[BUY 1 TAKE 1] Momom Chocolate Krunch, Crunchy Cereal Snack with Chocolate Glazed (360 Grams) Dessert Bonbon chocolate")</f>
        <v>[BUY 1 TAKE 1] Momom Chocolate Krunch, Crunchy Cereal Snack with Chocolate Glazed (360 Grams) Dessert Bonbon chocolate</v>
      </c>
      <c r="C12" s="11" t="str">
        <f>IFERROR(__xludf.DUMMYFUNCTION("""COMPUTED_VALUE"""),"https://vt.tiktok.com/ZSHcCPwYLcYcJ-4exsN/")</f>
        <v>https://vt.tiktok.com/ZSHcCPwYLcYcJ-4exsN/</v>
      </c>
      <c r="D12" s="8" t="str">
        <f>IFERROR(__xludf.DUMMYFUNCTION("""COMPUTED_VALUE"""),"FD_TEST_002")</f>
        <v>FD_TEST_002</v>
      </c>
      <c r="E12" s="8" t="str">
        <f>IFERROR(__xludf.DUMMYFUNCTION("""COMPUTED_VALUE"""),"Momom Chocolate Krunch #momomfood #chocolatekrunch")</f>
        <v>Momom Chocolate Krunch #momomfood #chocolatekrunch</v>
      </c>
      <c r="F12" s="3"/>
      <c r="G12" s="3"/>
    </row>
    <row r="13" ht="38.25" spans="1:7">
      <c r="A13" s="9">
        <f>IFERROR(__xludf.DUMMYFUNCTION("""COMPUTED_VALUE"""),45960)</f>
        <v>45960</v>
      </c>
      <c r="B13" s="8" t="str">
        <f>IFERROR(__xludf.DUMMYFUNCTION("""COMPUTED_VALUE"""),"Dried Fruit and Vegetable -Mr. Squirrel vegetable chips 12 types dried")</f>
        <v>Dried Fruit and Vegetable -Mr. Squirrel vegetable chips 12 types dried</v>
      </c>
      <c r="C13" s="11" t="str">
        <f>IFERROR(__xludf.DUMMYFUNCTION("""COMPUTED_VALUE"""),"https://vt.tiktok.com/ZSHcbMchpHN3G-RQHSv/")</f>
        <v>https://vt.tiktok.com/ZSHcbMchpHN3G-RQHSv/</v>
      </c>
      <c r="D13" s="8" t="str">
        <f>IFERROR(__xludf.DUMMYFUNCTION("""COMPUTED_VALUE"""),"FD_TEST_003")</f>
        <v>FD_TEST_003</v>
      </c>
      <c r="E13" s="8" t="str">
        <f>IFERROR(__xludf.DUMMYFUNCTION("""COMPUTED_VALUE"""),"Dried Fruit and Vegetable #mrsquirrel #driedfruit")</f>
        <v>Dried Fruit and Vegetable #mrsquirrel #driedfruit</v>
      </c>
      <c r="F13" s="3"/>
      <c r="G13" s="3"/>
    </row>
    <row r="14" ht="63.75" spans="1:7">
      <c r="A14" s="9">
        <f>IFERROR(__xludf.DUMMYFUNCTION("""COMPUTED_VALUE"""),45960)</f>
        <v>45960</v>
      </c>
      <c r="B14" s="8" t="str">
        <f>IFERROR(__xludf.DUMMYFUNCTION("""COMPUTED_VALUE"""),"Luncheon Meat 198g/340g Buy 1
Take 1 - Mr.squirrel Luncheon Meat 340g Authentic Korean Flavor")</f>
        <v>Luncheon Meat 198g/340g Buy 1
Take 1 - Mr.squirrel Luncheon Meat 340g Authentic Korean Flavor</v>
      </c>
      <c r="C14" s="11" t="str">
        <f>IFERROR(__xludf.DUMMYFUNCTION("""COMPUTED_VALUE"""),"https://vt.tiktok.com/ZSHcbrRPqDAN7-NPh6e/")</f>
        <v>https://vt.tiktok.com/ZSHcbrRPqDAN7-NPh6e/</v>
      </c>
      <c r="D14" s="8" t="str">
        <f>IFERROR(__xludf.DUMMYFUNCTION("""COMPUTED_VALUE"""),"FD_TEST_004")</f>
        <v>FD_TEST_004</v>
      </c>
      <c r="E14" s="8" t="str">
        <f>IFERROR(__xludf.DUMMYFUNCTION("""COMPUTED_VALUE"""),"Luncheon Meat #mrquirrel #luncheonmeat")</f>
        <v>Luncheon Meat #mrquirrel #luncheonmeat</v>
      </c>
      <c r="F14" s="3"/>
      <c r="G14" s="3"/>
    </row>
    <row r="15" ht="51" spans="1:7">
      <c r="A15" s="9">
        <f>IFERROR(__xludf.DUMMYFUNCTION("""COMPUTED_VALUE"""),45960)</f>
        <v>45960</v>
      </c>
      <c r="B15" s="8" t="str">
        <f>IFERROR(__xludf.DUMMYFUNCTION("""COMPUTED_VALUE"""),"DBD {Buy 2 Take 2} Namkwang Seasoned Nori Seaweed 3pcs per pack of 4g (12pcs)")</f>
        <v>DBD {Buy 2 Take 2} Namkwang Seasoned Nori Seaweed 3pcs per pack of 4g (12pcs)</v>
      </c>
      <c r="C15" s="11" t="str">
        <f>IFERROR(__xludf.DUMMYFUNCTION("""COMPUTED_VALUE"""),"https://vt.tiktok.com/ZSHcbrB7uGhqR-QwOle/")</f>
        <v>https://vt.tiktok.com/ZSHcbrB7uGhqR-QwOle/</v>
      </c>
      <c r="D15" s="8" t="str">
        <f>IFERROR(__xludf.DUMMYFUNCTION("""COMPUTED_VALUE"""),"FD_TEST_005")</f>
        <v>FD_TEST_005</v>
      </c>
      <c r="E15" s="8" t="str">
        <f>IFERROR(__xludf.DUMMYFUNCTION("""COMPUTED_VALUE"""),"Seasoned Nori Seaweed #daybydayasiangrocery #seaweed")</f>
        <v>Seasoned Nori Seaweed #daybydayasiangrocery #seaweed</v>
      </c>
      <c r="F15" s="3"/>
      <c r="G15" s="3"/>
    </row>
    <row r="16" ht="76.5" spans="1:7">
      <c r="A16" s="9">
        <f>IFERROR(__xludf.DUMMYFUNCTION("""COMPUTED_VALUE"""),45960)</f>
        <v>45960</v>
      </c>
      <c r="B16" s="8" t="str">
        <f>IFERROR(__xludf.DUMMYFUNCTION("""COMPUTED_VALUE"""),"DBD Samyang Buldak Ramen Dry Noodle 4/5pcs - (Creamy Carbonara / Original / Cheese / Buldak Carbonara / Quattro / Rose) ")</f>
        <v>DBD Samyang Buldak Ramen Dry Noodle 4/5pcs - (Creamy Carbonara / Original / Cheese / Buldak Carbonara / Quattro / Rose) </v>
      </c>
      <c r="C16" s="11" t="str">
        <f>IFERROR(__xludf.DUMMYFUNCTION("""COMPUTED_VALUE"""),"https://vt.tiktok.com/ZSHcbrfsmSoJh-47Zyk/")</f>
        <v>https://vt.tiktok.com/ZSHcbrfsmSoJh-47Zyk/</v>
      </c>
      <c r="D16" s="8" t="str">
        <f>IFERROR(__xludf.DUMMYFUNCTION("""COMPUTED_VALUE"""),"FD_TEST_006")</f>
        <v>FD_TEST_006</v>
      </c>
      <c r="E16" s="8" t="str">
        <f>IFERROR(__xludf.DUMMYFUNCTION("""COMPUTED_VALUE"""),"Samyang Noodle #daybydayasiangrocery #samyangnoodle")</f>
        <v>Samyang Noodle #daybydayasiangrocery #samyangnoodle</v>
      </c>
      <c r="F16" s="3"/>
      <c r="G16" s="3"/>
    </row>
    <row r="17" ht="63.75" spans="1:8">
      <c r="A17" s="9">
        <f>IFERROR(__xludf.DUMMYFUNCTION("""COMPUTED_VALUE"""),45960)</f>
        <v>45960</v>
      </c>
      <c r="B17" s="13" t="str">
        <f>IFERROR(__xludf.DUMMYFUNCTION("""COMPUTED_VALUE"""),"DBD PROMO! BUY 2 Lotte Almond Choco balls GET 2 FREE Pepero Almond ~ Chocolates Snack Dessert Bonbon")</f>
        <v>DBD PROMO! BUY 2 Lotte Almond Choco balls GET 2 FREE Pepero Almond ~ Chocolates Snack Dessert Bonbon</v>
      </c>
      <c r="C17" s="14" t="str">
        <f>IFERROR(__xludf.DUMMYFUNCTION("""COMPUTED_VALUE"""),"https://vt.tiktok.com/ZSHcbhA2G7sTQ-wtigp/")</f>
        <v>https://vt.tiktok.com/ZSHcbhA2G7sTQ-wtigp/</v>
      </c>
      <c r="D17" s="14" t="str">
        <f>IFERROR(__xludf.DUMMYFUNCTION("""COMPUTED_VALUE"""),"FD_TEST_007")</f>
        <v>FD_TEST_007</v>
      </c>
      <c r="E17" s="8" t="str">
        <f>IFERROR(__xludf.DUMMYFUNCTION("""COMPUTED_VALUE"""),"Almond Choco Balls #daybydayasiangrocery #almondchocolate")</f>
        <v>Almond Choco Balls #daybydayasiangrocery #almondchocolate</v>
      </c>
      <c r="F17" s="3"/>
      <c r="G17" s="3"/>
      <c r="H17" s="8"/>
    </row>
    <row r="18" ht="38.25" spans="1:7">
      <c r="A18" s="9">
        <f>IFERROR(__xludf.DUMMYFUNCTION("""COMPUTED_VALUE"""),45960)</f>
        <v>45960</v>
      </c>
      <c r="B18" s="8" t="str">
        <f>IFERROR(__xludf.DUMMYFUNCTION("""COMPUTED_VALUE"""),"[PER PIECE OPTION] Drip and Bites Chunky Chocolate Cookies")</f>
        <v>[PER PIECE OPTION] Drip and Bites Chunky Chocolate Cookies</v>
      </c>
      <c r="C18" s="11" t="str">
        <f>IFERROR(__xludf.DUMMYFUNCTION("""COMPUTED_VALUE"""),"https://vt.tiktok.com/ZSHcbkudBBae6-ibhns/")</f>
        <v>https://vt.tiktok.com/ZSHcbkudBBae6-ibhns/</v>
      </c>
      <c r="D18" s="8" t="str">
        <f>IFERROR(__xludf.DUMMYFUNCTION("""COMPUTED_VALUE"""),"FD_TEST_008")</f>
        <v>FD_TEST_008</v>
      </c>
      <c r="E18" s="8" t="str">
        <f>IFERROR(__xludf.DUMMYFUNCTION("""COMPUTED_VALUE"""),"Chunky Chocolate Cookies 
#chocolatecookies #cookies")</f>
        <v>Chunky Chocolate Cookies 
#chocolatecookies #cookies</v>
      </c>
      <c r="F18" s="3"/>
      <c r="G18" s="3"/>
    </row>
    <row r="19" ht="90.75" customHeight="1" spans="1:7">
      <c r="A19" s="9">
        <f>IFERROR(__xludf.DUMMYFUNCTION("""COMPUTED_VALUE"""),45960)</f>
        <v>45960</v>
      </c>
      <c r="B19" s="8" t="str">
        <f>IFERROR(__xludf.DUMMYFUNCTION("""COMPUTED_VALUE"""),"DBD {BUY 2 TAKE 2} (HK Brand) MaLing Luncheon Meat 397g x 2 - Convenient and Tasty Ingredient for Breakfast and Sandwiches Premium Pork and Ham in Canned Form Flavor Snack -")</f>
        <v>DBD {BUY 2 TAKE 2} (HK Brand) MaLing Luncheon Meat 397g x 2 - Convenient and Tasty Ingredient for Breakfast and Sandwiches Premium Pork and Ham in Canned Form Flavor Snack -</v>
      </c>
      <c r="C19" s="11" t="str">
        <f>IFERROR(__xludf.DUMMYFUNCTION("""COMPUTED_VALUE"""),"https://vt.tiktok.com/ZSHcbBUHaxyCa-OIsDD/")</f>
        <v>https://vt.tiktok.com/ZSHcbBUHaxyCa-OIsDD/</v>
      </c>
      <c r="D19" s="8" t="str">
        <f>IFERROR(__xludf.DUMMYFUNCTION("""COMPUTED_VALUE"""),"FD_TEST_010")</f>
        <v>FD_TEST_010</v>
      </c>
      <c r="E19" s="8" t="str">
        <f>IFERROR(__xludf.DUMMYFUNCTION("""COMPUTED_VALUE"""),"MaLing Luncheon Meat #haruharuasiangrocery #lucheonmeat")</f>
        <v>MaLing Luncheon Meat #haruharuasiangrocery #lucheonmeat</v>
      </c>
      <c r="F19" s="3"/>
      <c r="G19" s="3"/>
    </row>
    <row r="20" ht="76.5" spans="1:7">
      <c r="A20" s="9">
        <f>IFERROR(__xludf.DUMMYFUNCTION("""COMPUTED_VALUE"""),45960)</f>
        <v>45960</v>
      </c>
      <c r="B20" s="8" t="str">
        <f>IFERROR(__xludf.DUMMYFUNCTION("""COMPUTED_VALUE"""),"HARU {BUY 1 TAKE 1} Lotte Pepero Chocolate
Delicious Chocolate Covered Biscuit Sticks -Perfect for Snacking and Gifts"" Dessert Bonbon")</f>
        <v>HARU {BUY 1 TAKE 1} Lotte Pepero Chocolate
Delicious Chocolate Covered Biscuit Sticks -Perfect for Snacking and Gifts" Dessert Bonbon</v>
      </c>
      <c r="C20" s="11" t="str">
        <f>IFERROR(__xludf.DUMMYFUNCTION("""COMPUTED_VALUE"""),"https://vt.tiktok.com/ZSHcbSfkEjuJf-H9Blf/")</f>
        <v>https://vt.tiktok.com/ZSHcbSfkEjuJf-H9Blf/</v>
      </c>
      <c r="D20" s="8" t="str">
        <f>IFERROR(__xludf.DUMMYFUNCTION("""COMPUTED_VALUE"""),"FD_TEST_011")</f>
        <v>FD_TEST_011</v>
      </c>
      <c r="E20" s="8" t="str">
        <f>IFERROR(__xludf.DUMMYFUNCTION("""COMPUTED_VALUE"""),"Lotte Pepero Chocolate #haruharuasiangrocery #peperochocolate ")</f>
        <v>Lotte Pepero Chocolate #haruharuasiangrocery #peperochocolate </v>
      </c>
      <c r="F20" s="3"/>
      <c r="G20" s="3"/>
    </row>
    <row r="21" ht="76.5" spans="1:7">
      <c r="A21" s="9">
        <f>IFERROR(__xludf.DUMMYFUNCTION("""COMPUTED_VALUE"""),45960)</f>
        <v>45960</v>
      </c>
      <c r="B21" s="8" t="str">
        <f>IFERROR(__xludf.DUMMYFUNCTION("""COMPUTED_VALUE"""),"HARU HOT PROMO! { BUY 2 TAKE 2 } JAYA Nori Seasoned Seaweed 4g x 3 (12pcs): FDA APPROVED!! - Nutritious and Flavorful ")</f>
        <v>HARU HOT PROMO! { BUY 2 TAKE 2 } JAYA Nori Seasoned Seaweed 4g x 3 (12pcs): FDA APPROVED!! - Nutritious and Flavorful </v>
      </c>
      <c r="C21" s="11" t="str">
        <f>IFERROR(__xludf.DUMMYFUNCTION("""COMPUTED_VALUE"""),"https://vt.tiktok.com/ZSHcbDHcDuUdT-rwKVG/")</f>
        <v>https://vt.tiktok.com/ZSHcbDHcDuUdT-rwKVG/</v>
      </c>
      <c r="D21" s="8" t="str">
        <f>IFERROR(__xludf.DUMMYFUNCTION("""COMPUTED_VALUE"""),"FD_TEST_012")</f>
        <v>FD_TEST_012</v>
      </c>
      <c r="E21" s="8" t="str">
        <f>IFERROR(__xludf.DUMMYFUNCTION("""COMPUTED_VALUE"""),"Nori Seasoned Seaweed #haruharuasiangrocery #seaweed")</f>
        <v>Nori Seasoned Seaweed #haruharuasiangrocery #seaweed</v>
      </c>
      <c r="F21" s="3"/>
      <c r="G21" s="3"/>
    </row>
    <row r="22" ht="63.75" spans="1:7">
      <c r="A22" s="9">
        <f>IFERROR(__xludf.DUMMYFUNCTION("""COMPUTED_VALUE"""),45960)</f>
        <v>45960</v>
      </c>
      <c r="B22" s="8" t="str">
        <f>IFERROR(__xludf.DUMMYFUNCTION("""COMPUTED_VALUE"""),"Coco Premium Creambar chocolate snacks
Christmas Gifts - 1kg Box - Long Shelf Life - Ideal for Metro Manila &amp; Beyond ")</f>
        <v>Coco Premium Creambar chocolate snacks
Christmas Gifts - 1kg Box - Long Shelf Life - Ideal for Metro Manila &amp; Beyond </v>
      </c>
      <c r="C22" s="11" t="str">
        <f>IFERROR(__xludf.DUMMYFUNCTION("""COMPUTED_VALUE"""),"https://vt.tiktok.com/ZSHcbDpVqPGmC-8SVEj/")</f>
        <v>https://vt.tiktok.com/ZSHcbDpVqPGmC-8SVEj/</v>
      </c>
      <c r="D22" s="8" t="str">
        <f>IFERROR(__xludf.DUMMYFUNCTION("""COMPUTED_VALUE"""),"FD_TEST_013")</f>
        <v>FD_TEST_013</v>
      </c>
      <c r="E22" s="8" t="str">
        <f>IFERROR(__xludf.DUMMYFUNCTION("""COMPUTED_VALUE"""),"Coco Premium Creambar #cocofood #chocolatesnacks")</f>
        <v>Coco Premium Creambar #cocofood #chocolatesnacks</v>
      </c>
      <c r="F22" s="3"/>
      <c r="G22" s="3"/>
    </row>
    <row r="23" ht="51" spans="1:7">
      <c r="A23" s="9">
        <f>IFERROR(__xludf.DUMMYFUNCTION("""COMPUTED_VALUE"""),45961)</f>
        <v>45961</v>
      </c>
      <c r="B23" s="8" t="str">
        <f>IFERROR(__xludf.DUMMYFUNCTION("""COMPUTED_VALUE"""),"【HotSale】 Dried Mangos With Salt And Chili DELICIOUS Mr Squirrel Dried Mango Low In Sugar")</f>
        <v>【HotSale】 Dried Mangos With Salt And Chili DELICIOUS Mr Squirrel Dried Mango Low In Sugar</v>
      </c>
      <c r="C23" s="11" t="str">
        <f>IFERROR(__xludf.DUMMYFUNCTION("""COMPUTED_VALUE"""),"https://vt.tiktok.com/ZSHcbyJgNCKeY-vO8oy/")</f>
        <v>https://vt.tiktok.com/ZSHcbyJgNCKeY-vO8oy/</v>
      </c>
      <c r="D23" s="8" t="str">
        <f>IFERROR(__xludf.DUMMYFUNCTION("""COMPUTED_VALUE"""),"FD_TEST_014")</f>
        <v>FD_TEST_014</v>
      </c>
      <c r="E23" s="8" t="str">
        <f>IFERROR(__xludf.DUMMYFUNCTION("""COMPUTED_VALUE"""),"Dried Mangos #mrsquirrel #driedmango")</f>
        <v>Dried Mangos #mrsquirrel #driedmango</v>
      </c>
      <c r="F23" s="3"/>
      <c r="G23" s="3"/>
    </row>
    <row r="24" ht="63.75" spans="1:7">
      <c r="A24" s="9">
        <f>IFERROR(__xludf.DUMMYFUNCTION("""COMPUTED_VALUE"""),45961)</f>
        <v>45961</v>
      </c>
      <c r="B24" s="8" t="str">
        <f>IFERROR(__xludf.DUMMYFUNCTION("""COMPUTED_VALUE"""),"[FLASH SALE] COD 3F FOOD SWEET DRIED MANGO - DRIED MANGO WITH SALT AND CHILI FROM VIETNAM")</f>
        <v>[FLASH SALE] COD 3F FOOD SWEET DRIED MANGO - DRIED MANGO WITH SALT AND CHILI FROM VIETNAM</v>
      </c>
      <c r="C24" s="11" t="str">
        <f>IFERROR(__xludf.DUMMYFUNCTION("""COMPUTED_VALUE"""),"vt.tiktok.com/ZSH3qdmRcS8Rc-Xu3Kt/")</f>
        <v>vt.tiktok.com/ZSH3qdmRcS8Rc-Xu3Kt/</v>
      </c>
      <c r="D24" s="8" t="str">
        <f>IFERROR(__xludf.DUMMYFUNCTION("""COMPUTED_VALUE"""),"FD_TEST_015")</f>
        <v>FD_TEST_015</v>
      </c>
      <c r="E24" s="8" t="str">
        <f>IFERROR(__xludf.DUMMYFUNCTION("""COMPUTED_VALUE"""),"Dried Mangos #driedfruit #driedmango")</f>
        <v>Dried Mangos #driedfruit #driedmango</v>
      </c>
      <c r="F24" s="3"/>
      <c r="G24" s="3"/>
    </row>
    <row r="25" ht="63.75" spans="1:7">
      <c r="A25" s="9">
        <f>IFERROR(__xludf.DUMMYFUNCTION("""COMPUTED_VALUE"""),45961)</f>
        <v>45961</v>
      </c>
      <c r="B25" s="8" t="str">
        <f>IFERROR(__xludf.DUMMYFUNCTION("""COMPUTED_VALUE"""),"Weekit7 Acai Berry Powder FDA Approved 7 in 1 Mixed Berries Drink Organic Beverage Juice with Strawberry")</f>
        <v>Weekit7 Acai Berry Powder FDA Approved 7 in 1 Mixed Berries Drink Organic Beverage Juice with Strawberry</v>
      </c>
      <c r="C25" s="11" t="str">
        <f>IFERROR(__xludf.DUMMYFUNCTION("""COMPUTED_VALUE"""),"https://vt.tiktok.com/ZSHcbyP9XwnX6-JWIYn/")</f>
        <v>https://vt.tiktok.com/ZSHcbyP9XwnX6-JWIYn/</v>
      </c>
      <c r="D25" s="8" t="str">
        <f>IFERROR(__xludf.DUMMYFUNCTION("""COMPUTED_VALUE"""),"FD_TEST_016")</f>
        <v>FD_TEST_016</v>
      </c>
      <c r="E25" s="8" t="str">
        <f>IFERROR(__xludf.DUMMYFUNCTION("""COMPUTED_VALUE"""),"Weekit7 Acai Berry #Weekit #acaiberry")</f>
        <v>Weekit7 Acai Berry #Weekit #acaiberry</v>
      </c>
      <c r="F25" s="3"/>
      <c r="G25" s="3"/>
    </row>
    <row r="26" ht="51" spans="1:7">
      <c r="A26" s="9">
        <f>IFERROR(__xludf.DUMMYFUNCTION("""COMPUTED_VALUE"""),45972)</f>
        <v>45972</v>
      </c>
      <c r="B26" s="8" t="str">
        <f>IFERROR(__xludf.DUMMYFUNCTION("""COMPUTED_VALUE"""),"NESTEA Cleanse Lemon Cucumber Powdered Green Tea with Fiber 250ml - Pack of 10")</f>
        <v>NESTEA Cleanse Lemon Cucumber Powdered Green Tea with Fiber 250ml - Pack of 10</v>
      </c>
      <c r="C26" s="11" t="str">
        <f>IFERROR(__xludf.DUMMYFUNCTION("""COMPUTED_VALUE"""),"https://vt.tiktok.com/ZSH3LDWMXKH9W-HWSMC/")</f>
        <v>https://vt.tiktok.com/ZSH3LDWMXKH9W-HWSMC/</v>
      </c>
      <c r="D26" s="8" t="str">
        <f>IFERROR(__xludf.DUMMYFUNCTION("""COMPUTED_VALUE"""),"FD_TEST_017")</f>
        <v>FD_TEST_017</v>
      </c>
      <c r="E26" s="8" t="str">
        <f>IFERROR(__xludf.DUMMYFUNCTION("""COMPUTED_VALUE"""),"NESTEA GreenTea #nestea #greentea")</f>
        <v>NESTEA GreenTea #nestea #greentea</v>
      </c>
      <c r="F26" s="3"/>
      <c r="G26" s="3"/>
    </row>
    <row r="27" ht="51" spans="1:7">
      <c r="A27" s="9">
        <f>IFERROR(__xludf.DUMMYFUNCTION("""COMPUTED_VALUE"""),45958)</f>
        <v>45958</v>
      </c>
      <c r="B27" s="8" t="str">
        <f>IFERROR(__xludf.DUMMYFUNCTION("""COMPUTED_VALUE"""),"Women's Big Size Jeans High Waist Long Denim Pants for Women Elastic Waist Baggy Pants")</f>
        <v>Women's Big Size Jeans High Waist Long Denim Pants for Women Elastic Waist Baggy Pants</v>
      </c>
      <c r="C27" s="11" t="str">
        <f>IFERROR(__xludf.DUMMYFUNCTION("""COMPUTED_VALUE"""),"https://vt.tiktok.com/ZSHcFw5SC6djS-E3jnT/")</f>
        <v>https://vt.tiktok.com/ZSHcFw5SC6djS-E3jnT/</v>
      </c>
      <c r="D27" s="8" t="str">
        <f>IFERROR(__xludf.DUMMYFUNCTION("""COMPUTED_VALUE"""),"FS_TEST_001")</f>
        <v>FS_TEST_001</v>
      </c>
      <c r="E27" s="8" t="str">
        <f>IFERROR(__xludf.DUMMYFUNCTION("""COMPUTED_VALUE"""),"Women Jeans #fashion #jeans")</f>
        <v>Women Jeans #fashion #jeans</v>
      </c>
      <c r="F27" s="3"/>
      <c r="G27" s="3"/>
    </row>
    <row r="28" ht="76.5" spans="1:7">
      <c r="A28" s="9">
        <f>IFERROR(__xludf.DUMMYFUNCTION("""COMPUTED_VALUE"""),45958)</f>
        <v>45958</v>
      </c>
      <c r="B28" s="8" t="str">
        <f>IFERROR(__xludf.DUMMYFUNCTION("""COMPUTED_VALUE"""),"Denim Fashion Unisex High Waist Vintage blue Wide Leg Jeans Denim Pants For Men And Women (PLSSS CHECK THE SIZE CHART)")</f>
        <v>Denim Fashion Unisex High Waist Vintage blue Wide Leg Jeans Denim Pants For Men And Women (PLSSS CHECK THE SIZE CHART)</v>
      </c>
      <c r="C28" s="11" t="str">
        <f>IFERROR(__xludf.DUMMYFUNCTION("""COMPUTED_VALUE"""),"vt.tiktok.com/ZSHTF6vvMRDKP-ZW9hy/")</f>
        <v>vt.tiktok.com/ZSHTF6vvMRDKP-ZW9hy/</v>
      </c>
      <c r="D28" s="8" t="str">
        <f>IFERROR(__xludf.DUMMYFUNCTION("""COMPUTED_VALUE"""),"FS_TEST_002")</f>
        <v>FS_TEST_002</v>
      </c>
      <c r="E28" s="8" t="str">
        <f>IFERROR(__xludf.DUMMYFUNCTION("""COMPUTED_VALUE"""),"Women Jeans #fashion #jeans")</f>
        <v>Women Jeans #fashion #jeans</v>
      </c>
      <c r="F28" s="3"/>
      <c r="G28" s="3"/>
    </row>
    <row r="29" ht="51" spans="1:7">
      <c r="A29" s="9">
        <f>IFERROR(__xludf.DUMMYFUNCTION("""COMPUTED_VALUE"""),45958)</f>
        <v>45958</v>
      </c>
      <c r="B29" s="8" t="str">
        <f>IFERROR(__xludf.DUMMYFUNCTION("""COMPUTED_VALUE"""),"Running Belt for Women and Men, Money Belt and Running Fanny Pack, Hiking Fanny Pack")</f>
        <v>Running Belt for Women and Men, Money Belt and Running Fanny Pack, Hiking Fanny Pack</v>
      </c>
      <c r="C29" s="11" t="str">
        <f>IFERROR(__xludf.DUMMYFUNCTION("""COMPUTED_VALUE"""),"https://vt.tiktok.com/ZSHcjq5HYBFbw-Lhdu4/")</f>
        <v>https://vt.tiktok.com/ZSHcjq5HYBFbw-Lhdu4/</v>
      </c>
      <c r="D29" s="8" t="str">
        <f>IFERROR(__xludf.DUMMYFUNCTION("""COMPUTED_VALUE"""),"FS_TEST_003")</f>
        <v>FS_TEST_003</v>
      </c>
      <c r="E29" s="8" t="str">
        <f>IFERROR(__xludf.DUMMYFUNCTION("""COMPUTED_VALUE"""),"Running Belt #runningbelt #sport")</f>
        <v>Running Belt #runningbelt #sport</v>
      </c>
      <c r="F29" s="3"/>
      <c r="G29" s="3"/>
    </row>
    <row r="30" ht="95.25" customHeight="1" spans="1:7">
      <c r="A30" s="9">
        <f>IFERROR(__xludf.DUMMYFUNCTION("""COMPUTED_VALUE"""),45958)</f>
        <v>45958</v>
      </c>
      <c r="B30" s="8" t="str">
        <f>IFERROR(__xludf.DUMMYFUNCTION("""COMPUTED_VALUE"""),"SCPH Fashion Workout Sports Sets Sports Top and High Waist Shorts for women yoga ")</f>
        <v>SCPH Fashion Workout Sports Sets Sports Top and High Waist Shorts for women yoga </v>
      </c>
      <c r="C30" s="11" t="str">
        <f>IFERROR(__xludf.DUMMYFUNCTION("""COMPUTED_VALUE"""),"https://vt.tiktok.com/ZSHcgXc4sKN5r-zsOIT/")</f>
        <v>https://vt.tiktok.com/ZSHcgXc4sKN5r-zsOIT/</v>
      </c>
      <c r="D30" s="8" t="str">
        <f>IFERROR(__xludf.DUMMYFUNCTION("""COMPUTED_VALUE"""),"FS_TEST_004")</f>
        <v>FS_TEST_004</v>
      </c>
      <c r="E30" s="8" t="str">
        <f>IFERROR(__xludf.DUMMYFUNCTION("""COMPUTED_VALUE"""),"Workout Set #sport #sportfashion")</f>
        <v>Workout Set #sport #sportfashion</v>
      </c>
      <c r="F30" s="3"/>
      <c r="G30" s="3"/>
    </row>
    <row r="31" ht="84.75" customHeight="1" spans="1:7">
      <c r="A31" s="9">
        <f>IFERROR(__xludf.DUMMYFUNCTION("""COMPUTED_VALUE"""),45958)</f>
        <v>45958</v>
      </c>
      <c r="B31" s="8" t="str">
        <f>IFERROR(__xludf.DUMMYFUNCTION("""COMPUTED_VALUE"""),"VadimaSports mens round neck shirt plainkorean for men and women unisexsportsBreathablefor Gym")</f>
        <v>VadimaSports mens round neck shirt plainkorean for men and women unisexsportsBreathablefor Gym</v>
      </c>
      <c r="C31" s="11" t="str">
        <f>IFERROR(__xludf.DUMMYFUNCTION("""COMPUTED_VALUE"""),"https://vt.tiktok.com/ZSHcg4LKEt8Xp-4s9lb/")</f>
        <v>https://vt.tiktok.com/ZSHcg4LKEt8Xp-4s9lb/</v>
      </c>
      <c r="D31" s="8" t="str">
        <f>IFERROR(__xludf.DUMMYFUNCTION("""COMPUTED_VALUE"""),"FS_TEST_006")</f>
        <v>FS_TEST_006</v>
      </c>
      <c r="E31" s="8" t="str">
        <f>IFERROR(__xludf.DUMMYFUNCTION("""COMPUTED_VALUE"""),"Men Shirt #menshirt #fashion")</f>
        <v>Men Shirt #menshirt #fashion</v>
      </c>
      <c r="F31" s="3"/>
      <c r="G31" s="3"/>
    </row>
    <row r="32" ht="76.5" spans="1:7">
      <c r="A32" s="9">
        <f>IFERROR(__xludf.DUMMYFUNCTION("""COMPUTED_VALUE"""),45958)</f>
        <v>45958</v>
      </c>
      <c r="B32" s="8" t="str">
        <f>IFERROR(__xludf.DUMMYFUNCTION("""COMPUTED_VALUE"""),"MeToo 3in1 cotton short sleeve cartoon pattern comfortable pajamas/sleepwear pantulog for women terno Loungewear Fabric ")</f>
        <v>MeToo 3in1 cotton short sleeve cartoon pattern comfortable pajamas/sleepwear pantulog for women terno Loungewear Fabric </v>
      </c>
      <c r="C32" s="11" t="str">
        <f>IFERROR(__xludf.DUMMYFUNCTION("""COMPUTED_VALUE"""),"vt.tiktok.com/ZSHTFM84h9eRH-i4StD/")</f>
        <v>vt.tiktok.com/ZSHTFM84h9eRH-i4StD/</v>
      </c>
      <c r="D32" s="8" t="str">
        <f>IFERROR(__xludf.DUMMYFUNCTION("""COMPUTED_VALUE"""),"FS_TEST_007")</f>
        <v>FS_TEST_007</v>
      </c>
      <c r="E32" s="8" t="str">
        <f>IFERROR(__xludf.DUMMYFUNCTION("""COMPUTED_VALUE"""),"Metoo Sleepwear #Metoo #sleepwear")</f>
        <v>Metoo Sleepwear #Metoo #sleepwear</v>
      </c>
      <c r="F32" s="3"/>
      <c r="G32" s="3"/>
    </row>
    <row r="33" ht="114.75" customHeight="1" spans="1:7">
      <c r="A33" s="9">
        <f>IFERROR(__xludf.DUMMYFUNCTION("""COMPUTED_VALUE"""),45958)</f>
        <v>45958</v>
      </c>
      <c r="B33" s="8" t="str">
        <f>IFERROR(__xludf.DUMMYFUNCTION("""COMPUTED_VALUE"""),"MeTOo cotton pantulog for women terno pajama fashional new design sleepwear Loungewear Clothes Fabric ")</f>
        <v>MeTOo cotton pantulog for women terno pajama fashional new design sleepwear Loungewear Clothes Fabric </v>
      </c>
      <c r="C33" s="11" t="str">
        <f>IFERROR(__xludf.DUMMYFUNCTION("""COMPUTED_VALUE"""),"https://vt.tiktok.com/ZSHTFMrYCBCG7-TLNBE/")</f>
        <v>https://vt.tiktok.com/ZSHTFMrYCBCG7-TLNBE/</v>
      </c>
      <c r="D33" s="8" t="str">
        <f>IFERROR(__xludf.DUMMYFUNCTION("""COMPUTED_VALUE"""),"FS_TEST_008")</f>
        <v>FS_TEST_008</v>
      </c>
      <c r="E33" s="8" t="str">
        <f>IFERROR(__xludf.DUMMYFUNCTION("""COMPUTED_VALUE"""),"Metoo Sleepwear #Metoo #sleepwear")</f>
        <v>Metoo Sleepwear #Metoo #sleepwear</v>
      </c>
      <c r="F33" s="3"/>
      <c r="G33" s="3"/>
    </row>
    <row r="34" ht="38.25" spans="1:7">
      <c r="A34" s="9">
        <f>IFERROR(__xludf.DUMMYFUNCTION("""COMPUTED_VALUE"""),45958)</f>
        <v>45958</v>
      </c>
      <c r="B34" s="8" t="str">
        <f>IFERROR(__xludf.DUMMYFUNCTION("""COMPUTED_VALUE"""),"Retro round earrings geometric earrings female
Sold by pinico")</f>
        <v>Retro round earrings geometric earrings female
Sold by pinico</v>
      </c>
      <c r="C34" s="11" t="str">
        <f>IFERROR(__xludf.DUMMYFUNCTION("""COMPUTED_VALUE"""),"https://vt.tiktok.com/ZSHcF7F9sRbgj-LKqDW/")</f>
        <v>https://vt.tiktok.com/ZSHcF7F9sRbgj-LKqDW/</v>
      </c>
      <c r="D34" s="8" t="str">
        <f>IFERROR(__xludf.DUMMYFUNCTION("""COMPUTED_VALUE"""),"FS_TEST_009")</f>
        <v>FS_TEST_009</v>
      </c>
      <c r="E34" s="8" t="str">
        <f>IFERROR(__xludf.DUMMYFUNCTION("""COMPUTED_VALUE"""),"Retro Earing #earing #fashion")</f>
        <v>Retro Earing #earing #fashion</v>
      </c>
      <c r="F34" s="3"/>
      <c r="G34" s="3"/>
    </row>
    <row r="35" ht="38.25" spans="1:7">
      <c r="A35" s="9">
        <f>IFERROR(__xludf.DUMMYFUNCTION("""COMPUTED_VALUE"""),45958)</f>
        <v>45958</v>
      </c>
      <c r="B35" s="8" t="str">
        <f>IFERROR(__xludf.DUMMYFUNCTION("""COMPUTED_VALUE"""),"Love necklace Fashion Simple Joker Exquisite
Clavica chain")</f>
        <v>Love necklace Fashion Simple Joker Exquisite
Clavica chain</v>
      </c>
      <c r="C35" s="11" t="str">
        <f>IFERROR(__xludf.DUMMYFUNCTION("""COMPUTED_VALUE"""),"https://vt.tiktok.com/ZSHcFvktST8Hq-GoVps/")</f>
        <v>https://vt.tiktok.com/ZSHcFvktST8Hq-GoVps/</v>
      </c>
      <c r="D35" s="8" t="str">
        <f>IFERROR(__xludf.DUMMYFUNCTION("""COMPUTED_VALUE"""),"FS_TEST_010")</f>
        <v>FS_TEST_010</v>
      </c>
      <c r="E35" s="8" t="str">
        <f>IFERROR(__xludf.DUMMYFUNCTION("""COMPUTED_VALUE"""),"Necklace #fashion #necklace")</f>
        <v>Necklace #fashion #necklace</v>
      </c>
      <c r="F35" s="3"/>
      <c r="G35" s="3"/>
    </row>
    <row r="36" ht="51" spans="1:7">
      <c r="A36" s="9">
        <f>IFERROR(__xludf.DUMMYFUNCTION("""COMPUTED_VALUE"""),45966)</f>
        <v>45966</v>
      </c>
      <c r="B36" s="8" t="str">
        <f>IFERROR(__xludf.DUMMYFUNCTION("""COMPUTED_VALUE"""),"67 Piece Set Korean Style Hair Clip For Women Hair Tie Stretch Rubber Hair Band hair claw BELLE set")</f>
        <v>67 Piece Set Korean Style Hair Clip For Women Hair Tie Stretch Rubber Hair Band hair claw BELLE set</v>
      </c>
      <c r="C36" s="11" t="str">
        <f>IFERROR(__xludf.DUMMYFUNCTION("""COMPUTED_VALUE"""),"https://vt.tiktok.com/ZSHc9dChxmegm-yHTAZ/")</f>
        <v>https://vt.tiktok.com/ZSHc9dChxmegm-yHTAZ/</v>
      </c>
      <c r="D36" s="8" t="str">
        <f>IFERROR(__xludf.DUMMYFUNCTION("""COMPUTED_VALUE"""),"FS_TEST_011")</f>
        <v>FS_TEST_011</v>
      </c>
      <c r="E36" s="8" t="str">
        <f>IFERROR(__xludf.DUMMYFUNCTION("""COMPUTED_VALUE"""),"Hair clip set #hairclip #hairaccessories")</f>
        <v>Hair clip set #hairclip #hairaccessories</v>
      </c>
      <c r="F36" s="3"/>
      <c r="G36" s="3"/>
    </row>
    <row r="37" ht="102" spans="1:7">
      <c r="A37" s="9">
        <f>IFERROR(__xludf.DUMMYFUNCTION("""COMPUTED_VALUE"""),45966)</f>
        <v>45966</v>
      </c>
      <c r="B37" s="8" t="str">
        <f>IFERROR(__xludf.DUMMYFUNCTION("""COMPUTED_VALUE"""),"BORN PRETTY 15ml 6 IN 1 Nail Glue Gel Polish Base Gel Top Coat Extension Gel UV lamp Led Nail Art Nail Care Manicure Cosmetic Crystal Color Cutics Case Nail Polish")</f>
        <v>BORN PRETTY 15ml 6 IN 1 Nail Glue Gel Polish Base Gel Top Coat Extension Gel UV lamp Led Nail Art Nail Care Manicure Cosmetic Crystal Color Cutics Case Nail Polish</v>
      </c>
      <c r="C37" s="11" t="str">
        <f>IFERROR(__xludf.DUMMYFUNCTION("""COMPUTED_VALUE"""),"https://vt.tiktok.com/ZSHc98NE8L4S1-6iSk4/")</f>
        <v>https://vt.tiktok.com/ZSHc98NE8L4S1-6iSk4/</v>
      </c>
      <c r="D37" s="8" t="str">
        <f>IFERROR(__xludf.DUMMYFUNCTION("""COMPUTED_VALUE"""),"FS_TEST_012")</f>
        <v>FS_TEST_012</v>
      </c>
      <c r="E37" s="8" t="str">
        <f>IFERROR(__xludf.DUMMYFUNCTION("""COMPUTED_VALUE"""),"Born Pretty Nail Glue #nailglue #bornpretty")</f>
        <v>Born Pretty Nail Glue #nailglue #bornpretty</v>
      </c>
      <c r="F37" s="3"/>
      <c r="G37" s="3"/>
    </row>
    <row r="38" ht="63.75" spans="1:7">
      <c r="A38" s="9">
        <f>IFERROR(__xludf.DUMMYFUNCTION("""COMPUTED_VALUE"""),45966)</f>
        <v>45966</v>
      </c>
      <c r="B38" s="8" t="str">
        <f>IFERROR(__xludf.DUMMYFUNCTION("""COMPUTED_VALUE"""),"Manicure Tool UV Light LED USB Nail Dryer Lamp 6W Portable Mini 360° Rotation Gel for Salon Manicuris")</f>
        <v>Manicure Tool UV Light LED USB Nail Dryer Lamp 6W Portable Mini 360° Rotation Gel for Salon Manicuris</v>
      </c>
      <c r="C38" s="11" t="str">
        <f>IFERROR(__xludf.DUMMYFUNCTION("""COMPUTED_VALUE"""),"vt.tiktok.com/ZSHc98sFKKwTK-s3lOJ/")</f>
        <v>vt.tiktok.com/ZSHc98sFKKwTK-s3lOJ/</v>
      </c>
      <c r="D38" s="8" t="str">
        <f>IFERROR(__xludf.DUMMYFUNCTION("""COMPUTED_VALUE"""),"FS_TEST_013")</f>
        <v>FS_TEST_013</v>
      </c>
      <c r="E38" s="8" t="str">
        <f>IFERROR(__xludf.DUMMYFUNCTION("""COMPUTED_VALUE"""),"UV Light Nail Dryer #uvlight #nail")</f>
        <v>UV Light Nail Dryer #uvlight #nail</v>
      </c>
      <c r="F38" s="3"/>
      <c r="G38" s="3"/>
    </row>
    <row r="39" ht="63.75" spans="1:7">
      <c r="A39" s="9">
        <f>IFERROR(__xludf.DUMMYFUNCTION("""COMPUTED_VALUE"""),45967)</f>
        <v>45967</v>
      </c>
      <c r="B39" s="8" t="str">
        <f>IFERROR(__xludf.DUMMYFUNCTION("""COMPUTED_VALUE"""),"Christmas Coin Purse With Zipper Christmas Decoration Round Square Purse Xmas Party Gift Change Storage Bag Kids")</f>
        <v>Christmas Coin Purse With Zipper Christmas Decoration Round Square Purse Xmas Party Gift Change Storage Bag Kids</v>
      </c>
      <c r="C39" s="11" t="str">
        <f>IFERROR(__xludf.DUMMYFUNCTION("""COMPUTED_VALUE"""),"https://vt.tiktok.com/ZSHcbUF6EFE3M-Wxlmv/")</f>
        <v>https://vt.tiktok.com/ZSHcbUF6EFE3M-Wxlmv/</v>
      </c>
      <c r="D39" s="8" t="str">
        <f>IFERROR(__xludf.DUMMYFUNCTION("""COMPUTED_VALUE"""),"FS_TEST_014")</f>
        <v>FS_TEST_014</v>
      </c>
      <c r="E39" s="8" t="str">
        <f>IFERROR(__xludf.DUMMYFUNCTION("""COMPUTED_VALUE"""),"Christmas Coin Purse #christmas #purse")</f>
        <v>Christmas Coin Purse #christmas #purse</v>
      </c>
      <c r="F39" s="3"/>
      <c r="G39" s="3"/>
    </row>
    <row r="40" ht="63.75" spans="1:7">
      <c r="A40" s="9">
        <f>IFERROR(__xludf.DUMMYFUNCTION("""COMPUTED_VALUE"""),45972)</f>
        <v>45972</v>
      </c>
      <c r="B40" s="8" t="str">
        <f>IFERROR(__xludf.DUMMYFUNCTION("""COMPUTED_VALUE"""),"POSE Cloud Bounce Women/Men's Slides Cat Claw EVA(Eco-friendly) high-end Slippers Indoor and Outdoor ")</f>
        <v>POSE Cloud Bounce Women/Men's Slides Cat Claw EVA(Eco-friendly) high-end Slippers Indoor and Outdoor </v>
      </c>
      <c r="C40" s="11" t="str">
        <f>IFERROR(__xludf.DUMMYFUNCTION("""COMPUTED_VALUE"""),"vt.tiktok.com/ZSH3fNVHmwtDL-fBVTp/")</f>
        <v>vt.tiktok.com/ZSH3fNVHmwtDL-fBVTp/</v>
      </c>
      <c r="D40" s="8" t="str">
        <f>IFERROR(__xludf.DUMMYFUNCTION("""COMPUTED_VALUE"""),"FS_TEST_015")</f>
        <v>FS_TEST_015</v>
      </c>
      <c r="E40" s="8" t="str">
        <f>IFERROR(__xludf.DUMMYFUNCTION("""COMPUTED_VALUE"""),"POSE Men's Slipper #slipper #pose")</f>
        <v>POSE Men's Slipper #slipper #pose</v>
      </c>
      <c r="F40" s="3"/>
      <c r="G40" s="3"/>
    </row>
    <row r="41" ht="127.5" spans="1:7">
      <c r="A41" s="9">
        <f>IFERROR(__xludf.DUMMYFUNCTION("""COMPUTED_VALUE"""),45973)</f>
        <v>45973</v>
      </c>
      <c r="B41" s="8" t="str">
        <f>IFERROR(__xludf.DUMMYFUNCTION("""COMPUTED_VALUE"""),"Silicone Waterproof Black Rain Boots Shoes
Cover Thick Non-slip Wear-resistant Unisex Shoe Cover Rainy Season Supplies Durable &amp; Comfortable Waterproof Shoe Covers Slip-Resistant Rain Boots for All-Day Comfort Blue")</f>
        <v>Silicone Waterproof Black Rain Boots Shoes
Cover Thick Non-slip Wear-resistant Unisex Shoe Cover Rainy Season Supplies Durable &amp; Comfortable Waterproof Shoe Covers Slip-Resistant Rain Boots for All-Day Comfort Blue</v>
      </c>
      <c r="C41" s="11" t="str">
        <f>IFERROR(__xludf.DUMMYFUNCTION("""COMPUTED_VALUE"""),"vt.tiktok.com/ZSH38Bv8koQH8-DWiYU/")</f>
        <v>vt.tiktok.com/ZSH38Bv8koQH8-DWiYU/</v>
      </c>
      <c r="D41" s="8" t="str">
        <f>IFERROR(__xludf.DUMMYFUNCTION("""COMPUTED_VALUE"""),"FS_TEST_017")</f>
        <v>FS_TEST_017</v>
      </c>
      <c r="E41" s="8" t="str">
        <f>IFERROR(__xludf.DUMMYFUNCTION("""COMPUTED_VALUE"""),"Waterproof Shoes Cover #fashion #shoescover")</f>
        <v>Waterproof Shoes Cover #fashion #shoescover</v>
      </c>
      <c r="F41" s="3"/>
      <c r="G41" s="3"/>
    </row>
    <row r="42" ht="76.5" spans="1:7">
      <c r="A42" s="9">
        <f>IFERROR(__xludf.DUMMYFUNCTION("""COMPUTED_VALUE"""),45982)</f>
        <v>45982</v>
      </c>
      <c r="B42" s="8" t="str">
        <f>IFERROR(__xludf.DUMMYFUNCTION("""COMPUTED_VALUE"""),"Fashion Women's Dacron Knitted Bag Small 12cm*18cm Design Phone Case Mini Cute Sling Crossbody Reusable for Day Parties Vacations")</f>
        <v>Fashion Women's Dacron Knitted Bag Small 12cm*18cm Design Phone Case Mini Cute Sling Crossbody Reusable for Day Parties Vacations</v>
      </c>
      <c r="C42" s="11" t="str">
        <f>IFERROR(__xludf.DUMMYFUNCTION("""COMPUTED_VALUE"""),"https://vt.tiktok.com/ZSH37rcdnneGA-VTBwE/")</f>
        <v>https://vt.tiktok.com/ZSH37rcdnneGA-VTBwE/</v>
      </c>
      <c r="D42" s="8" t="str">
        <f>IFERROR(__xludf.DUMMYFUNCTION("""COMPUTED_VALUE"""),"FS_TEST_018")</f>
        <v>FS_TEST_018</v>
      </c>
      <c r="E42" s="8" t="str">
        <f>IFERROR(__xludf.DUMMYFUNCTION("""COMPUTED_VALUE"""),"Women's Knitted Bag #Fashion #womenbag")</f>
        <v>Women's Knitted Bag #Fashion #womenbag</v>
      </c>
      <c r="F42" s="3"/>
      <c r="G42" s="3"/>
    </row>
    <row r="43" ht="51" spans="1:7">
      <c r="A43" s="9">
        <f>IFERROR(__xludf.DUMMYFUNCTION("""COMPUTED_VALUE"""),45992)</f>
        <v>45992</v>
      </c>
      <c r="B43" s="8" t="str">
        <f>IFERROR(__xludf.DUMMYFUNCTION("""COMPUTED_VALUE"""),"2-in-1 Card Holder Wallet Original Organizer Card Board Card Bag Wallet Leather ")</f>
        <v>2-in-1 Card Holder Wallet Original Organizer Card Board Card Bag Wallet Leather </v>
      </c>
      <c r="C43" s="11" t="str">
        <f>IFERROR(__xludf.DUMMYFUNCTION("""COMPUTED_VALUE"""),"https://vt.tiktok.com/ZSHT4KHfWtMeh-dUPIR/")</f>
        <v>https://vt.tiktok.com/ZSHT4KHfWtMeh-dUPIR/</v>
      </c>
      <c r="D43" s="8" t="str">
        <f>IFERROR(__xludf.DUMMYFUNCTION("""COMPUTED_VALUE"""),"FS_TEST_021")</f>
        <v>FS_TEST_021</v>
      </c>
      <c r="E43" s="8" t="str">
        <f>IFERROR(__xludf.DUMMYFUNCTION("""COMPUTED_VALUE"""),"Men's Wallet #fashion #menwallet")</f>
        <v>Men's Wallet #fashion #menwallet</v>
      </c>
      <c r="F43" s="3"/>
      <c r="G43" s="3"/>
    </row>
    <row r="44" ht="38.25" spans="1:7">
      <c r="A44" s="9">
        <f>IFERROR(__xludf.DUMMYFUNCTION("""COMPUTED_VALUE"""),45992)</f>
        <v>45992</v>
      </c>
      <c r="B44" s="8" t="str">
        <f>IFERROR(__xludf.DUMMYFUNCTION("""COMPUTED_VALUE"""),"Business Card Holder Wallet ID Credit Card Case
Aluminum Cardholder")</f>
        <v>Business Card Holder Wallet ID Credit Card Case
Aluminum Cardholder</v>
      </c>
      <c r="C44" s="11" t="str">
        <f>IFERROR(__xludf.DUMMYFUNCTION("""COMPUTED_VALUE"""),"https://vt.tiktok.com/ZSHT4EELbuLhj-skV2h/")</f>
        <v>https://vt.tiktok.com/ZSHT4EELbuLhj-skV2h/</v>
      </c>
      <c r="D44" s="8" t="str">
        <f>IFERROR(__xludf.DUMMYFUNCTION("""COMPUTED_VALUE"""),"FS_TEST_022")</f>
        <v>FS_TEST_022</v>
      </c>
      <c r="E44" s="8" t="str">
        <f>IFERROR(__xludf.DUMMYFUNCTION("""COMPUTED_VALUE"""),"Men's Wallet #fashion #menwallet")</f>
        <v>Men's Wallet #fashion #menwallet</v>
      </c>
      <c r="F44" s="3"/>
      <c r="G44" s="3"/>
    </row>
    <row r="45" ht="51" spans="1:7">
      <c r="A45" s="9">
        <f>IFERROR(__xludf.DUMMYFUNCTION("""COMPUTED_VALUE"""),45992)</f>
        <v>45992</v>
      </c>
      <c r="B45" s="8" t="str">
        <f>IFERROR(__xludf.DUMMYFUNCTION("""COMPUTED_VALUE"""),"New Cartoon Inside Out Keychain Pendant Personality Creative Soft Glue Doll Small Pendant")</f>
        <v>New Cartoon Inside Out Keychain Pendant Personality Creative Soft Glue Doll Small Pendant</v>
      </c>
      <c r="C45" s="11" t="str">
        <f>IFERROR(__xludf.DUMMYFUNCTION("""COMPUTED_VALUE"""),"https://vt.tiktok.com/ZSHT4oj5HU35T-jV046/")</f>
        <v>https://vt.tiktok.com/ZSHT4oj5HU35T-jV046/</v>
      </c>
      <c r="D45" s="8" t="str">
        <f>IFERROR(__xludf.DUMMYFUNCTION("""COMPUTED_VALUE"""),"FS_TEST_023")</f>
        <v>FS_TEST_023</v>
      </c>
      <c r="E45" s="8" t="str">
        <f>IFERROR(__xludf.DUMMYFUNCTION("""COMPUTED_VALUE"""),"Cartoon Inside Out Keychain  #keychain #accessories")</f>
        <v>Cartoon Inside Out Keychain  #keychain #accessories</v>
      </c>
      <c r="F45" s="3"/>
      <c r="G45" s="3"/>
    </row>
    <row r="46" ht="63.75" spans="1:7">
      <c r="A46" s="9">
        <f>IFERROR(__xludf.DUMMYFUNCTION("""COMPUTED_VALUE"""),45992)</f>
        <v>45992</v>
      </c>
      <c r="B46" s="8" t="str">
        <f>IFERROR(__xludf.DUMMYFUNCTION("""COMPUTED_VALUE"""),"NY Indoor Bathroom Anti-Slip Slippers Eva Quick Drying Soft Sole Slippers Leaky Beach Slipper Unisex")</f>
        <v>NY Indoor Bathroom Anti-Slip Slippers Eva Quick Drying Soft Sole Slippers Leaky Beach Slipper Unisex</v>
      </c>
      <c r="C46" s="11" t="str">
        <f>IFERROR(__xludf.DUMMYFUNCTION("""COMPUTED_VALUE"""),"vt.tiktok.com/ZSHTcKW45yJeU-ygV3C/")</f>
        <v>vt.tiktok.com/ZSHTcKW45yJeU-ygV3C/</v>
      </c>
      <c r="D46" s="8" t="str">
        <f>IFERROR(__xludf.DUMMYFUNCTION("""COMPUTED_VALUE"""),"FS_TEST_025")</f>
        <v>FS_TEST_025</v>
      </c>
      <c r="E46" s="8" t="str">
        <f>IFERROR(__xludf.DUMMYFUNCTION("""COMPUTED_VALUE"""),"Bathroom Slipper #bathroomslipper #bathroom")</f>
        <v>Bathroom Slipper #bathroomslipper #bathroom</v>
      </c>
      <c r="F46" s="3"/>
      <c r="G46" s="3"/>
    </row>
    <row r="47" ht="102" spans="1:7">
      <c r="A47" s="9">
        <f>IFERROR(__xludf.DUMMYFUNCTION("""COMPUTED_VALUE"""),45995)</f>
        <v>45995</v>
      </c>
      <c r="B47" s="8" t="str">
        <f>IFERROR(__xludf.DUMMYFUNCTION("""COMPUTED_VALUE"""),"HomeJoyy Durable Dopamine Color Storage Bag
Candy Color Large Capacity Mesh Cosmetic Bag
Toiletry Coin Purse Light Organiser")</f>
        <v>HomeJoyy Durable Dopamine Color Storage Bag
Candy Color Large Capacity Mesh Cosmetic Bag
Toiletry Coin Purse Light Organiser</v>
      </c>
      <c r="C47" s="11" t="str">
        <f>IFERROR(__xludf.DUMMYFUNCTION("""COMPUTED_VALUE"""),"vt.tiktok.com/ZSHT3y6vGj25E-4tZqq/")</f>
        <v>vt.tiktok.com/ZSHT3y6vGj25E-4tZqq/</v>
      </c>
      <c r="D47" s="8" t="str">
        <f>IFERROR(__xludf.DUMMYFUNCTION("""COMPUTED_VALUE"""),"FS_TEST_026")</f>
        <v>FS_TEST_026</v>
      </c>
      <c r="E47" s="8" t="str">
        <f>IFERROR(__xludf.DUMMYFUNCTION("""COMPUTED_VALUE"""),"Cosmetic Bag #cosmeticbag #fashionbag")</f>
        <v>Cosmetic Bag #cosmeticbag #fashionbag</v>
      </c>
      <c r="F47" s="3"/>
      <c r="G47" s="3"/>
    </row>
    <row r="48" ht="63.75" spans="1:7">
      <c r="A48" s="9">
        <f>IFERROR(__xludf.DUMMYFUNCTION("""COMPUTED_VALUE"""),45997)</f>
        <v>45997</v>
      </c>
      <c r="B48" s="8" t="str">
        <f>IFERROR(__xludf.DUMMYFUNCTION("""COMPUTED_VALUE"""),"SeaGloca New Luxury Women Short Wallet Lady Purse with Card Holder Christmas Gift Box No. 353 Blue")</f>
        <v>SeaGloca New Luxury Women Short Wallet Lady Purse with Card Holder Christmas Gift Box No. 353 Blue</v>
      </c>
      <c r="C48" s="11" t="str">
        <f>IFERROR(__xludf.DUMMYFUNCTION("""COMPUTED_VALUE"""),"https://vt.tiktok.com/ZSHwJ4Xeu8w8t-qytbI/")</f>
        <v>https://vt.tiktok.com/ZSHwJ4Xeu8w8t-qytbI/</v>
      </c>
      <c r="D48" s="8" t="str">
        <f>IFERROR(__xludf.DUMMYFUNCTION("""COMPUTED_VALUE"""),"FS_TEST_027")</f>
        <v>FS_TEST_027</v>
      </c>
      <c r="E48" s="8" t="str">
        <f>IFERROR(__xludf.DUMMYFUNCTION("""COMPUTED_VALUE"""),"SeaGloca Women's Wallet #seagloca #wallet")</f>
        <v>SeaGloca Women's Wallet #seagloca #wallet</v>
      </c>
      <c r="F48" s="3"/>
      <c r="G48" s="3"/>
    </row>
    <row r="49" ht="63.75" spans="1:7">
      <c r="A49" s="9">
        <f>IFERROR(__xludf.DUMMYFUNCTION("""COMPUTED_VALUE"""),45997)</f>
        <v>45997</v>
      </c>
      <c r="B49" s="8" t="str">
        <f>IFERROR(__xludf.DUMMYFUNCTION("""COMPUTED_VALUE"""),"Seagloca Korean Crinkle Halfmoon Accordion Pocket Coin Purse For Women No. 1494 purple wallet")</f>
        <v>Seagloca Korean Crinkle Halfmoon Accordion Pocket Coin Purse For Women No. 1494 purple wallet</v>
      </c>
      <c r="C49" s="11" t="str">
        <f>IFERROR(__xludf.DUMMYFUNCTION("""COMPUTED_VALUE"""),"https://vt.tiktok.com/ZSHwJVt8XpXXw-YV575/")</f>
        <v>https://vt.tiktok.com/ZSHwJVt8XpXXw-YV575/</v>
      </c>
      <c r="D49" s="8" t="str">
        <f>IFERROR(__xludf.DUMMYFUNCTION("""COMPUTED_VALUE"""),"FS_TEST_028")</f>
        <v>FS_TEST_028</v>
      </c>
      <c r="E49" s="8" t="str">
        <f>IFERROR(__xludf.DUMMYFUNCTION("""COMPUTED_VALUE"""),"SeaGloca Women's Wallet #seagloca #wallet")</f>
        <v>SeaGloca Women's Wallet #seagloca #wallet</v>
      </c>
      <c r="F49" s="3"/>
      <c r="G49" s="3"/>
    </row>
    <row r="50" ht="63.75" spans="1:7">
      <c r="A50" s="9">
        <f>IFERROR(__xludf.DUMMYFUNCTION("""COMPUTED_VALUE"""),45997)</f>
        <v>45997</v>
      </c>
      <c r="B50" s="8" t="str">
        <f>IFERROR(__xludf.DUMMYFUNCTION("""COMPUTED_VALUE"""),"Mikana Pocket Palette Kyou Coin Purse for Women wallet with picture pocket walet wallets gift ideas")</f>
        <v>Mikana Pocket Palette Kyou Coin Purse for Women wallet with picture pocket walet wallets gift ideas</v>
      </c>
      <c r="C50" s="11" t="str">
        <f>IFERROR(__xludf.DUMMYFUNCTION("""COMPUTED_VALUE"""),"vt.tiktok.com/ZSHwJb2ktqMAM-f04lc/")</f>
        <v>vt.tiktok.com/ZSHwJb2ktqMAM-f04lc/</v>
      </c>
      <c r="D50" s="8" t="str">
        <f>IFERROR(__xludf.DUMMYFUNCTION("""COMPUTED_VALUE"""),"FS_TEST_029")</f>
        <v>FS_TEST_029</v>
      </c>
      <c r="E50" s="8" t="str">
        <f>IFERROR(__xludf.DUMMYFUNCTION("""COMPUTED_VALUE"""),"Mikana Women's Wallet #mikana #womenwallet")</f>
        <v>Mikana Women's Wallet #mikana #womenwallet</v>
      </c>
      <c r="F50" s="3"/>
      <c r="G50" s="3"/>
    </row>
    <row r="51" ht="89.25" spans="1:7">
      <c r="A51" s="9">
        <f>IFERROR(__xludf.DUMMYFUNCTION("""COMPUTED_VALUE"""),45997)</f>
        <v>45997</v>
      </c>
      <c r="B51" s="8" t="str">
        <f>IFERROR(__xludf.DUMMYFUNCTION("""COMPUTED_VALUE"""),"KAMASSI Buy 1 Get 4 Free Stainless Steel Fashion Design for Women Five Pieces Hypoallergenic Non-Tarnish Non-Fading Waterproof [Free Gift] Jewelry Box*1 B2555")</f>
        <v>KAMASSI Buy 1 Get 4 Free Stainless Steel Fashion Design for Women Five Pieces Hypoallergenic Non-Tarnish Non-Fading Waterproof [Free Gift] Jewelry Box*1 B2555</v>
      </c>
      <c r="C51" s="11" t="str">
        <f>IFERROR(__xludf.DUMMYFUNCTION("""COMPUTED_VALUE"""),"vt.tiktok.com/ZSHwJGPmHhxF8-rPPPa/")</f>
        <v>vt.tiktok.com/ZSHwJGPmHhxF8-rPPPa/</v>
      </c>
      <c r="D51" s="8" t="str">
        <f>IFERROR(__xludf.DUMMYFUNCTION("""COMPUTED_VALUE"""),"FS_TEST_031")</f>
        <v>FS_TEST_031</v>
      </c>
      <c r="E51" s="8" t="str">
        <f>IFERROR(__xludf.DUMMYFUNCTION("""COMPUTED_VALUE"""),"KAMASSI 5pcs Bracelets Set #kamassi #bracelet")</f>
        <v>KAMASSI 5pcs Bracelets Set #kamassi #bracelet</v>
      </c>
      <c r="F51" s="3"/>
      <c r="G51" s="3"/>
    </row>
    <row r="52" ht="76.5" spans="1:7">
      <c r="A52" s="9">
        <f>IFERROR(__xludf.DUMMYFUNCTION("""COMPUTED_VALUE"""),45997)</f>
        <v>45997</v>
      </c>
      <c r="B52" s="8" t="str">
        <f>IFERROR(__xludf.DUMMYFUNCTION("""COMPUTED_VALUE""")," Mikana Elegant Hayame Necklace Daily Fashion Accessories For Women Hypoallergenic Non Tarnish With White Box Black Pouch Polishing Cloth")</f>
        <v> Mikana Elegant Hayame Necklace Daily Fashion Accessories For Women Hypoallergenic Non Tarnish With White Box Black Pouch Polishing Cloth</v>
      </c>
      <c r="C52" s="11" t="str">
        <f>IFERROR(__xludf.DUMMYFUNCTION("""COMPUTED_VALUE"""),"vt.tiktok.com/ZSHwJndacuUbW-00ayg/")</f>
        <v>vt.tiktok.com/ZSHwJndacuUbW-00ayg/</v>
      </c>
      <c r="D52" s="8" t="str">
        <f>IFERROR(__xludf.DUMMYFUNCTION("""COMPUTED_VALUE"""),"FS_TEST_032")</f>
        <v>FS_TEST_032</v>
      </c>
      <c r="E52" s="8" t="str">
        <f>IFERROR(__xludf.DUMMYFUNCTION("""COMPUTED_VALUE"""),"MIKANA Necklace #MIKANA #necklace")</f>
        <v>MIKANA Necklace #MIKANA #necklace</v>
      </c>
      <c r="F52" s="3"/>
      <c r="G52" s="3"/>
    </row>
    <row r="53" ht="38.25" spans="1:7">
      <c r="A53" s="9">
        <f>IFERROR(__xludf.DUMMYFUNCTION("""COMPUTED_VALUE"""),45997)</f>
        <v>45997</v>
      </c>
      <c r="B53" s="8" t="str">
        <f>IFERROR(__xludf.DUMMYFUNCTION("""COMPUTED_VALUE"""),"Couple Ring Non Fading Adjustable Opening Ring")</f>
        <v>Couple Ring Non Fading Adjustable Opening Ring</v>
      </c>
      <c r="C53" s="11" t="str">
        <f>IFERROR(__xludf.DUMMYFUNCTION("""COMPUTED_VALUE"""),"https://vt.tiktok.com/ZSHwJnUxWNMqM-P9xhO/")</f>
        <v>https://vt.tiktok.com/ZSHwJnUxWNMqM-P9xhO/</v>
      </c>
      <c r="D53" s="8" t="str">
        <f>IFERROR(__xludf.DUMMYFUNCTION("""COMPUTED_VALUE"""),"FS_TEST_033")</f>
        <v>FS_TEST_033</v>
      </c>
      <c r="E53" s="8" t="str">
        <f>IFERROR(__xludf.DUMMYFUNCTION("""COMPUTED_VALUE"""),"Couple Ring #couplering #giftideas")</f>
        <v>Couple Ring #couplering #giftideas</v>
      </c>
      <c r="F53" s="3"/>
      <c r="G53" s="3"/>
    </row>
    <row r="54" ht="76.5" spans="1:7">
      <c r="A54" s="9">
        <f>IFERROR(__xludf.DUMMYFUNCTION("""COMPUTED_VALUE"""),45997)</f>
        <v>45997</v>
      </c>
      <c r="B54" s="8" t="str">
        <f>IFERROR(__xludf.DUMMYFUNCTION("""COMPUTED_VALUE"""),"Mikana Valentines Elegant Promise Etanaru Ring Daily Fashion Accessories For Women Hypoallergenic Non Tarnish With Box And Pouch")</f>
        <v>Mikana Valentines Elegant Promise Etanaru Ring Daily Fashion Accessories For Women Hypoallergenic Non Tarnish With Box And Pouch</v>
      </c>
      <c r="C54" s="11" t="str">
        <f>IFERROR(__xludf.DUMMYFUNCTION("""COMPUTED_VALUE"""),"vt.tiktok.com/ZSHwJnbAFKkVX-gd281/")</f>
        <v>vt.tiktok.com/ZSHwJnbAFKkVX-gd281/</v>
      </c>
      <c r="D54" s="8" t="str">
        <f>IFERROR(__xludf.DUMMYFUNCTION("""COMPUTED_VALUE"""),"FS_TEST_034")</f>
        <v>FS_TEST_034</v>
      </c>
      <c r="E54" s="8" t="str">
        <f>IFERROR(__xludf.DUMMYFUNCTION("""COMPUTED_VALUE"""),"MIKANA ring #MIKANA #ring")</f>
        <v>MIKANA ring #MIKANA #ring</v>
      </c>
      <c r="F54" s="3"/>
      <c r="G54" s="3"/>
    </row>
    <row r="55" ht="76.5" spans="1:7">
      <c r="A55" s="9">
        <f>IFERROR(__xludf.DUMMYFUNCTION("""COMPUTED_VALUE"""),45997)</f>
        <v>45997</v>
      </c>
      <c r="B55" s="8" t="str">
        <f>IFERROR(__xludf.DUMMYFUNCTION("""COMPUTED_VALUE"""),"6PCS/Set Trendy Watch Women's Elegant Bracelet Necklace Earrings Ring Rhinestone Fashion Wristwatch Casual Ladies Steel Watches (With Box)")</f>
        <v>6PCS/Set Trendy Watch Women's Elegant Bracelet Necklace Earrings Ring Rhinestone Fashion Wristwatch Casual Ladies Steel Watches (With Box)</v>
      </c>
      <c r="C55" s="11" t="str">
        <f>IFERROR(__xludf.DUMMYFUNCTION("""COMPUTED_VALUE"""),"vt.tiktok.com/ZSHwJWdJm4ywU-2wV4b/")</f>
        <v>vt.tiktok.com/ZSHwJWdJm4ywU-2wV4b/</v>
      </c>
      <c r="D55" s="8" t="str">
        <f>IFERROR(__xludf.DUMMYFUNCTION("""COMPUTED_VALUE"""),"FS_TEST_035")</f>
        <v>FS_TEST_035</v>
      </c>
      <c r="E55" s="8" t="str">
        <f>IFERROR(__xludf.DUMMYFUNCTION("""COMPUTED_VALUE"""),"Jewelry Gift Set #jewelry #giftideas")</f>
        <v>Jewelry Gift Set #jewelry #giftideas</v>
      </c>
      <c r="F55" s="3"/>
      <c r="G55" s="3"/>
    </row>
    <row r="56" ht="51" spans="1:7">
      <c r="A56" s="9">
        <f>IFERROR(__xludf.DUMMYFUNCTION("""COMPUTED_VALUE"""),45958)</f>
        <v>45958</v>
      </c>
      <c r="B56" s="8" t="str">
        <f>IFERROR(__xludf.DUMMYFUNCTION("""COMPUTED_VALUE"""),"[BUY 2, FREE 2] Colgate Optic White Purple Toothpaste 100g Twin Pack ")</f>
        <v>[BUY 2, FREE 2] Colgate Optic White Purple Toothpaste 100g Twin Pack </v>
      </c>
      <c r="C56" s="11" t="str">
        <f>IFERROR(__xludf.DUMMYFUNCTION("""COMPUTED_VALUE"""),"vt.tiktok.com/ZSHTmhkKESGh8-Ojpqq/")</f>
        <v>vt.tiktok.com/ZSHTmhkKESGh8-Ojpqq/</v>
      </c>
      <c r="D56" s="8" t="str">
        <f>IFERROR(__xludf.DUMMYFUNCTION("""COMPUTED_VALUE"""),"HB_TEST_001")</f>
        <v>HB_TEST_001</v>
      </c>
      <c r="E56" s="8" t="str">
        <f>IFERROR(__xludf.DUMMYFUNCTION("""COMPUTED_VALUE"""),"Colgate Optic White Purple Toothpaste #Colgate #toothpaste")</f>
        <v>Colgate Optic White Purple Toothpaste #Colgate #toothpaste</v>
      </c>
      <c r="F56" s="3"/>
      <c r="G56" s="3"/>
    </row>
    <row r="57" ht="51" spans="1:7">
      <c r="A57" s="9">
        <f>IFERROR(__xludf.DUMMYFUNCTION("""COMPUTED_VALUE"""),45968)</f>
        <v>45968</v>
      </c>
      <c r="B57" s="8" t="str">
        <f>IFERROR(__xludf.DUMMYFUNCTION("""COMPUTED_VALUE"""),"Dental Floss Oral Hygiene Dental Sticks Dental Tooth Picks Portable Flossing Toothpick Comfort")</f>
        <v>Dental Floss Oral Hygiene Dental Sticks Dental Tooth Picks Portable Flossing Toothpick Comfort</v>
      </c>
      <c r="C57" s="11" t="str">
        <f>IFERROR(__xludf.DUMMYFUNCTION("""COMPUTED_VALUE"""),"https://vt.tiktok.com/ZSHcgQP8PF6m6-Tunpb/")</f>
        <v>https://vt.tiktok.com/ZSHcgQP8PF6m6-Tunpb/</v>
      </c>
      <c r="D57" s="8" t="str">
        <f>IFERROR(__xludf.DUMMYFUNCTION("""COMPUTED_VALUE"""),"HB_TEST_002")</f>
        <v>HB_TEST_002</v>
      </c>
      <c r="E57" s="8" t="str">
        <f>IFERROR(__xludf.DUMMYFUNCTION("""COMPUTED_VALUE"""),"Dental Floss Oral #dentalfloss #dentaltoothpicks")</f>
        <v>Dental Floss Oral #dentalfloss #dentaltoothpicks</v>
      </c>
      <c r="F57" s="3"/>
      <c r="G57" s="3"/>
    </row>
    <row r="58" ht="51" spans="1:7">
      <c r="A58" s="9">
        <f>IFERROR(__xludf.DUMMYFUNCTION("""COMPUTED_VALUE"""),45968)</f>
        <v>45968</v>
      </c>
      <c r="B58" s="8" t="str">
        <f>IFERROR(__xludf.DUMMYFUNCTION("""COMPUTED_VALUE"""),"CBLUE 10PCS 3D/5D Mask Face Mask Korea 3D Face-Lifting Butterfly More sun protection")</f>
        <v>CBLUE 10PCS 3D/5D Mask Face Mask Korea 3D Face-Lifting Butterfly More sun protection</v>
      </c>
      <c r="C58" s="11" t="str">
        <f>IFERROR(__xludf.DUMMYFUNCTION("""COMPUTED_VALUE"""),"https://vt.tiktok.com/ZSHcgCkeeLTVC-zgZzP/")</f>
        <v>https://vt.tiktok.com/ZSHcgCkeeLTVC-zgZzP/</v>
      </c>
      <c r="D58" s="8" t="str">
        <f>IFERROR(__xludf.DUMMYFUNCTION("""COMPUTED_VALUE"""),"HB_TEST_003")</f>
        <v>HB_TEST_003</v>
      </c>
      <c r="E58" s="8" t="str">
        <f>IFERROR(__xludf.DUMMYFUNCTION("""COMPUTED_VALUE"""),"Face Mask #facemask #breathablemask")</f>
        <v>Face Mask #facemask #breathablemask</v>
      </c>
      <c r="F58" s="3"/>
      <c r="G58" s="3"/>
    </row>
    <row r="59" ht="51" spans="1:7">
      <c r="A59" s="9">
        <f>IFERROR(__xludf.DUMMYFUNCTION("""COMPUTED_VALUE"""),45976)</f>
        <v>45976</v>
      </c>
      <c r="B59" s="8" t="str">
        <f>IFERROR(__xludf.DUMMYFUNCTION("""COMPUTED_VALUE"""),"Niacinamide Whitening Soap 70g 10x Glow Boost Pimple Care Fresh Coconut Scent Acne ")</f>
        <v>Niacinamide Whitening Soap 70g 10x Glow Boost Pimple Care Fresh Coconut Scent Acne </v>
      </c>
      <c r="C59" s="11" t="str">
        <f>IFERROR(__xludf.DUMMYFUNCTION("""COMPUTED_VALUE"""),"vt.tiktok.com/ZSHTmrEGU2YK8-gKfRB/")</f>
        <v>vt.tiktok.com/ZSHTmrEGU2YK8-gKfRB/</v>
      </c>
      <c r="D59" s="8" t="str">
        <f>IFERROR(__xludf.DUMMYFUNCTION("""COMPUTED_VALUE"""),"HB_TEST_005")</f>
        <v>HB_TEST_005</v>
      </c>
      <c r="E59" s="8" t="str">
        <f>IFERROR(__xludf.DUMMYFUNCTION("""COMPUTED_VALUE"""),"Niacinamide Whitening Soap #soap #niacinamide")</f>
        <v>Niacinamide Whitening Soap #soap #niacinamide</v>
      </c>
      <c r="F59" s="3"/>
      <c r="G59" s="3"/>
    </row>
    <row r="60" ht="63.75" spans="1:7">
      <c r="A60" s="9">
        <f>IFERROR(__xludf.DUMMYFUNCTION("""COMPUTED_VALUE"""),45976)</f>
        <v>45976</v>
      </c>
      <c r="B60" s="8" t="str">
        <f>IFERROR(__xludf.DUMMYFUNCTION("""COMPUTED_VALUE"""),"[Whitening Soap Seoul secret soap] Lighten SkinTone Fresh and Pleasant, Powerful Brighten Hydrate ACNE")</f>
        <v>[Whitening Soap Seoul secret soap] Lighten SkinTone Fresh and Pleasant, Powerful Brighten Hydrate ACNE</v>
      </c>
      <c r="C60" s="11" t="str">
        <f>IFERROR(__xludf.DUMMYFUNCTION("""COMPUTED_VALUE"""),"vt.tiktok.com/ZSH3mVoEJx32x-juqho/")</f>
        <v>vt.tiktok.com/ZSH3mVoEJx32x-juqho/</v>
      </c>
      <c r="D60" s="8" t="str">
        <f>IFERROR(__xludf.DUMMYFUNCTION("""COMPUTED_VALUE"""),"HB_TEST_006")</f>
        <v>HB_TEST_006</v>
      </c>
      <c r="E60" s="8" t="str">
        <f>IFERROR(__xludf.DUMMYFUNCTION("""COMPUTED_VALUE"""),"Whitening Soap Seoul secret #seoulsecret #soap")</f>
        <v>Whitening Soap Seoul secret #seoulsecret #soap</v>
      </c>
      <c r="F60" s="3"/>
      <c r="G60" s="3"/>
    </row>
    <row r="61" ht="38.25" spans="1:7">
      <c r="A61" s="9">
        <f>IFERROR(__xludf.DUMMYFUNCTION("""COMPUTED_VALUE"""),45976)</f>
        <v>45976</v>
      </c>
      <c r="B61" s="8" t="str">
        <f>IFERROR(__xludf.DUMMYFUNCTION("""COMPUTED_VALUE"""),"Sugar Dolls Fragrance 30ml with Canister Long Lasting Scents Perfume")</f>
        <v>Sugar Dolls Fragrance 30ml with Canister Long Lasting Scents Perfume</v>
      </c>
      <c r="C61" s="11" t="str">
        <f>IFERROR(__xludf.DUMMYFUNCTION("""COMPUTED_VALUE"""),"vt.tiktok.com/ZSH3mVTanoAar-CIvA6/")</f>
        <v>vt.tiktok.com/ZSH3mVTanoAar-CIvA6/</v>
      </c>
      <c r="D61" s="8" t="str">
        <f>IFERROR(__xludf.DUMMYFUNCTION("""COMPUTED_VALUE"""),"HB_TEST_007")</f>
        <v>HB_TEST_007</v>
      </c>
      <c r="E61" s="8" t="str">
        <f>IFERROR(__xludf.DUMMYFUNCTION("""COMPUTED_VALUE"""),"Sugar Dolls Fragrance  #SugarDollsFragrance #SugarDolls")</f>
        <v>Sugar Dolls Fragrance  #SugarDollsFragrance #SugarDolls</v>
      </c>
      <c r="F61" s="3"/>
      <c r="G61" s="3"/>
    </row>
    <row r="62" ht="38.25" spans="1:7">
      <c r="A62" s="9">
        <f>IFERROR(__xludf.DUMMYFUNCTION("""COMPUTED_VALUE"""),45976)</f>
        <v>45976</v>
      </c>
      <c r="B62" s="8" t="str">
        <f>IFERROR(__xludf.DUMMYFUNCTION("""COMPUTED_VALUE"""),"Vaseline Lip Rosy Lips Lip Balm Stick With Petroleum Jelly 4.8G")</f>
        <v>Vaseline Lip Rosy Lips Lip Balm Stick With Petroleum Jelly 4.8G</v>
      </c>
      <c r="C62" s="11" t="str">
        <f>IFERROR(__xludf.DUMMYFUNCTION("""COMPUTED_VALUE"""),"https://vt.tiktok.com/ZSHTmhGSD2gEq-JYkXO/")</f>
        <v>https://vt.tiktok.com/ZSHTmhGSD2gEq-JYkXO/</v>
      </c>
      <c r="D62" s="8" t="str">
        <f>IFERROR(__xludf.DUMMYFUNCTION("""COMPUTED_VALUE"""),"HB_TEST_009")</f>
        <v>HB_TEST_009</v>
      </c>
      <c r="E62" s="8" t="str">
        <f>IFERROR(__xludf.DUMMYFUNCTION("""COMPUTED_VALUE"""),"Vaseline Lip Balm #vaseline #lipbalm")</f>
        <v>Vaseline Lip Balm #vaseline #lipbalm</v>
      </c>
      <c r="F62" s="3"/>
      <c r="G62" s="3"/>
    </row>
    <row r="63" ht="25.5" spans="1:7">
      <c r="A63" s="9">
        <f>IFERROR(__xludf.DUMMYFUNCTION("""COMPUTED_VALUE"""),45976)</f>
        <v>45976</v>
      </c>
      <c r="B63" s="8" t="str">
        <f>IFERROR(__xludf.DUMMYFUNCTION("""COMPUTED_VALUE"""),"Vaseline Lip Therapy Rosy 7g")</f>
        <v>Vaseline Lip Therapy Rosy 7g</v>
      </c>
      <c r="C63" s="11" t="str">
        <f>IFERROR(__xludf.DUMMYFUNCTION("""COMPUTED_VALUE"""),"vt.tiktok.com/ZSHTmh3TH3EHe-V5Jea/")</f>
        <v>vt.tiktok.com/ZSHTmh3TH3EHe-V5Jea/</v>
      </c>
      <c r="D63" s="8" t="str">
        <f>IFERROR(__xludf.DUMMYFUNCTION("""COMPUTED_VALUE"""),"HB_TEST_010")</f>
        <v>HB_TEST_010</v>
      </c>
      <c r="E63" s="8" t="str">
        <f>IFERROR(__xludf.DUMMYFUNCTION("""COMPUTED_VALUE"""),"Vaseline Lip Balm #vaseline #lipbalm")</f>
        <v>Vaseline Lip Balm #vaseline #lipbalm</v>
      </c>
      <c r="F63" s="3"/>
      <c r="G63" s="3"/>
    </row>
    <row r="64" ht="38.25" spans="1:7">
      <c r="A64" s="9">
        <f>IFERROR(__xludf.DUMMYFUNCTION("""COMPUTED_VALUE"""),45976)</f>
        <v>45976</v>
      </c>
      <c r="B64" s="8" t="str">
        <f>IFERROR(__xludf.DUMMYFUNCTION("""COMPUTED_VALUE"""),"POND'S Bright Miracle Ultimate Clarity Facial
Wash 100G")</f>
        <v>POND'S Bright Miracle Ultimate Clarity Facial
Wash 100G</v>
      </c>
      <c r="C64" s="11" t="str">
        <f>IFERROR(__xludf.DUMMYFUNCTION("""COMPUTED_VALUE"""),"https://vt.tiktok.com/ZSHTmhufKxVbW-R9U60/")</f>
        <v>https://vt.tiktok.com/ZSHTmhufKxVbW-R9U60/</v>
      </c>
      <c r="D64" s="8" t="str">
        <f>IFERROR(__xludf.DUMMYFUNCTION("""COMPUTED_VALUE"""),"HB_TEST_011")</f>
        <v>HB_TEST_011</v>
      </c>
      <c r="E64" s="8" t="str">
        <f>IFERROR(__xludf.DUMMYFUNCTION("""COMPUTED_VALUE"""),"POND's Facial Wash #POND #facewash")</f>
        <v>POND's Facial Wash #POND #facewash</v>
      </c>
      <c r="F64" s="3"/>
      <c r="G64" s="3"/>
    </row>
    <row r="65" ht="51" spans="1:7">
      <c r="A65" s="9">
        <f>IFERROR(__xludf.DUMMYFUNCTION("""COMPUTED_VALUE"""),45976)</f>
        <v>45976</v>
      </c>
      <c r="B65" s="8" t="str">
        <f>IFERROR(__xludf.DUMMYFUNCTION("""COMPUTED_VALUE"""),"[BUY 1 GET 1 FREE] Rexona Men Ice Cool Antiperspirant Roll On 45ml")</f>
        <v>[BUY 1 GET 1 FREE] Rexona Men Ice Cool Antiperspirant Roll On 45ml</v>
      </c>
      <c r="C65" s="11" t="str">
        <f>IFERROR(__xludf.DUMMYFUNCTION("""COMPUTED_VALUE"""),"https://vt.tiktok.com/ZSHTmkbQggLNM-XJfaf/")</f>
        <v>https://vt.tiktok.com/ZSHTmkbQggLNM-XJfaf/</v>
      </c>
      <c r="D65" s="8" t="str">
        <f>IFERROR(__xludf.DUMMYFUNCTION("""COMPUTED_VALUE"""),"HB_TEST_013")</f>
        <v>HB_TEST_013</v>
      </c>
      <c r="E65" s="8" t="str">
        <f>IFERROR(__xludf.DUMMYFUNCTION("""COMPUTED_VALUE"""),"Rexona Men Ice Cool Antiperspirant Roll #rexona #AntiperspirantRoll")</f>
        <v>Rexona Men Ice Cool Antiperspirant Roll #rexona #AntiperspirantRoll</v>
      </c>
      <c r="F65" s="3"/>
      <c r="G65" s="3"/>
    </row>
    <row r="66" ht="38.25" spans="1:7">
      <c r="A66" s="9">
        <f>IFERROR(__xludf.DUMMYFUNCTION("""COMPUTED_VALUE"""),45978)</f>
        <v>45978</v>
      </c>
      <c r="B66" s="8" t="str">
        <f>IFERROR(__xludf.DUMMYFUNCTION("""COMPUTED_VALUE"""),"Closeup Gel Toothpaste with Antibacterial Zinc
Red Hot Twin Pack 175g")</f>
        <v>Closeup Gel Toothpaste with Antibacterial Zinc
Red Hot Twin Pack 175g</v>
      </c>
      <c r="C66" s="11" t="str">
        <f>IFERROR(__xludf.DUMMYFUNCTION("""COMPUTED_VALUE"""),"vt.tiktok.com/ZSH3uTAKmanms-wW2St/")</f>
        <v>vt.tiktok.com/ZSH3uTAKmanms-wW2St/</v>
      </c>
      <c r="D66" s="8" t="str">
        <f>IFERROR(__xludf.DUMMYFUNCTION("""COMPUTED_VALUE"""),"HB_TEST_015")</f>
        <v>HB_TEST_015</v>
      </c>
      <c r="E66" s="8" t="str">
        <f>IFERROR(__xludf.DUMMYFUNCTION("""COMPUTED_VALUE"""),"Closeup Gel Toothpaste with Antibacterial Zinc #closeup #toothpaste")</f>
        <v>Closeup Gel Toothpaste with Antibacterial Zinc #closeup #toothpaste</v>
      </c>
      <c r="F66" s="3"/>
      <c r="G66" s="3"/>
    </row>
    <row r="67" ht="38.25" spans="1:7">
      <c r="A67" s="9">
        <f>IFERROR(__xludf.DUMMYFUNCTION("""COMPUTED_VALUE"""),45976)</f>
        <v>45976</v>
      </c>
      <c r="B67" s="8" t="str">
        <f>IFERROR(__xludf.DUMMYFUNCTION("""COMPUTED_VALUE"""),"Vaseline Gluta-Hya Serum Burst Lotion Dewy
Radiance 330ml")</f>
        <v>Vaseline Gluta-Hya Serum Burst Lotion Dewy
Radiance 330ml</v>
      </c>
      <c r="C67" s="11" t="str">
        <f>IFERROR(__xludf.DUMMYFUNCTION("""COMPUTED_VALUE"""),"vt.tiktok.com/ZSHTmBf9mwWGh-Vu47O/")</f>
        <v>vt.tiktok.com/ZSHTmBf9mwWGh-Vu47O/</v>
      </c>
      <c r="D67" s="8" t="str">
        <f>IFERROR(__xludf.DUMMYFUNCTION("""COMPUTED_VALUE"""),"HB_TEST_017")</f>
        <v>HB_TEST_017</v>
      </c>
      <c r="E67" s="8" t="str">
        <f>IFERROR(__xludf.DUMMYFUNCTION("""COMPUTED_VALUE"""),"Vaseline Lotion #vaseline #lotion")</f>
        <v>Vaseline Lotion #vaseline #lotion</v>
      </c>
      <c r="F67" s="3"/>
      <c r="G67" s="3"/>
    </row>
    <row r="68" ht="76.5" spans="1:7">
      <c r="A68" s="9">
        <f>IFERROR(__xludf.DUMMYFUNCTION("""COMPUTED_VALUE"""),45992)</f>
        <v>45992</v>
      </c>
      <c r="B68" s="8" t="str">
        <f>IFERROR(__xludf.DUMMYFUNCTION("""COMPUTED_VALUE"""),"Christmas gift 10PCS DW Mini Hand Cream Essence Fragrance Handcare 30g FRAGRANT HAND CREAM SERIES Nails Scent Scented Aroma")</f>
        <v>Christmas gift 10PCS DW Mini Hand Cream Essence Fragrance Handcare 30g FRAGRANT HAND CREAM SERIES Nails Scent Scented Aroma</v>
      </c>
      <c r="C68" s="11" t="str">
        <f>IFERROR(__xludf.DUMMYFUNCTION("""COMPUTED_VALUE"""),"vt.tiktok.com/ZSHT4CKfVeUyJ-7Ti9g/")</f>
        <v>vt.tiktok.com/ZSHT4CKfVeUyJ-7Ti9g/</v>
      </c>
      <c r="D68" s="8" t="str">
        <f>IFERROR(__xludf.DUMMYFUNCTION("""COMPUTED_VALUE"""),"HB_TEST_021")</f>
        <v>HB_TEST_021</v>
      </c>
      <c r="E68" s="8" t="str">
        <f>IFERROR(__xludf.DUMMYFUNCTION("""COMPUTED_VALUE"""),"DW Mini Hand Cream #handcream #handcare")</f>
        <v>DW Mini Hand Cream #handcream #handcare</v>
      </c>
      <c r="F68" s="3"/>
      <c r="G68" s="3"/>
    </row>
    <row r="69" ht="63.75" spans="1:7">
      <c r="A69" s="9">
        <f>IFERROR(__xludf.DUMMYFUNCTION("""COMPUTED_VALUE"""),46002)</f>
        <v>46002</v>
      </c>
      <c r="B69" s="8" t="str">
        <f>IFERROR(__xludf.DUMMYFUNCTION("""COMPUTED_VALUE"""),"Breathable Back Straightener Elastic Instant Back Posture Correction Belt Adjustable Shoulder for Students Kids")</f>
        <v>Breathable Back Straightener Elastic Instant Back Posture Correction Belt Adjustable Shoulder for Students Kids</v>
      </c>
      <c r="C69" s="11" t="str">
        <f>IFERROR(__xludf.DUMMYFUNCTION("""COMPUTED_VALUE"""),"https://vt.tiktok.com/ZSHwfvjHuxYVX-4ntVg/")</f>
        <v>https://vt.tiktok.com/ZSHwfvjHuxYVX-4ntVg/</v>
      </c>
      <c r="D69" s="8" t="str">
        <f>IFERROR(__xludf.DUMMYFUNCTION("""COMPUTED_VALUE"""),"HB_TEST_023")</f>
        <v>HB_TEST_023</v>
      </c>
      <c r="E69" s="8"/>
      <c r="F69" s="3"/>
      <c r="G69" s="3"/>
    </row>
    <row r="70" ht="63.75" spans="1:7">
      <c r="A70" s="9">
        <f>IFERROR(__xludf.DUMMYFUNCTION("""COMPUTED_VALUE"""),45954)</f>
        <v>45954</v>
      </c>
      <c r="B70" s="8" t="str">
        <f>IFERROR(__xludf.DUMMYFUNCTION("""COMPUTED_VALUE"""),"Best gift, Bohemian Bowl Ceramic Birthday Christmas Wedding Gift Set Principal Sponsor [WITH BOX]")</f>
        <v>Best gift, Bohemian Bowl Ceramic Birthday Christmas Wedding Gift Set Principal Sponsor [WITH BOX]</v>
      </c>
      <c r="C70" s="11" t="str">
        <f>IFERROR(__xludf.DUMMYFUNCTION("""COMPUTED_VALUE"""),"https://vt.tiktok.com/ZSHvQHFYyY2ah-KuQXY/")</f>
        <v>https://vt.tiktok.com/ZSHvQHFYyY2ah-KuQXY/</v>
      </c>
      <c r="D70" s="8" t="str">
        <f>IFERROR(__xludf.DUMMYFUNCTION("""COMPUTED_VALUE"""),"HS_TEST_001")</f>
        <v>HS_TEST_001</v>
      </c>
      <c r="E70" s="8" t="str">
        <f>IFERROR(__xludf.DUMMYFUNCTION("""COMPUTED_VALUE"""),"Bohemian Bowl Set #christmasgift #bohemicbowel ")</f>
        <v>Bohemian Bowl Set #christmasgift #bohemicbowel </v>
      </c>
      <c r="F70" s="3"/>
      <c r="G70" s="3"/>
    </row>
    <row r="71" ht="102" spans="1:7">
      <c r="A71" s="9">
        <f>IFERROR(__xludf.DUMMYFUNCTION("""COMPUTED_VALUE"""),45966)</f>
        <v>45966</v>
      </c>
      <c r="B71" s="8" t="str">
        <f>IFERROR(__xludf.DUMMYFUNCTION("""COMPUTED_VALUE"""),"Lulu Home Buy 1 Take 4 1280 Sheets 4-Ply Tissue Paper Toilet &amp; Facial Orange Hanging Wall Tissue Household Hand Paper Air Cushion Medium Size Soft Absorbent Quick Cleaning")</f>
        <v>Lulu Home Buy 1 Take 4 1280 Sheets 4-Ply Tissue Paper Toilet &amp; Facial Orange Hanging Wall Tissue Household Hand Paper Air Cushion Medium Size Soft Absorbent Quick Cleaning</v>
      </c>
      <c r="C71" s="11" t="str">
        <f>IFERROR(__xludf.DUMMYFUNCTION("""COMPUTED_VALUE"""),"https://vt.tiktok.com/ZSHc9Hqh68tfC-3Gm9E/")</f>
        <v>https://vt.tiktok.com/ZSHc9Hqh68tfC-3Gm9E/</v>
      </c>
      <c r="D71" s="8" t="str">
        <f>IFERROR(__xludf.DUMMYFUNCTION("""COMPUTED_VALUE"""),"HS_TEST_003")</f>
        <v>HS_TEST_003</v>
      </c>
      <c r="E71" s="8" t="str">
        <f>IFERROR(__xludf.DUMMYFUNCTION("""COMPUTED_VALUE"""),"Lulu Home Paper #Luluhome #tissue")</f>
        <v>Lulu Home Paper #Luluhome #tissue</v>
      </c>
      <c r="F71" s="3"/>
      <c r="G71" s="3"/>
    </row>
    <row r="72" ht="51" spans="1:7">
      <c r="A72" s="9">
        <f>IFERROR(__xludf.DUMMYFUNCTION("""COMPUTED_VALUE"""),45967)</f>
        <v>45967</v>
      </c>
      <c r="B72" s="8" t="str">
        <f>IFERROR(__xludf.DUMMYFUNCTION("""COMPUTED_VALUE"""),"Ziyang 2026 Year of the Horse Lucky Charm Card Foil Banknotes Dollar Wallet ")</f>
        <v>Ziyang 2026 Year of the Horse Lucky Charm Card Foil Banknotes Dollar Wallet </v>
      </c>
      <c r="C72" s="11" t="str">
        <f>IFERROR(__xludf.DUMMYFUNCTION("""COMPUTED_VALUE"""),"https://vt.tiktok.com/ZSHcgykUDjBeA-gBY8B/")</f>
        <v>https://vt.tiktok.com/ZSHcgykUDjBeA-gBY8B/</v>
      </c>
      <c r="D72" s="8" t="str">
        <f>IFERROR(__xludf.DUMMYFUNCTION("""COMPUTED_VALUE"""),"HS_TEST_004")</f>
        <v>HS_TEST_004</v>
      </c>
      <c r="E72" s="8"/>
      <c r="F72" s="3"/>
      <c r="G72" s="3"/>
    </row>
    <row r="73" ht="51" spans="1:7">
      <c r="A73" s="9">
        <f>IFERROR(__xludf.DUMMYFUNCTION("""COMPUTED_VALUE"""),45967)</f>
        <v>45967</v>
      </c>
      <c r="B73" s="8" t="str">
        <f>IFERROR(__xludf.DUMMYFUNCTION("""COMPUTED_VALUE"""),"Ziyang Lucky Charm 2026 Year of the Horse Golden Money Foil Lucky Coin for Wealth Health New Year")</f>
        <v>Ziyang Lucky Charm 2026 Year of the Horse Golden Money Foil Lucky Coin for Wealth Health New Year</v>
      </c>
      <c r="C73" s="11" t="str">
        <f>IFERROR(__xludf.DUMMYFUNCTION("""COMPUTED_VALUE"""),"https://vt.tiktok.com/ZSHcgfWSev2fT-F7QpS/")</f>
        <v>https://vt.tiktok.com/ZSHcgfWSev2fT-F7QpS/</v>
      </c>
      <c r="D73" s="8" t="str">
        <f>IFERROR(__xludf.DUMMYFUNCTION("""COMPUTED_VALUE"""),"HS_TEST_005")</f>
        <v>HS_TEST_005</v>
      </c>
      <c r="E73" s="8"/>
      <c r="F73" s="3"/>
      <c r="G73" s="3"/>
    </row>
    <row r="74" ht="51" spans="1:7">
      <c r="A74" s="9">
        <f>IFERROR(__xludf.DUMMYFUNCTION("""COMPUTED_VALUE"""),45967)</f>
        <v>45967</v>
      </c>
      <c r="B74" s="8" t="str">
        <f>IFERROR(__xludf.DUMMYFUNCTION("""COMPUTED_VALUE"""),"Ziyang 2026 Year of Horse Foil Lucky Charm for Card &amp; Wallet Bags - Festive Home Decor Ornament")</f>
        <v>Ziyang 2026 Year of Horse Foil Lucky Charm for Card &amp; Wallet Bags - Festive Home Decor Ornament</v>
      </c>
      <c r="C74" s="11" t="str">
        <f>IFERROR(__xludf.DUMMYFUNCTION("""COMPUTED_VALUE"""),"vt.tiktok.com/ZSHcgPJP6fYns-qpTtH/")</f>
        <v>vt.tiktok.com/ZSHcgPJP6fYns-qpTtH/</v>
      </c>
      <c r="D74" s="8" t="str">
        <f>IFERROR(__xludf.DUMMYFUNCTION("""COMPUTED_VALUE"""),"HS_TEST_006")</f>
        <v>HS_TEST_006</v>
      </c>
      <c r="E74" s="8"/>
      <c r="F74" s="3"/>
      <c r="G74" s="3"/>
    </row>
    <row r="75" ht="51" spans="1:7">
      <c r="A75" s="9">
        <f>IFERROR(__xludf.DUMMYFUNCTION("""COMPUTED_VALUE"""),45967)</f>
        <v>45967</v>
      </c>
      <c r="B75" s="8" t="str">
        <f>IFERROR(__xludf.DUMMYFUNCTION("""COMPUTED_VALUE"""),"Ziyang Lucky Coin - Nanbu Coin / Nanbu Coins Keychain Ornaments Decor")</f>
        <v>Ziyang Lucky Coin - Nanbu Coin / Nanbu Coins Keychain Ornaments Decor</v>
      </c>
      <c r="C75" s="11" t="str">
        <f>IFERROR(__xludf.DUMMYFUNCTION("""COMPUTED_VALUE"""),"vt.tiktok.com/ZSHcg5fKyP1k6-o4Rrn/")</f>
        <v>vt.tiktok.com/ZSHcg5fKyP1k6-o4Rrn/</v>
      </c>
      <c r="D75" s="8" t="str">
        <f>IFERROR(__xludf.DUMMYFUNCTION("""COMPUTED_VALUE"""),"HS_TEST_007")</f>
        <v>HS_TEST_007</v>
      </c>
      <c r="E75" s="8"/>
      <c r="F75" s="3"/>
      <c r="G75" s="3"/>
    </row>
    <row r="76" ht="76.5" spans="1:7">
      <c r="A76" s="9">
        <f>IFERROR(__xludf.DUMMYFUNCTION("""COMPUTED_VALUE"""),45967)</f>
        <v>45967</v>
      </c>
      <c r="B76" s="8" t="str">
        <f>IFERROR(__xludf.DUMMYFUNCTION("""COMPUTED_VALUE"""),"EQGS Pilipinas Peso Sense Ipon Challenge Alkansya 20 50 100 200 500 1000 Pesos Decor Piggy Bank Saving Save Coin")</f>
        <v>EQGS Pilipinas Peso Sense Ipon Challenge Alkansya 20 50 100 200 500 1000 Pesos Decor Piggy Bank Saving Save Coin</v>
      </c>
      <c r="C76" s="11" t="str">
        <f>IFERROR(__xludf.DUMMYFUNCTION("""COMPUTED_VALUE"""),"https://vt.tiktok.com/ZSHcgmAy63dNt-5TRGb/")</f>
        <v>https://vt.tiktok.com/ZSHcgmAy63dNt-5TRGb/</v>
      </c>
      <c r="D76" s="8" t="str">
        <f>IFERROR(__xludf.DUMMYFUNCTION("""COMPUTED_VALUE"""),"HS_TEST_008")</f>
        <v>HS_TEST_008</v>
      </c>
      <c r="E76" s="8" t="str">
        <f>IFERROR(__xludf.DUMMYFUNCTION("""COMPUTED_VALUE"""),"Piggy Bank Save #piggybank #iponchallenge")</f>
        <v>Piggy Bank Save #piggybank #iponchallenge</v>
      </c>
      <c r="F76" s="3"/>
      <c r="G76" s="3"/>
    </row>
    <row r="77" ht="76.5" spans="1:7">
      <c r="A77" s="9">
        <f>IFERROR(__xludf.DUMMYFUNCTION("""COMPUTED_VALUE"""),45967)</f>
        <v>45967</v>
      </c>
      <c r="B77" s="8" t="str">
        <f>IFERROR(__xludf.DUMMYFUNCTION("""COMPUTED_VALUE"""),"Ziyang Fengshui Lucky Turtle Wallet Charm Money-biting Turtle Ornaments Decor for Longevity Protection &amp; Financial Stability")</f>
        <v>Ziyang Fengshui Lucky Turtle Wallet Charm Money-biting Turtle Ornaments Decor for Longevity Protection &amp; Financial Stability</v>
      </c>
      <c r="C77" s="11" t="str">
        <f>IFERROR(__xludf.DUMMYFUNCTION("""COMPUTED_VALUE"""),"vt.tiktok.com/ZSHcgmgp53rqv-IVRh9/")</f>
        <v>vt.tiktok.com/ZSHcgmgp53rqv-IVRh9/</v>
      </c>
      <c r="D77" s="8" t="str">
        <f>IFERROR(__xludf.DUMMYFUNCTION("""COMPUTED_VALUE"""),"HS_TEST_009")</f>
        <v>HS_TEST_009</v>
      </c>
      <c r="E77" s="8"/>
      <c r="F77" s="3"/>
      <c r="G77" s="3"/>
    </row>
    <row r="78" ht="102" spans="1:7">
      <c r="A78" s="9">
        <f>IFERROR(__xludf.DUMMYFUNCTION("""COMPUTED_VALUE"""),45967)</f>
        <v>45967</v>
      </c>
      <c r="B78" s="8" t="str">
        <f>IFERROR(__xludf.DUMMYFUNCTION("""COMPUTED_VALUE"""),"EASY LIVE Scented Candle Home Fragrance Souvenir Wedding Gift Bath Soy Candle mother gift Free Box Decor Cozy Decorative Room
Freshener Perfume Aroma Ornaments Decoration")</f>
        <v>EASY LIVE Scented Candle Home Fragrance Souvenir Wedding Gift Bath Soy Candle mother gift Free Box Decor Cozy Decorative Room
Freshener Perfume Aroma Ornaments Decoration</v>
      </c>
      <c r="C78" s="11" t="str">
        <f>IFERROR(__xludf.DUMMYFUNCTION("""COMPUTED_VALUE"""),"https://vt.tiktok.com/ZSHcbNJVcgj8P-gutUn/")</f>
        <v>https://vt.tiktok.com/ZSHcbNJVcgj8P-gutUn/</v>
      </c>
      <c r="D78" s="8" t="str">
        <f>IFERROR(__xludf.DUMMYFUNCTION("""COMPUTED_VALUE"""),"HS_TEST_010")</f>
        <v>HS_TEST_010</v>
      </c>
      <c r="E78" s="8" t="str">
        <f>IFERROR(__xludf.DUMMYFUNCTION("""COMPUTED_VALUE"""),"Scented Candle #homedecor #scentedcandle")</f>
        <v>Scented Candle #homedecor #scentedcandle</v>
      </c>
      <c r="F78" s="3"/>
      <c r="G78" s="3"/>
    </row>
    <row r="79" ht="89.25" spans="1:7">
      <c r="A79" s="9">
        <f>IFERROR(__xludf.DUMMYFUNCTION("""COMPUTED_VALUE"""),45968)</f>
        <v>45968</v>
      </c>
      <c r="B79" s="8" t="str">
        <f>IFERROR(__xludf.DUMMYFUNCTION("""COMPUTED_VALUE"""),"Raincoat For Motorcycle Rider Raincoat
Waterproof For Men Raincoats For Adult Makapal
Heavy Duty Kapote Original Makapal Raincoat")</f>
        <v>Raincoat For Motorcycle Rider Raincoat
Waterproof For Men Raincoats For Adult Makapal
Heavy Duty Kapote Original Makapal Raincoat</v>
      </c>
      <c r="C79" s="11" t="str">
        <f>IFERROR(__xludf.DUMMYFUNCTION("""COMPUTED_VALUE"""),"vt.tiktok.com/ZSHcgHM9616G6-mTXgo/")</f>
        <v>vt.tiktok.com/ZSHcgHM9616G6-mTXgo/</v>
      </c>
      <c r="D79" s="8" t="str">
        <f>IFERROR(__xludf.DUMMYFUNCTION("""COMPUTED_VALUE"""),"HS_TEST_011")</f>
        <v>HS_TEST_011</v>
      </c>
      <c r="E79" s="8" t="str">
        <f>IFERROR(__xludf.DUMMYFUNCTION("""COMPUTED_VALUE"""),"Raincoat #raincoat #waterproofraincoat")</f>
        <v>Raincoat #raincoat #waterproofraincoat</v>
      </c>
      <c r="F79" s="3"/>
      <c r="G79" s="3"/>
    </row>
    <row r="80" ht="51" spans="1:7">
      <c r="A80" s="9">
        <f>IFERROR(__xludf.DUMMYFUNCTION("""COMPUTED_VALUE"""),45968)</f>
        <v>45968</v>
      </c>
      <c r="B80" s="8" t="str">
        <f>IFERROR(__xludf.DUMMYFUNCTION("""COMPUTED_VALUE"""),"Umbrella Automatic Sunny Umbrella Anti-ultraviolet Folding Umbrella Men Women UV Design")</f>
        <v>Umbrella Automatic Sunny Umbrella Anti-ultraviolet Folding Umbrella Men Women UV Design</v>
      </c>
      <c r="C80" s="11" t="str">
        <f>IFERROR(__xludf.DUMMYFUNCTION("""COMPUTED_VALUE"""),"https://vt.tiktok.com/ZSHcg9qkTL5ob-Qv0gv/")</f>
        <v>https://vt.tiktok.com/ZSHcg9qkTL5ob-Qv0gv/</v>
      </c>
      <c r="D80" s="8" t="str">
        <f>IFERROR(__xludf.DUMMYFUNCTION("""COMPUTED_VALUE"""),"HS_TEST_012")</f>
        <v>HS_TEST_012</v>
      </c>
      <c r="E80" s="8" t="str">
        <f>IFERROR(__xludf.DUMMYFUNCTION("""COMPUTED_VALUE"""),"Umberrella #umbrella #automaticumbrella")</f>
        <v>Umberrella #umbrella #automaticumbrella</v>
      </c>
      <c r="F80" s="3"/>
      <c r="G80" s="3"/>
    </row>
    <row r="81" ht="51" spans="1:7">
      <c r="A81" s="9">
        <f>IFERROR(__xludf.DUMMYFUNCTION("""COMPUTED_VALUE"""),45968)</f>
        <v>45968</v>
      </c>
      <c r="B81" s="8" t="str">
        <f>IFERROR(__xludf.DUMMYFUNCTION("""COMPUTED_VALUE"""),"HomeAce Usb Power Extension Socket Colors
Portable Plug 2 USB Charger Port")</f>
        <v>HomeAce Usb Power Extension Socket Colors
Portable Plug 2 USB Charger Port</v>
      </c>
      <c r="C81" s="11" t="str">
        <f>IFERROR(__xludf.DUMMYFUNCTION("""COMPUTED_VALUE"""),"https://vt.tiktok.com/ZSHcgxDF6Kvgj-upwhT/")</f>
        <v>https://vt.tiktok.com/ZSHcgxDF6Kvgj-upwhT/</v>
      </c>
      <c r="D81" s="8" t="str">
        <f>IFERROR(__xludf.DUMMYFUNCTION("""COMPUTED_VALUE"""),"HS_TEST_013")</f>
        <v>HS_TEST_013</v>
      </c>
      <c r="E81" s="8" t="str">
        <f>IFERROR(__xludf.DUMMYFUNCTION("""COMPUTED_VALUE"""),"Extension Socket #socket #powersocket")</f>
        <v>Extension Socket #socket #powersocket</v>
      </c>
      <c r="F81" s="3"/>
      <c r="G81" s="3"/>
    </row>
    <row r="82" ht="38.25" spans="1:7">
      <c r="A82" s="9">
        <f>IFERROR(__xludf.DUMMYFUNCTION("""COMPUTED_VALUE"""),45968)</f>
        <v>45968</v>
      </c>
      <c r="B82" s="8" t="str">
        <f>IFERROR(__xludf.DUMMYFUNCTION("""COMPUTED_VALUE"""),"Jute String/Abaca Twine Personalize Candle ")</f>
        <v>Jute String/Abaca Twine Personalize Candle </v>
      </c>
      <c r="C82" s="11" t="str">
        <f>IFERROR(__xludf.DUMMYFUNCTION("""COMPUTED_VALUE"""),"vt.tiktok.com/ZSHcg5ECDgvyj-UNgLY/")</f>
        <v>vt.tiktok.com/ZSHcg5ECDgvyj-UNgLY/</v>
      </c>
      <c r="D82" s="8" t="str">
        <f>IFERROR(__xludf.DUMMYFUNCTION("""COMPUTED_VALUE"""),"HS_TEST_014")</f>
        <v>HS_TEST_014</v>
      </c>
      <c r="E82" s="8" t="str">
        <f>IFERROR(__xludf.DUMMYFUNCTION("""COMPUTED_VALUE"""),"Christening Candle #christeningcandle #baptismalcandles")</f>
        <v>Christening Candle #christeningcandle #baptismalcandles</v>
      </c>
      <c r="F82" s="3"/>
      <c r="G82" s="3"/>
    </row>
    <row r="83" ht="63.75" spans="1:7">
      <c r="A83" s="9">
        <f>IFERROR(__xludf.DUMMYFUNCTION("""COMPUTED_VALUE"""),45968)</f>
        <v>45968</v>
      </c>
      <c r="B83" s="8" t="str">
        <f>IFERROR(__xludf.DUMMYFUNCTION("""COMPUTED_VALUE"""),"Mercury(600mL/900mL/1200mL) Thermos Cup with Handle Hot and Cold Travel Cup with Straw Vacuum Insulated Cup")</f>
        <v>Mercury(600mL/900mL/1200mL) Thermos Cup with Handle Hot and Cold Travel Cup with Straw Vacuum Insulated Cup</v>
      </c>
      <c r="C83" s="11" t="str">
        <f>IFERROR(__xludf.DUMMYFUNCTION("""COMPUTED_VALUE"""),"https://vt.tiktok.com/ZSHcggCNW4MjW-qVqm2/")</f>
        <v>https://vt.tiktok.com/ZSHcggCNW4MjW-qVqm2/</v>
      </c>
      <c r="D83" s="8" t="str">
        <f>IFERROR(__xludf.DUMMYFUNCTION("""COMPUTED_VALUE"""),"HS_TEST_015")</f>
        <v>HS_TEST_015</v>
      </c>
      <c r="E83" s="8" t="str">
        <f>IFERROR(__xludf.DUMMYFUNCTION("""COMPUTED_VALUE"""),"Mercury Bottle Water #bottlewater #mercury")</f>
        <v>Mercury Bottle Water #bottlewater #mercury</v>
      </c>
      <c r="F83" s="3"/>
      <c r="G83" s="3"/>
    </row>
    <row r="84" ht="38.25" spans="1:7">
      <c r="A84" s="9">
        <f>IFERROR(__xludf.DUMMYFUNCTION("""COMPUTED_VALUE"""),45968)</f>
        <v>45968</v>
      </c>
      <c r="B84" s="8" t="str">
        <f>IFERROR(__xludf.DUMMYFUNCTION("""COMPUTED_VALUE"""),"Hilee 800ml/1000ml Tumbler with Rope Handle Insulated")</f>
        <v>Hilee 800ml/1000ml Tumbler with Rope Handle Insulated</v>
      </c>
      <c r="C84" s="11" t="str">
        <f>IFERROR(__xludf.DUMMYFUNCTION("""COMPUTED_VALUE"""),"https://vt.tiktok.com/ZSHcggTkUPnhj-cFd70/")</f>
        <v>https://vt.tiktok.com/ZSHcggTkUPnhj-cFd70/</v>
      </c>
      <c r="D84" s="8" t="str">
        <f>IFERROR(__xludf.DUMMYFUNCTION("""COMPUTED_VALUE"""),"HS_TEST_016")</f>
        <v>HS_TEST_016</v>
      </c>
      <c r="E84" s="8" t="str">
        <f>IFERROR(__xludf.DUMMYFUNCTION("""COMPUTED_VALUE"""),"Hilee Bottle Water #bottlewater #hilee")</f>
        <v>Hilee Bottle Water #bottlewater #hilee</v>
      </c>
      <c r="F84" s="3"/>
      <c r="G84" s="3"/>
    </row>
    <row r="85" ht="51" spans="1:7">
      <c r="A85" s="9">
        <f>IFERROR(__xludf.DUMMYFUNCTION("""COMPUTED_VALUE"""),45972)</f>
        <v>45972</v>
      </c>
      <c r="B85" s="8" t="str">
        <f>IFERROR(__xludf.DUMMYFUNCTION("""COMPUTED_VALUE"""),"Trash Bag Disposable Plastic Garbage Bags (Non-pull-type garbage bag)")</f>
        <v>Trash Bag Disposable Plastic Garbage Bags (Non-pull-type garbage bag)</v>
      </c>
      <c r="C85" s="11" t="str">
        <f>IFERROR(__xludf.DUMMYFUNCTION("""COMPUTED_VALUE"""),"vt.tiktok.com/ZSH3DYxg4o3Bc-p3O7H/")</f>
        <v>vt.tiktok.com/ZSH3DYxg4o3Bc-p3O7H/</v>
      </c>
      <c r="D85" s="8" t="str">
        <f>IFERROR(__xludf.DUMMYFUNCTION("""COMPUTED_VALUE"""),"HS_TEST_019")</f>
        <v>HS_TEST_019</v>
      </c>
      <c r="E85" s="8" t="str">
        <f>IFERROR(__xludf.DUMMYFUNCTION("""COMPUTED_VALUE"""),"Trash Bag #plasticbag #trashbag")</f>
        <v>Trash Bag #plasticbag #trashbag</v>
      </c>
      <c r="F85" s="3"/>
      <c r="G85" s="3"/>
    </row>
    <row r="86" ht="63.75" spans="1:7">
      <c r="A86" s="9">
        <f>IFERROR(__xludf.DUMMYFUNCTION("""COMPUTED_VALUE"""),45972)</f>
        <v>45972</v>
      </c>
      <c r="B86" s="8" t="str">
        <f>IFERROR(__xludf.DUMMYFUNCTION("""COMPUTED_VALUE"""),"Christmas gift box 7-Speed Digital display
Rechargeable Fragrance Machine Automatic Aroma Diffuser humidifiers")</f>
        <v>Christmas gift box 7-Speed Digital display
Rechargeable Fragrance Machine Automatic Aroma Diffuser humidifiers</v>
      </c>
      <c r="C86" s="11" t="str">
        <f>IFERROR(__xludf.DUMMYFUNCTION("""COMPUTED_VALUE"""),"vt.tiktok.com/ZSH3fdFTLhpRh-dNnei/")</f>
        <v>vt.tiktok.com/ZSH3fdFTLhpRh-dNnei/</v>
      </c>
      <c r="D86" s="8" t="str">
        <f>IFERROR(__xludf.DUMMYFUNCTION("""COMPUTED_VALUE"""),"HS_TEST_020")</f>
        <v>HS_TEST_020</v>
      </c>
      <c r="E86" s="8" t="str">
        <f>IFERROR(__xludf.DUMMYFUNCTION("""COMPUTED_VALUE"""),"Fragrance Machine #roomfragrance #airfresher")</f>
        <v>Fragrance Machine #roomfragrance #airfresher</v>
      </c>
      <c r="F86" s="3"/>
      <c r="G86" s="3"/>
    </row>
    <row r="87" ht="51" spans="1:7">
      <c r="A87" s="9"/>
      <c r="B87" s="8" t="str">
        <f>IFERROR(__xludf.DUMMYFUNCTION("""COMPUTED_VALUE"""),"1XX Spray Mop Floor Mop 360 Degree Spin Head Flat Floor Cleaner Household Cleaning Tool")</f>
        <v>1XX Spray Mop Floor Mop 360 Degree Spin Head Flat Floor Cleaner Household Cleaning Tool</v>
      </c>
      <c r="C87" s="11" t="str">
        <f>IFERROR(__xludf.DUMMYFUNCTION("""COMPUTED_VALUE"""),"vt.tiktok.com/ZSH3fdfMJrjwg-B5FKc/")</f>
        <v>vt.tiktok.com/ZSH3fdfMJrjwg-B5FKc/</v>
      </c>
      <c r="D87" s="8" t="str">
        <f>IFERROR(__xludf.DUMMYFUNCTION("""COMPUTED_VALUE"""),"HS_TEST_021")</f>
        <v>HS_TEST_021</v>
      </c>
      <c r="E87" s="8" t="str">
        <f>IFERROR(__xludf.DUMMYFUNCTION("""COMPUTED_VALUE"""),"Spray Floor Mop #mop #floormop")</f>
        <v>Spray Floor Mop #mop #floormop</v>
      </c>
      <c r="F87" s="3"/>
      <c r="G87" s="3"/>
    </row>
    <row r="88" ht="63.75" spans="1:7">
      <c r="A88" s="9"/>
      <c r="B88" s="8" t="str">
        <f>IFERROR(__xludf.DUMMYFUNCTION("""COMPUTED_VALUE"""),"Seaways Multipurpose Cleaner (500ml) For Furniture, Car, Refrigerator, Oven Microwave, Rice Cooker")</f>
        <v>Seaways Multipurpose Cleaner (500ml) For Furniture, Car, Refrigerator, Oven Microwave, Rice Cooker</v>
      </c>
      <c r="C88" s="11" t="str">
        <f>IFERROR(__xludf.DUMMYFUNCTION("""COMPUTED_VALUE"""),"vt.tiktok.com/ZSH3fRjfjoR5M-Y9R26/")</f>
        <v>vt.tiktok.com/ZSH3fRjfjoR5M-Y9R26/</v>
      </c>
      <c r="D88" s="8" t="str">
        <f>IFERROR(__xludf.DUMMYFUNCTION("""COMPUTED_VALUE"""),"HS_TEST_022")</f>
        <v>HS_TEST_022</v>
      </c>
      <c r="E88" s="8" t="str">
        <f>IFERROR(__xludf.DUMMYFUNCTION("""COMPUTED_VALUE"""),"Seaways Multipurpose Cleanser #cleanser #Seaway")</f>
        <v>Seaways Multipurpose Cleanser #cleanser #Seaway</v>
      </c>
      <c r="F88" s="3"/>
      <c r="G88" s="3"/>
    </row>
    <row r="89" ht="51" spans="1:7">
      <c r="A89" s="9"/>
      <c r="B89" s="8" t="str">
        <f>IFERROR(__xludf.DUMMYFUNCTION("""COMPUTED_VALUE"""),"1Pcs Self-Adhesive Socket Fixer, Wall Hanging Power Strip Holder Fixator, Plug-in Wall-Mounted Fixer")</f>
        <v>1Pcs Self-Adhesive Socket Fixer, Wall Hanging Power Strip Holder Fixator, Plug-in Wall-Mounted Fixer</v>
      </c>
      <c r="C89" s="11" t="str">
        <f>IFERROR(__xludf.DUMMYFUNCTION("""COMPUTED_VALUE"""),"vt.tiktok.com/ZSH3fRn9QUwyt-ahEvI/")</f>
        <v>vt.tiktok.com/ZSH3fRn9QUwyt-ahEvI/</v>
      </c>
      <c r="D89" s="8" t="str">
        <f>IFERROR(__xludf.DUMMYFUNCTION("""COMPUTED_VALUE"""),"HS_TEST_023")</f>
        <v>HS_TEST_023</v>
      </c>
      <c r="E89" s="8" t="str">
        <f>IFERROR(__xludf.DUMMYFUNCTION("""COMPUTED_VALUE"""),"Self-Adhesive Socket Fixer #socketfixer #socket")</f>
        <v>Self-Adhesive Socket Fixer #socketfixer #socket</v>
      </c>
      <c r="F89" s="3"/>
      <c r="G89" s="3"/>
    </row>
    <row r="90" ht="51" spans="1:7">
      <c r="A90" s="9"/>
      <c r="B90" s="8" t="str">
        <f>IFERROR(__xludf.DUMMYFUNCTION("""COMPUTED_VALUE"""),"Hanging Magnetic LED Table Lamp Chargeable Stepless Dimming Desk Lamp Cabinet ")</f>
        <v>Hanging Magnetic LED Table Lamp Chargeable Stepless Dimming Desk Lamp Cabinet </v>
      </c>
      <c r="C90" s="11" t="str">
        <f>IFERROR(__xludf.DUMMYFUNCTION("""COMPUTED_VALUE"""),"vt.tiktok.com/ZSH3fLQMXwfWj-AhrLT/")</f>
        <v>vt.tiktok.com/ZSH3fLQMXwfWj-AhrLT/</v>
      </c>
      <c r="D90" s="8" t="str">
        <f>IFERROR(__xludf.DUMMYFUNCTION("""COMPUTED_VALUE"""),"HS_TEST_024")</f>
        <v>HS_TEST_024</v>
      </c>
      <c r="E90" s="8" t="str">
        <f>IFERROR(__xludf.DUMMYFUNCTION("""COMPUTED_VALUE"""),"Hanging Magnetic LED Lamp #LEDlamp #lamp")</f>
        <v>Hanging Magnetic LED Lamp #LEDlamp #lamp</v>
      </c>
      <c r="F90" s="3"/>
      <c r="G90" s="3"/>
    </row>
    <row r="91" ht="38.25" spans="1:7">
      <c r="A91" s="9"/>
      <c r="B91" s="8" t="str">
        <f>IFERROR(__xludf.DUMMYFUNCTION("""COMPUTED_VALUE"""),"Magic Portable Folding Plastic Coat Hanger Light Organiser")</f>
        <v>Magic Portable Folding Plastic Coat Hanger Light Organiser</v>
      </c>
      <c r="C91" s="11" t="str">
        <f>IFERROR(__xludf.DUMMYFUNCTION("""COMPUTED_VALUE"""),"vt.tiktok.com/ZSH3fLErkcT26-fFXoC/")</f>
        <v>vt.tiktok.com/ZSH3fLErkcT26-fFXoC/</v>
      </c>
      <c r="D91" s="8" t="str">
        <f>IFERROR(__xludf.DUMMYFUNCTION("""COMPUTED_VALUE"""),"HS_TEST_025")</f>
        <v>HS_TEST_025</v>
      </c>
      <c r="E91" s="8" t="str">
        <f>IFERROR(__xludf.DUMMYFUNCTION("""COMPUTED_VALUE"""),"Hanger #plastichanger #hanger")</f>
        <v>Hanger #plastichanger #hanger</v>
      </c>
      <c r="F91" s="3"/>
      <c r="G91" s="3"/>
    </row>
    <row r="92" ht="51" spans="1:7">
      <c r="A92" s="9">
        <f>IFERROR(__xludf.DUMMYFUNCTION("""COMPUTED_VALUE"""),45972)</f>
        <v>45972</v>
      </c>
      <c r="B92" s="8" t="str">
        <f>IFERROR(__xludf.DUMMYFUNCTION("""COMPUTED_VALUE"""),"Clair Antibacterial Spray Deodorizer Kills99.99% Germs Bacteria Back to Zero Long Lasting")</f>
        <v>Clair Antibacterial Spray Deodorizer Kills99.99% Germs Bacteria Back to Zero Long Lasting</v>
      </c>
      <c r="C92" s="11" t="str">
        <f>IFERROR(__xludf.DUMMYFUNCTION("""COMPUTED_VALUE"""),"https://vt.tiktok.com/ZSH3fNyJbAFvj-GOYGH/")</f>
        <v>https://vt.tiktok.com/ZSH3fNyJbAFvj-GOYGH/</v>
      </c>
      <c r="D92" s="8" t="str">
        <f>IFERROR(__xludf.DUMMYFUNCTION("""COMPUTED_VALUE"""),"HS_TEST_026")</f>
        <v>HS_TEST_026</v>
      </c>
      <c r="E92" s="8" t="str">
        <f>IFERROR(__xludf.DUMMYFUNCTION("""COMPUTED_VALUE"""),"Clair Antibacterial Spray #roomspray #airspray")</f>
        <v>Clair Antibacterial Spray #roomspray #airspray</v>
      </c>
      <c r="F92" s="3"/>
      <c r="G92" s="3"/>
    </row>
    <row r="93" ht="51" spans="1:7">
      <c r="A93" s="9">
        <f>IFERROR(__xludf.DUMMYFUNCTION("""COMPUTED_VALUE"""),45981)</f>
        <v>45981</v>
      </c>
      <c r="B93" s="8" t="str">
        <f>IFERROR(__xludf.DUMMYFUNCTION("""COMPUTED_VALUE"""),"6 in 1 Travel Empty Bottle Set Liquid Soap Dispenser Bottle Container Kit Set with Pouch Gifts")</f>
        <v>6 in 1 Travel Empty Bottle Set Liquid Soap Dispenser Bottle Container Kit Set with Pouch Gifts</v>
      </c>
      <c r="C93" s="11" t="str">
        <f>IFERROR(__xludf.DUMMYFUNCTION("""COMPUTED_VALUE"""),"https://vt.tiktok.com/ZSH3sFRmof8At-lqpa3/")</f>
        <v>https://vt.tiktok.com/ZSH3sFRmof8At-lqpa3/</v>
      </c>
      <c r="D93" s="8" t="str">
        <f>IFERROR(__xludf.DUMMYFUNCTION("""COMPUTED_VALUE"""),"HS_TEST_028")</f>
        <v>HS_TEST_028</v>
      </c>
      <c r="E93" s="8" t="str">
        <f>IFERROR(__xludf.DUMMYFUNCTION("""COMPUTED_VALUE"""),"6in1 Travel Kit #travelkit #minibottle")</f>
        <v>6in1 Travel Kit #travelkit #minibottle</v>
      </c>
      <c r="F93" s="3"/>
      <c r="G93" s="3"/>
    </row>
    <row r="94" ht="51" spans="1:7">
      <c r="A94" s="9">
        <f>IFERROR(__xludf.DUMMYFUNCTION("""COMPUTED_VALUE"""),46002)</f>
        <v>46002</v>
      </c>
      <c r="B94" s="8" t="str">
        <f>IFERROR(__xludf.DUMMYFUNCTION("""COMPUTED_VALUE"""),"2025-2026 Creative Simple Desktop Mini Desk Calendar Fresh Student Portable Note Calendar")</f>
        <v>2025-2026 Creative Simple Desktop Mini Desk Calendar Fresh Student Portable Note Calendar</v>
      </c>
      <c r="C94" s="11" t="str">
        <f>IFERROR(__xludf.DUMMYFUNCTION("""COMPUTED_VALUE"""),"https://vt.tiktok.com/ZSHwfwE3jAXHU-NzLcG/")</f>
        <v>https://vt.tiktok.com/ZSHwfwE3jAXHU-NzLcG/</v>
      </c>
      <c r="D94" s="8" t="str">
        <f>IFERROR(__xludf.DUMMYFUNCTION("""COMPUTED_VALUE"""),"HS_TEST_036")</f>
        <v>HS_TEST_036</v>
      </c>
      <c r="E94" s="8" t="str">
        <f>IFERROR(__xludf.DUMMYFUNCTION("""COMPUTED_VALUE"""),"2026 Mini Desktop Calendar #newyear #calendar")</f>
        <v>2026 Mini Desktop Calendar #newyear #calendar</v>
      </c>
      <c r="F94" s="3"/>
      <c r="G94" s="3"/>
    </row>
    <row r="95" ht="51" spans="1:7">
      <c r="A95" s="9">
        <f>IFERROR(__xludf.DUMMYFUNCTION("""COMPUTED_VALUE"""),45973)</f>
        <v>45973</v>
      </c>
      <c r="B95" s="8" t="str">
        <f>IFERROR(__xludf.DUMMYFUNCTION("""COMPUTED_VALUE"""),"Car Plastic Restorer Back To Black Gloss Cleaning Auto Polish Repair Coating Renovation 120ML")</f>
        <v>Car Plastic Restorer Back To Black Gloss Cleaning Auto Polish Repair Coating Renovation 120ML</v>
      </c>
      <c r="C95" s="11" t="str">
        <f>IFERROR(__xludf.DUMMYFUNCTION("""COMPUTED_VALUE"""),"vt.tiktok.com/ZSH3AQbDc7tCj-RCjP7/")</f>
        <v>vt.tiktok.com/ZSH3AQbDc7tCj-RCjP7/</v>
      </c>
      <c r="D95" s="8" t="str">
        <f>IFERROR(__xludf.DUMMYFUNCTION("""COMPUTED_VALUE"""),"TP_TEST_012")</f>
        <v>TP_TEST_012</v>
      </c>
      <c r="E95" s="8" t="str">
        <f>IFERROR(__xludf.DUMMYFUNCTION("""COMPUTED_VALUE"""),"Car Plastic Restorer #caraccessories #carplasticrestorer")</f>
        <v>Car Plastic Restorer #caraccessories #carplasticrestorer</v>
      </c>
      <c r="F95" s="3"/>
      <c r="G95" s="3"/>
    </row>
    <row r="96" ht="51" spans="1:7">
      <c r="A96" s="9">
        <f>IFERROR(__xludf.DUMMYFUNCTION("""COMPUTED_VALUE"""),45973)</f>
        <v>45973</v>
      </c>
      <c r="B96" s="8" t="str">
        <f>IFERROR(__xludf.DUMMYFUNCTION("""COMPUTED_VALUE"""),"Mini Portable hair razor Electric Shaver For men Beard Trimmer USB rechargeable ")</f>
        <v>Mini Portable hair razor Electric Shaver For men Beard Trimmer USB rechargeable </v>
      </c>
      <c r="C96" s="11" t="str">
        <f>IFERROR(__xludf.DUMMYFUNCTION("""COMPUTED_VALUE"""),"https://vt.tiktok.com/ZSH3AopsaaoSK-H75qh/")</f>
        <v>https://vt.tiktok.com/ZSH3AopsaaoSK-H75qh/</v>
      </c>
      <c r="D96" s="8" t="str">
        <f>IFERROR(__xludf.DUMMYFUNCTION("""COMPUTED_VALUE"""),"TP_TEST_015")</f>
        <v>TP_TEST_015</v>
      </c>
      <c r="E96" s="8" t="str">
        <f>IFERROR(__xludf.DUMMYFUNCTION("""COMPUTED_VALUE"""),"Mini Electric Shaver #menshaver #electricshaver")</f>
        <v>Mini Electric Shaver #menshaver #electricshaver</v>
      </c>
      <c r="F96" s="3"/>
      <c r="G96" s="3"/>
    </row>
    <row r="97" ht="51" spans="1:7">
      <c r="A97" s="9">
        <f>IFERROR(__xludf.DUMMYFUNCTION("""COMPUTED_VALUE"""),45973)</f>
        <v>45973</v>
      </c>
      <c r="B97" s="8" t="str">
        <f>IFERROR(__xludf.DUMMYFUNCTION("""COMPUTED_VALUE"""),"Motorcycle Bike Gloves Racing Ice Silk Non-Slip Anti-UV Touch Screen 1Pair Two Finger")</f>
        <v>Motorcycle Bike Gloves Racing Ice Silk Non-Slip Anti-UV Touch Screen 1Pair Two Finger</v>
      </c>
      <c r="C97" s="11" t="str">
        <f>IFERROR(__xludf.DUMMYFUNCTION("""COMPUTED_VALUE"""),"vt.tiktok.com/ZSH3D1S8DACat-1VtIQ/")</f>
        <v>vt.tiktok.com/ZSH3D1S8DACat-1VtIQ/</v>
      </c>
      <c r="D97" s="8" t="str">
        <f>IFERROR(__xludf.DUMMYFUNCTION("""COMPUTED_VALUE"""),"TP_TEST_017")</f>
        <v>TP_TEST_017</v>
      </c>
      <c r="E97" s="8" t="str">
        <f>IFERROR(__xludf.DUMMYFUNCTION("""COMPUTED_VALUE"""),"Motorcycle Bike Gloves #motorbikegloves #fashion")</f>
        <v>Motorcycle Bike Gloves #motorbikegloves #fashion</v>
      </c>
      <c r="F97" s="3"/>
      <c r="G97" s="3"/>
    </row>
    <row r="98" ht="63.75" spans="1:7">
      <c r="A98" s="9">
        <f>IFERROR(__xludf.DUMMYFUNCTION("""COMPUTED_VALUE"""),45973)</f>
        <v>45973</v>
      </c>
      <c r="B98" s="8" t="str">
        <f>IFERROR(__xludf.DUMMYFUNCTION("""COMPUTED_VALUE"""),"Electric Nose Hair Trimmer - Walang Sakit at Safe
- Waterproof for Easy Clean - USB Rechargeable
")</f>
        <v>Electric Nose Hair Trimmer - Walang Sakit at Safe
- Waterproof for Easy Clean - USB Rechargeable
</v>
      </c>
      <c r="C98" s="11" t="str">
        <f>IFERROR(__xludf.DUMMYFUNCTION("""COMPUTED_VALUE"""),"vt.tiktok.com/ZSH3DJDfYNofh-DjTy6/")</f>
        <v>vt.tiktok.com/ZSH3DJDfYNofh-DjTy6/</v>
      </c>
      <c r="D98" s="8" t="str">
        <f>IFERROR(__xludf.DUMMYFUNCTION("""COMPUTED_VALUE"""),"TP_TEST_018")</f>
        <v>TP_TEST_018</v>
      </c>
      <c r="E98" s="8" t="str">
        <f>IFERROR(__xludf.DUMMYFUNCTION("""COMPUTED_VALUE"""),"Electric Nose Hair Trimmer #nosehairtrimmer #electricnosehairtrimmer")</f>
        <v>Electric Nose Hair Trimmer #nosehairtrimmer #electricnosehairtrimmer</v>
      </c>
      <c r="F98" s="3"/>
      <c r="G98" s="3"/>
    </row>
    <row r="99" ht="76.5" spans="1:7">
      <c r="A99" s="9">
        <f>IFERROR(__xludf.DUMMYFUNCTION("""COMPUTED_VALUE"""),45973)</f>
        <v>45973</v>
      </c>
      <c r="B99" s="8" t="str">
        <f>IFERROR(__xludf.DUMMYFUNCTION("""COMPUTED_VALUE"""),"Mars Club Professional Electric Fascial Gun with 4 Heads for Muscle Relaxation - LCD Touch Screen, 6 Gears, 3200 RPM")</f>
        <v>Mars Club Professional Electric Fascial Gun with 4 Heads for Muscle Relaxation - LCD Touch Screen, 6 Gears, 3200 RPM</v>
      </c>
      <c r="C99" s="11" t="str">
        <f>IFERROR(__xludf.DUMMYFUNCTION("""COMPUTED_VALUE"""),"vt.tiktok.com/ZSH3GL9a8osdv-Il2kq/")</f>
        <v>vt.tiktok.com/ZSH3GL9a8osdv-Il2kq/</v>
      </c>
      <c r="D99" s="8" t="str">
        <f>IFERROR(__xludf.DUMMYFUNCTION("""COMPUTED_VALUE"""),"TP_TEST_021")</f>
        <v>TP_TEST_021</v>
      </c>
      <c r="E99" s="8" t="str">
        <f>IFERROR(__xludf.DUMMYFUNCTION("""COMPUTED_VALUE"""),"Electric Massage Gun #massagegun #massage")</f>
        <v>Electric Massage Gun #massagegun #massage</v>
      </c>
      <c r="F99" s="3"/>
      <c r="G99" s="3"/>
    </row>
    <row r="100" ht="51" spans="1:7">
      <c r="A100" s="9">
        <f>IFERROR(__xludf.DUMMYFUNCTION("""COMPUTED_VALUE"""),45973)</f>
        <v>45973</v>
      </c>
      <c r="B100" s="8" t="str">
        <f>IFERROR(__xludf.DUMMYFUNCTION("""COMPUTED_VALUE"""),"SENDA T6 USB Rechargeable Handheld Super Bright Zoom Tactical LED Flashlight HOT")</f>
        <v>SENDA T6 USB Rechargeable Handheld Super Bright Zoom Tactical LED Flashlight HOT</v>
      </c>
      <c r="C100" s="11" t="str">
        <f>IFERROR(__xludf.DUMMYFUNCTION("""COMPUTED_VALUE"""),"vt.tiktok.com/ZSH3D8D4ysoSm-pN74Z/")</f>
        <v>vt.tiktok.com/ZSH3D8D4ysoSm-pN74Z/</v>
      </c>
      <c r="D100" s="8" t="str">
        <f>IFERROR(__xludf.DUMMYFUNCTION("""COMPUTED_VALUE"""),"TP_TEST_023")</f>
        <v>TP_TEST_023</v>
      </c>
      <c r="E100" s="8" t="str">
        <f>IFERROR(__xludf.DUMMYFUNCTION("""COMPUTED_VALUE"""),"SENDA LED Flashlight #flashlight #ledflashlight")</f>
        <v>SENDA LED Flashlight #flashlight #ledflashlight</v>
      </c>
      <c r="F100" s="3"/>
      <c r="G100" s="3"/>
    </row>
    <row r="101" ht="38.25" spans="1:7">
      <c r="A101" s="9">
        <f>IFERROR(__xludf.DUMMYFUNCTION("""COMPUTED_VALUE"""),45976)</f>
        <v>45976</v>
      </c>
      <c r="B101" s="8" t="str">
        <f>IFERROR(__xludf.DUMMYFUNCTION("""COMPUTED_VALUE"""),"Men's Portable Electric Razor Ladies Hair Removal Can Charging Travel Shaver")</f>
        <v>Men's Portable Electric Razor Ladies Hair Removal Can Charging Travel Shaver</v>
      </c>
      <c r="C101" s="11" t="str">
        <f>IFERROR(__xludf.DUMMYFUNCTION("""COMPUTED_VALUE"""),"vt.tiktok.com/ZSH3AEm8LTN8S-kY0Q1/")</f>
        <v>vt.tiktok.com/ZSH3AEm8LTN8S-kY0Q1/</v>
      </c>
      <c r="D101" s="8" t="str">
        <f>IFERROR(__xludf.DUMMYFUNCTION("""COMPUTED_VALUE"""),"TP_TEST_026")</f>
        <v>TP_TEST_026</v>
      </c>
      <c r="E101" s="8" t="str">
        <f>IFERROR(__xludf.DUMMYFUNCTION("""COMPUTED_VALUE"""),"Electric Shaver #electricshaver #shaver")</f>
        <v>Electric Shaver #electricshaver #shaver</v>
      </c>
      <c r="F101" s="3"/>
      <c r="G101" s="3"/>
    </row>
    <row r="102" ht="63.75" spans="1:7">
      <c r="A102" s="9">
        <f>IFERROR(__xludf.DUMMYFUNCTION("""COMPUTED_VALUE"""),45980)</f>
        <v>45980</v>
      </c>
      <c r="B102" s="8" t="str">
        <f>IFERROR(__xludf.DUMMYFUNCTION("""COMPUTED_VALUE"""),"6in1 Cute Cartoon Pencil Set With Notebook Ruler Eraser Sharpener Children Stationery Gift School Supplies")</f>
        <v>6in1 Cute Cartoon Pencil Set With Notebook Ruler Eraser Sharpener Children Stationery Gift School Supplies</v>
      </c>
      <c r="C102" s="11" t="str">
        <f>IFERROR(__xludf.DUMMYFUNCTION("""COMPUTED_VALUE"""),"vt.tiktok.com/ZSH3qFebWrguq-sy365/")</f>
        <v>vt.tiktok.com/ZSH3qFebWrguq-sy365/</v>
      </c>
      <c r="D102" s="8" t="str">
        <f>IFERROR(__xludf.DUMMYFUNCTION("""COMPUTED_VALUE"""),"TP_TEST_035")</f>
        <v>TP_TEST_035</v>
      </c>
      <c r="E102" s="8" t="str">
        <f>IFERROR(__xludf.DUMMYFUNCTION("""COMPUTED_VALUE"""),"6in1 Cute Pencil Set #childrengift #stationery")</f>
        <v>6in1 Cute Pencil Set #childrengift #stationery</v>
      </c>
      <c r="F102" s="3"/>
      <c r="G102" s="3"/>
    </row>
    <row r="103" ht="76.5" spans="1:7">
      <c r="A103" s="9">
        <f>IFERROR(__xludf.DUMMYFUNCTION("""COMPUTED_VALUE"""),45980)</f>
        <v>45980</v>
      </c>
      <c r="B103" s="8" t="str">
        <f>IFERROR(__xludf.DUMMYFUNCTION("""COMPUTED_VALUE"""),"MEMORY 41PCS/Kit Cute Character Stationery Set For Children Best Gift For Kids School Stationery Christmas Gift for Kids Regalo sa bata")</f>
        <v>MEMORY 41PCS/Kit Cute Character Stationery Set For Children Best Gift For Kids School Stationery Christmas Gift for Kids Regalo sa bata</v>
      </c>
      <c r="C103" s="11" t="str">
        <f>IFERROR(__xludf.DUMMYFUNCTION("""COMPUTED_VALUE"""),"https://vt.tiktok.com/ZSH3qFx8GmA9C-3m5tO/")</f>
        <v>https://vt.tiktok.com/ZSH3qFx8GmA9C-3m5tO/</v>
      </c>
      <c r="D103" s="8" t="str">
        <f>IFERROR(__xludf.DUMMYFUNCTION("""COMPUTED_VALUE"""),"TP_TEST_036")</f>
        <v>TP_TEST_036</v>
      </c>
      <c r="E103" s="8" t="str">
        <f>IFERROR(__xludf.DUMMYFUNCTION("""COMPUTED_VALUE"""),"41pcs Stationery Set for Kids #childrengift #stationery")</f>
        <v>41pcs Stationery Set for Kids #childrengift #stationery</v>
      </c>
      <c r="F103" s="3"/>
      <c r="G103" s="3"/>
    </row>
    <row r="104" ht="51" spans="1:7">
      <c r="A104" s="9">
        <f>IFERROR(__xludf.DUMMYFUNCTION("""COMPUTED_VALUE"""),45997)</f>
        <v>45997</v>
      </c>
      <c r="B104" s="8" t="str">
        <f>IFERROR(__xludf.DUMMYFUNCTION("""COMPUTED_VALUE"""),"Gift box packaging ceramic mug coffee cup handheld tea cup with handle spoon fashion gift cup")</f>
        <v>Gift box packaging ceramic mug coffee cup handheld tea cup with handle spoon fashion gift cup</v>
      </c>
      <c r="C104" s="11" t="str">
        <f>IFERROR(__xludf.DUMMYFUNCTION("""COMPUTED_VALUE"""),"vt.tiktok.com/ZSHwJpkC1LfA6-PTzmO/")</f>
        <v>vt.tiktok.com/ZSHwJpkC1LfA6-PTzmO/</v>
      </c>
      <c r="D104" s="8" t="str">
        <f>IFERROR(__xludf.DUMMYFUNCTION("""COMPUTED_VALUE"""),"TP_TEST_038")</f>
        <v>TP_TEST_038</v>
      </c>
      <c r="E104" s="8" t="str">
        <f>IFERROR(__xludf.DUMMYFUNCTION("""COMPUTED_VALUE"""),"Tea Cup Gift Box #giftideas #teacup")</f>
        <v>Tea Cup Gift Box #giftideas #teacup</v>
      </c>
      <c r="F104" s="3"/>
      <c r="G104" s="3"/>
    </row>
    <row r="105" ht="38.25" spans="1:7">
      <c r="A105" s="9">
        <f>IFERROR(__xludf.DUMMYFUNCTION("""COMPUTED_VALUE"""),46010)</f>
        <v>46010</v>
      </c>
      <c r="B105" s="8" t="str">
        <f>IFERROR(__xludf.DUMMYFUNCTION("""COMPUTED_VALUE"""),"Foldable Laptop Holder, Laptop Adjustable Stand")</f>
        <v>Foldable Laptop Holder, Laptop Adjustable Stand</v>
      </c>
      <c r="C105" s="11" t="str">
        <f>IFERROR(__xludf.DUMMYFUNCTION("""COMPUTED_VALUE"""),"vt.tiktok.com/ZSHK8514U3JXh-QXxP8/")</f>
        <v>vt.tiktok.com/ZSHK8514U3JXh-QXxP8/</v>
      </c>
      <c r="D105" s="8" t="str">
        <f>IFERROR(__xludf.DUMMYFUNCTION("""COMPUTED_VALUE"""),"TP_TEST_041")</f>
        <v>TP_TEST_041</v>
      </c>
      <c r="E105" s="8" t="str">
        <f>IFERROR(__xludf.DUMMYFUNCTION("""COMPUTED_VALUE"""),"Foldable Adjustable Laptop Stand
#laptopstand #laptopholder")</f>
        <v>Foldable Adjustable Laptop Stand
#laptopstand #laptopholder</v>
      </c>
      <c r="F105" s="3"/>
      <c r="G105" s="3"/>
    </row>
    <row r="106" ht="12.75" spans="1:7">
      <c r="A106" s="5"/>
      <c r="B106" s="8"/>
      <c r="C106" s="8"/>
      <c r="D106" s="8"/>
      <c r="E106" s="8"/>
      <c r="F106" s="3"/>
      <c r="G106" s="3"/>
    </row>
    <row r="107" ht="12.75" spans="1:7">
      <c r="A107" s="5"/>
      <c r="B107" s="8"/>
      <c r="C107" s="8"/>
      <c r="D107" s="8"/>
      <c r="E107" s="8"/>
      <c r="F107" s="3"/>
      <c r="G107" s="3"/>
    </row>
    <row r="108" ht="12.75" spans="1:7">
      <c r="A108" s="5"/>
      <c r="B108" s="8"/>
      <c r="C108" s="8"/>
      <c r="D108" s="8"/>
      <c r="E108" s="8"/>
      <c r="F108" s="3"/>
      <c r="G108" s="3"/>
    </row>
    <row r="109" ht="12.75" spans="1:7">
      <c r="A109" s="5"/>
      <c r="B109" s="8"/>
      <c r="C109" s="8"/>
      <c r="D109" s="8"/>
      <c r="E109" s="8"/>
      <c r="F109" s="3"/>
      <c r="G109" s="3"/>
    </row>
    <row r="110" ht="12.75" spans="1:7">
      <c r="A110" s="5"/>
      <c r="B110" s="8"/>
      <c r="C110" s="8"/>
      <c r="D110" s="8"/>
      <c r="E110" s="8"/>
      <c r="F110" s="3"/>
      <c r="G110" s="3"/>
    </row>
    <row r="111" ht="12.75" spans="1:7">
      <c r="A111" s="5"/>
      <c r="B111" s="8"/>
      <c r="C111" s="8"/>
      <c r="D111" s="8"/>
      <c r="E111" s="8"/>
      <c r="F111" s="3"/>
      <c r="G111" s="3"/>
    </row>
    <row r="112" ht="12.75" spans="1:7">
      <c r="A112" s="5"/>
      <c r="B112" s="8"/>
      <c r="C112" s="8"/>
      <c r="D112" s="8"/>
      <c r="E112" s="8"/>
      <c r="F112" s="3"/>
      <c r="G112" s="3"/>
    </row>
    <row r="113" ht="12.75" spans="1:7">
      <c r="A113" s="5"/>
      <c r="B113" s="8"/>
      <c r="C113" s="8"/>
      <c r="D113" s="8"/>
      <c r="E113" s="8"/>
      <c r="F113" s="3"/>
      <c r="G113" s="3"/>
    </row>
    <row r="114" ht="12.75" spans="1:7">
      <c r="A114" s="5"/>
      <c r="B114" s="8"/>
      <c r="C114" s="8"/>
      <c r="D114" s="8"/>
      <c r="E114" s="8"/>
      <c r="F114" s="3"/>
      <c r="G114" s="3"/>
    </row>
    <row r="115" ht="12.75" spans="1:7">
      <c r="A115" s="5"/>
      <c r="B115" s="8"/>
      <c r="C115" s="8"/>
      <c r="D115" s="8"/>
      <c r="E115" s="8"/>
      <c r="F115" s="3"/>
      <c r="G115" s="3"/>
    </row>
    <row r="116" ht="12.75" spans="1:7">
      <c r="A116" s="5"/>
      <c r="B116" s="8"/>
      <c r="C116" s="8"/>
      <c r="D116" s="8"/>
      <c r="E116" s="8"/>
      <c r="F116" s="3"/>
      <c r="G116" s="3"/>
    </row>
    <row r="117" ht="12.75" spans="1:7">
      <c r="A117" s="5"/>
      <c r="B117" s="8"/>
      <c r="C117" s="8"/>
      <c r="D117" s="8"/>
      <c r="E117" s="8"/>
      <c r="F117" s="3"/>
      <c r="G117" s="3"/>
    </row>
    <row r="118" ht="12.75" spans="1:7">
      <c r="A118" s="5"/>
      <c r="B118" s="8"/>
      <c r="C118" s="8"/>
      <c r="D118" s="8"/>
      <c r="E118" s="8"/>
      <c r="F118" s="3"/>
      <c r="G118" s="3"/>
    </row>
    <row r="119" ht="12.75" spans="1:7">
      <c r="A119" s="5"/>
      <c r="B119" s="8"/>
      <c r="C119" s="8"/>
      <c r="D119" s="8"/>
      <c r="E119" s="8"/>
      <c r="F119" s="3"/>
      <c r="G119" s="3"/>
    </row>
    <row r="120" ht="12.75" spans="1:7">
      <c r="A120" s="5"/>
      <c r="B120" s="8"/>
      <c r="C120" s="8"/>
      <c r="D120" s="8"/>
      <c r="E120" s="8"/>
      <c r="F120" s="3"/>
      <c r="G120" s="3"/>
    </row>
    <row r="121" ht="12.75" spans="1:7">
      <c r="A121" s="5"/>
      <c r="B121" s="8"/>
      <c r="C121" s="8"/>
      <c r="D121" s="8"/>
      <c r="E121" s="8"/>
      <c r="F121" s="3"/>
      <c r="G121" s="3"/>
    </row>
    <row r="122" ht="12.75" spans="1:7">
      <c r="A122" s="5"/>
      <c r="B122" s="8"/>
      <c r="C122" s="8"/>
      <c r="D122" s="8"/>
      <c r="E122" s="8"/>
      <c r="F122" s="3"/>
      <c r="G122" s="3"/>
    </row>
    <row r="123" ht="12.75" spans="1:7">
      <c r="A123" s="5"/>
      <c r="B123" s="8"/>
      <c r="C123" s="8"/>
      <c r="D123" s="8"/>
      <c r="E123" s="8"/>
      <c r="F123" s="3"/>
      <c r="G123" s="3"/>
    </row>
    <row r="124" ht="12.75" spans="1:7">
      <c r="A124" s="5"/>
      <c r="B124" s="8"/>
      <c r="C124" s="8"/>
      <c r="D124" s="8"/>
      <c r="E124" s="8"/>
      <c r="F124" s="3"/>
      <c r="G124" s="3"/>
    </row>
    <row r="125" ht="12.75" spans="1:7">
      <c r="A125" s="5"/>
      <c r="B125" s="8"/>
      <c r="C125" s="8"/>
      <c r="D125" s="8"/>
      <c r="E125" s="8"/>
      <c r="F125" s="3"/>
      <c r="G125" s="3"/>
    </row>
    <row r="126" ht="12.75" spans="1:7">
      <c r="A126" s="5"/>
      <c r="B126" s="8"/>
      <c r="C126" s="8"/>
      <c r="D126" s="8"/>
      <c r="E126" s="8"/>
      <c r="F126" s="3"/>
      <c r="G126" s="3"/>
    </row>
    <row r="127" ht="12.75" spans="1:7">
      <c r="A127" s="5"/>
      <c r="B127" s="8"/>
      <c r="C127" s="8"/>
      <c r="D127" s="8"/>
      <c r="E127" s="8"/>
      <c r="F127" s="3"/>
      <c r="G127" s="3"/>
    </row>
    <row r="128" ht="12.75" spans="1:7">
      <c r="A128" s="5"/>
      <c r="B128" s="8"/>
      <c r="C128" s="8"/>
      <c r="D128" s="8"/>
      <c r="E128" s="8"/>
      <c r="F128" s="3"/>
      <c r="G128" s="3"/>
    </row>
    <row r="129" ht="12.75" spans="1:7">
      <c r="A129" s="5"/>
      <c r="B129" s="8"/>
      <c r="C129" s="8"/>
      <c r="D129" s="8"/>
      <c r="E129" s="8"/>
      <c r="F129" s="3"/>
      <c r="G129" s="3"/>
    </row>
    <row r="130" ht="12.75" spans="1:7">
      <c r="A130" s="5"/>
      <c r="B130" s="8"/>
      <c r="C130" s="8"/>
      <c r="D130" s="8"/>
      <c r="E130" s="8"/>
      <c r="F130" s="3"/>
      <c r="G130" s="3"/>
    </row>
    <row r="131" ht="12.75" spans="1:7">
      <c r="A131" s="5"/>
      <c r="B131" s="8"/>
      <c r="C131" s="8"/>
      <c r="D131" s="8"/>
      <c r="E131" s="8"/>
      <c r="F131" s="3"/>
      <c r="G131" s="3"/>
    </row>
    <row r="132" ht="12.75" spans="1:7">
      <c r="A132" s="5"/>
      <c r="B132" s="8"/>
      <c r="C132" s="8"/>
      <c r="D132" s="8"/>
      <c r="E132" s="8"/>
      <c r="F132" s="3"/>
      <c r="G132" s="3"/>
    </row>
    <row r="133" ht="12.75" spans="1:7">
      <c r="A133" s="5"/>
      <c r="B133" s="8"/>
      <c r="C133" s="8"/>
      <c r="D133" s="8"/>
      <c r="E133" s="8"/>
      <c r="F133" s="3"/>
      <c r="G133" s="3"/>
    </row>
    <row r="134" ht="12.75" spans="1:7">
      <c r="A134" s="5"/>
      <c r="B134" s="8"/>
      <c r="C134" s="8"/>
      <c r="D134" s="8"/>
      <c r="E134" s="8"/>
      <c r="F134" s="3"/>
      <c r="G134" s="3"/>
    </row>
    <row r="135" ht="12.75" spans="1:7">
      <c r="A135" s="5"/>
      <c r="B135" s="8"/>
      <c r="C135" s="8"/>
      <c r="D135" s="8"/>
      <c r="E135" s="8"/>
      <c r="F135" s="3"/>
      <c r="G135" s="3"/>
    </row>
    <row r="136" ht="12.75" spans="1:7">
      <c r="A136" s="5"/>
      <c r="B136" s="8"/>
      <c r="C136" s="8"/>
      <c r="D136" s="8"/>
      <c r="E136" s="8"/>
      <c r="F136" s="3"/>
      <c r="G136" s="3"/>
    </row>
    <row r="137" ht="12.75" spans="1:7">
      <c r="A137" s="5"/>
      <c r="B137" s="8"/>
      <c r="C137" s="8"/>
      <c r="D137" s="8"/>
      <c r="E137" s="8"/>
      <c r="F137" s="3"/>
      <c r="G137" s="3"/>
    </row>
    <row r="138" ht="12.75" spans="1:7">
      <c r="A138" s="5"/>
      <c r="B138" s="8"/>
      <c r="C138" s="8"/>
      <c r="D138" s="8"/>
      <c r="E138" s="8"/>
      <c r="F138" s="3"/>
      <c r="G138" s="3"/>
    </row>
    <row r="139" ht="12.75" spans="1:7">
      <c r="A139" s="5"/>
      <c r="B139" s="8"/>
      <c r="C139" s="8"/>
      <c r="D139" s="8"/>
      <c r="E139" s="8"/>
      <c r="F139" s="3"/>
      <c r="G139" s="3"/>
    </row>
    <row r="140" ht="12.75" spans="1:7">
      <c r="A140" s="5"/>
      <c r="B140" s="8"/>
      <c r="C140" s="8"/>
      <c r="D140" s="8"/>
      <c r="E140" s="8"/>
      <c r="F140" s="3"/>
      <c r="G140" s="3"/>
    </row>
    <row r="141" ht="12.75" spans="1:7">
      <c r="A141" s="5"/>
      <c r="B141" s="8"/>
      <c r="C141" s="8"/>
      <c r="D141" s="8"/>
      <c r="E141" s="8"/>
      <c r="F141" s="3"/>
      <c r="G141" s="3"/>
    </row>
    <row r="142" ht="12.75" spans="1:7">
      <c r="A142" s="5"/>
      <c r="B142" s="8"/>
      <c r="C142" s="8"/>
      <c r="D142" s="8"/>
      <c r="E142" s="8"/>
      <c r="F142" s="3"/>
      <c r="G142" s="3"/>
    </row>
    <row r="143" ht="12.75" spans="1:7">
      <c r="A143" s="5"/>
      <c r="B143" s="8"/>
      <c r="C143" s="8"/>
      <c r="D143" s="8"/>
      <c r="E143" s="8"/>
      <c r="F143" s="3"/>
      <c r="G143" s="3"/>
    </row>
    <row r="144" ht="12.75" spans="1:7">
      <c r="A144" s="5"/>
      <c r="B144" s="8"/>
      <c r="C144" s="8"/>
      <c r="D144" s="8"/>
      <c r="E144" s="8"/>
      <c r="F144" s="3"/>
      <c r="G144" s="3"/>
    </row>
    <row r="145" ht="12.75" spans="1:7">
      <c r="A145" s="5"/>
      <c r="B145" s="8"/>
      <c r="C145" s="8"/>
      <c r="D145" s="8"/>
      <c r="E145" s="8"/>
      <c r="F145" s="3"/>
      <c r="G145" s="3"/>
    </row>
    <row r="146" ht="12.75" spans="1:7">
      <c r="A146" s="5"/>
      <c r="B146" s="8"/>
      <c r="C146" s="8"/>
      <c r="D146" s="8"/>
      <c r="E146" s="8"/>
      <c r="F146" s="3"/>
      <c r="G146" s="3"/>
    </row>
    <row r="147" ht="12.75" spans="1:7">
      <c r="A147" s="5"/>
      <c r="B147" s="8"/>
      <c r="C147" s="8"/>
      <c r="D147" s="8"/>
      <c r="E147" s="8"/>
      <c r="F147" s="3"/>
      <c r="G147" s="3"/>
    </row>
    <row r="148" ht="12.75" spans="1:7">
      <c r="A148" s="5"/>
      <c r="B148" s="8"/>
      <c r="C148" s="8"/>
      <c r="D148" s="8"/>
      <c r="E148" s="8"/>
      <c r="F148" s="3"/>
      <c r="G148" s="3"/>
    </row>
    <row r="149" ht="12.75" spans="1:7">
      <c r="A149" s="5"/>
      <c r="B149" s="8"/>
      <c r="C149" s="8"/>
      <c r="D149" s="8"/>
      <c r="E149" s="8"/>
      <c r="F149" s="3"/>
      <c r="G149" s="3"/>
    </row>
    <row r="150" ht="12.75" spans="1:7">
      <c r="A150" s="5"/>
      <c r="B150" s="8"/>
      <c r="C150" s="8"/>
      <c r="D150" s="8"/>
      <c r="E150" s="8"/>
      <c r="F150" s="3"/>
      <c r="G150" s="3"/>
    </row>
    <row r="151" ht="12.75" spans="1:7">
      <c r="A151" s="5"/>
      <c r="B151" s="8"/>
      <c r="C151" s="8"/>
      <c r="D151" s="8"/>
      <c r="E151" s="8"/>
      <c r="F151" s="3"/>
      <c r="G151" s="3"/>
    </row>
    <row r="152" ht="12.75" spans="1:7">
      <c r="A152" s="5"/>
      <c r="B152" s="8"/>
      <c r="C152" s="8"/>
      <c r="D152" s="8"/>
      <c r="E152" s="8"/>
      <c r="F152" s="3"/>
      <c r="G152" s="3"/>
    </row>
    <row r="153" ht="12.75" spans="1:7">
      <c r="A153" s="5"/>
      <c r="B153" s="8"/>
      <c r="C153" s="8"/>
      <c r="D153" s="8"/>
      <c r="E153" s="8"/>
      <c r="F153" s="3"/>
      <c r="G153" s="3"/>
    </row>
    <row r="154" ht="12.75" spans="1:7">
      <c r="A154" s="5"/>
      <c r="B154" s="8"/>
      <c r="C154" s="8"/>
      <c r="D154" s="8"/>
      <c r="E154" s="8"/>
      <c r="F154" s="3"/>
      <c r="G154" s="3"/>
    </row>
    <row r="155" ht="12.75" spans="1:7">
      <c r="A155" s="5"/>
      <c r="B155" s="8"/>
      <c r="C155" s="8"/>
      <c r="D155" s="8"/>
      <c r="E155" s="8"/>
      <c r="F155" s="3"/>
      <c r="G155" s="3"/>
    </row>
    <row r="156" ht="12.75" spans="1:7">
      <c r="A156" s="5"/>
      <c r="B156" s="8"/>
      <c r="C156" s="8"/>
      <c r="D156" s="8"/>
      <c r="E156" s="8"/>
      <c r="F156" s="3"/>
      <c r="G156" s="3"/>
    </row>
    <row r="157" ht="12.75" spans="1:7">
      <c r="A157" s="5"/>
      <c r="B157" s="8"/>
      <c r="C157" s="8"/>
      <c r="D157" s="8"/>
      <c r="E157" s="8"/>
      <c r="F157" s="3"/>
      <c r="G157" s="3"/>
    </row>
    <row r="158" ht="12.75" spans="1:7">
      <c r="A158" s="5"/>
      <c r="B158" s="8"/>
      <c r="C158" s="8"/>
      <c r="D158" s="8"/>
      <c r="E158" s="8"/>
      <c r="F158" s="3"/>
      <c r="G158" s="3"/>
    </row>
    <row r="159" ht="12.75" spans="1:7">
      <c r="A159" s="5"/>
      <c r="B159" s="8"/>
      <c r="C159" s="8"/>
      <c r="D159" s="8"/>
      <c r="E159" s="8"/>
      <c r="F159" s="3"/>
      <c r="G159" s="3"/>
    </row>
    <row r="160" ht="12.75" spans="1:7">
      <c r="A160" s="5"/>
      <c r="B160" s="8"/>
      <c r="C160" s="8"/>
      <c r="D160" s="8"/>
      <c r="E160" s="8"/>
      <c r="F160" s="3"/>
      <c r="G160" s="3"/>
    </row>
    <row r="161" ht="12.75" spans="1:7">
      <c r="A161" s="5"/>
      <c r="B161" s="8"/>
      <c r="C161" s="8"/>
      <c r="D161" s="8"/>
      <c r="E161" s="8"/>
      <c r="F161" s="3"/>
      <c r="G161" s="3"/>
    </row>
    <row r="162" ht="12.75" spans="1:7">
      <c r="A162" s="5"/>
      <c r="B162" s="8"/>
      <c r="C162" s="8"/>
      <c r="D162" s="8"/>
      <c r="E162" s="8"/>
      <c r="F162" s="3"/>
      <c r="G162" s="3"/>
    </row>
    <row r="163" ht="12.75" spans="1:7">
      <c r="A163" s="5"/>
      <c r="B163" s="8"/>
      <c r="C163" s="8"/>
      <c r="D163" s="8"/>
      <c r="E163" s="8"/>
      <c r="F163" s="3"/>
      <c r="G163" s="3"/>
    </row>
    <row r="164" ht="12.75" spans="1:7">
      <c r="A164" s="5"/>
      <c r="B164" s="8"/>
      <c r="C164" s="8"/>
      <c r="D164" s="8"/>
      <c r="E164" s="8"/>
      <c r="F164" s="3"/>
      <c r="G164" s="3"/>
    </row>
    <row r="165" ht="12.75" spans="1:7">
      <c r="A165" s="5"/>
      <c r="B165" s="8"/>
      <c r="C165" s="8"/>
      <c r="D165" s="8"/>
      <c r="E165" s="8"/>
      <c r="F165" s="3"/>
      <c r="G165" s="3"/>
    </row>
    <row r="166" ht="12.75" spans="1:7">
      <c r="A166" s="5"/>
      <c r="B166" s="8"/>
      <c r="C166" s="8"/>
      <c r="D166" s="8"/>
      <c r="E166" s="8"/>
      <c r="F166" s="3"/>
      <c r="G166" s="3"/>
    </row>
    <row r="167" ht="12.75" spans="1:7">
      <c r="A167" s="5"/>
      <c r="B167" s="8"/>
      <c r="C167" s="8"/>
      <c r="D167" s="8"/>
      <c r="E167" s="8"/>
      <c r="F167" s="3"/>
      <c r="G167" s="3"/>
    </row>
    <row r="168" ht="12.75" spans="1:7">
      <c r="A168" s="5"/>
      <c r="B168" s="8"/>
      <c r="C168" s="8"/>
      <c r="D168" s="8"/>
      <c r="E168" s="8"/>
      <c r="F168" s="3"/>
      <c r="G168" s="3"/>
    </row>
    <row r="169" ht="12.75" spans="1:7">
      <c r="A169" s="5"/>
      <c r="B169" s="8"/>
      <c r="C169" s="8"/>
      <c r="D169" s="8"/>
      <c r="E169" s="8"/>
      <c r="F169" s="3"/>
      <c r="G169" s="3"/>
    </row>
    <row r="170" ht="12.75" spans="1:7">
      <c r="A170" s="5"/>
      <c r="B170" s="8"/>
      <c r="C170" s="8"/>
      <c r="D170" s="8"/>
      <c r="E170" s="8"/>
      <c r="F170" s="3"/>
      <c r="G170" s="3"/>
    </row>
    <row r="171" ht="12.75" spans="1:7">
      <c r="A171" s="5"/>
      <c r="B171" s="8"/>
      <c r="C171" s="8"/>
      <c r="D171" s="8"/>
      <c r="E171" s="8"/>
      <c r="F171" s="3"/>
      <c r="G171" s="3"/>
    </row>
    <row r="172" ht="12.75" spans="1:7">
      <c r="A172" s="5"/>
      <c r="B172" s="8"/>
      <c r="C172" s="8"/>
      <c r="D172" s="8"/>
      <c r="E172" s="8"/>
      <c r="F172" s="3"/>
      <c r="G172" s="3"/>
    </row>
    <row r="173" ht="12.75" spans="1:7">
      <c r="A173" s="5"/>
      <c r="B173" s="8"/>
      <c r="C173" s="8"/>
      <c r="D173" s="8"/>
      <c r="E173" s="8"/>
      <c r="F173" s="3"/>
      <c r="G173" s="3"/>
    </row>
    <row r="174" ht="12.75" spans="1:7">
      <c r="A174" s="5"/>
      <c r="B174" s="8"/>
      <c r="C174" s="8"/>
      <c r="D174" s="8"/>
      <c r="E174" s="8"/>
      <c r="F174" s="3"/>
      <c r="G174" s="3"/>
    </row>
    <row r="175" ht="12.75" spans="1:7">
      <c r="A175" s="5"/>
      <c r="B175" s="8"/>
      <c r="C175" s="8"/>
      <c r="D175" s="8"/>
      <c r="E175" s="8"/>
      <c r="F175" s="3"/>
      <c r="G175" s="3"/>
    </row>
    <row r="176" ht="12.75" spans="1:7">
      <c r="A176" s="5"/>
      <c r="B176" s="8"/>
      <c r="C176" s="8"/>
      <c r="D176" s="8"/>
      <c r="E176" s="8"/>
      <c r="F176" s="3"/>
      <c r="G176" s="3"/>
    </row>
    <row r="177" ht="12.75" spans="1:7">
      <c r="A177" s="5"/>
      <c r="B177" s="8"/>
      <c r="C177" s="8"/>
      <c r="D177" s="8"/>
      <c r="E177" s="8"/>
      <c r="F177" s="3"/>
      <c r="G177" s="3"/>
    </row>
    <row r="178" ht="12.75" spans="1:7">
      <c r="A178" s="5"/>
      <c r="B178" s="8"/>
      <c r="C178" s="8"/>
      <c r="D178" s="8"/>
      <c r="E178" s="8"/>
      <c r="F178" s="3"/>
      <c r="G178" s="3"/>
    </row>
    <row r="179" ht="12.75" spans="1:7">
      <c r="A179" s="5"/>
      <c r="B179" s="8"/>
      <c r="C179" s="8"/>
      <c r="D179" s="8"/>
      <c r="E179" s="8"/>
      <c r="F179" s="3"/>
      <c r="G179" s="3"/>
    </row>
    <row r="180" ht="12.75" spans="1:7">
      <c r="A180" s="5"/>
      <c r="B180" s="8"/>
      <c r="C180" s="8"/>
      <c r="D180" s="8"/>
      <c r="E180" s="8"/>
      <c r="F180" s="3"/>
      <c r="G180" s="3"/>
    </row>
    <row r="181" ht="12.75" spans="1:7">
      <c r="A181" s="5"/>
      <c r="B181" s="8"/>
      <c r="C181" s="8"/>
      <c r="D181" s="8"/>
      <c r="E181" s="8"/>
      <c r="F181" s="3"/>
      <c r="G181" s="3"/>
    </row>
    <row r="182" ht="12.75" spans="1:7">
      <c r="A182" s="5"/>
      <c r="B182" s="8"/>
      <c r="C182" s="8"/>
      <c r="D182" s="8"/>
      <c r="E182" s="8"/>
      <c r="F182" s="3"/>
      <c r="G182" s="3"/>
    </row>
    <row r="183" ht="12.75" spans="1:7">
      <c r="A183" s="5"/>
      <c r="B183" s="8"/>
      <c r="C183" s="8"/>
      <c r="D183" s="8"/>
      <c r="E183" s="8"/>
      <c r="F183" s="3"/>
      <c r="G183" s="3"/>
    </row>
    <row r="184" ht="12.75" spans="1:7">
      <c r="A184" s="5"/>
      <c r="B184" s="8"/>
      <c r="C184" s="8"/>
      <c r="D184" s="8"/>
      <c r="E184" s="8"/>
      <c r="F184" s="3"/>
      <c r="G184" s="3"/>
    </row>
    <row r="185" ht="12.75" spans="1:7">
      <c r="A185" s="5"/>
      <c r="B185" s="8"/>
      <c r="C185" s="8"/>
      <c r="D185" s="8"/>
      <c r="E185" s="8"/>
      <c r="F185" s="3"/>
      <c r="G185" s="3"/>
    </row>
    <row r="186" ht="12.75" spans="1:7">
      <c r="A186" s="5"/>
      <c r="B186" s="8"/>
      <c r="C186" s="8"/>
      <c r="D186" s="8"/>
      <c r="E186" s="8"/>
      <c r="F186" s="3"/>
      <c r="G186" s="3"/>
    </row>
    <row r="187" ht="12.75" spans="1:7">
      <c r="A187" s="5"/>
      <c r="B187" s="8"/>
      <c r="C187" s="8"/>
      <c r="D187" s="8"/>
      <c r="E187" s="8"/>
      <c r="F187" s="3"/>
      <c r="G187" s="3"/>
    </row>
    <row r="188" ht="12.75" spans="1:7">
      <c r="A188" s="5"/>
      <c r="B188" s="8"/>
      <c r="C188" s="8"/>
      <c r="D188" s="8"/>
      <c r="E188" s="8"/>
      <c r="F188" s="3"/>
      <c r="G188" s="3"/>
    </row>
    <row r="189" ht="12.75" spans="1:7">
      <c r="A189" s="5"/>
      <c r="B189" s="8"/>
      <c r="C189" s="8"/>
      <c r="D189" s="8"/>
      <c r="E189" s="8"/>
      <c r="F189" s="3"/>
      <c r="G189" s="3"/>
    </row>
    <row r="190" ht="12.75" spans="1:7">
      <c r="A190" s="5"/>
      <c r="B190" s="8"/>
      <c r="C190" s="8"/>
      <c r="D190" s="8"/>
      <c r="E190" s="8"/>
      <c r="F190" s="3"/>
      <c r="G190" s="3"/>
    </row>
    <row r="191" ht="12.75" spans="1:7">
      <c r="A191" s="5"/>
      <c r="B191" s="8"/>
      <c r="C191" s="8"/>
      <c r="D191" s="8"/>
      <c r="E191" s="8"/>
      <c r="F191" s="3"/>
      <c r="G191" s="3"/>
    </row>
    <row r="192" ht="12.75" spans="1:7">
      <c r="A192" s="5"/>
      <c r="B192" s="8"/>
      <c r="C192" s="8"/>
      <c r="D192" s="8"/>
      <c r="E192" s="8"/>
      <c r="F192" s="3"/>
      <c r="G192" s="3"/>
    </row>
    <row r="193" ht="12.75" spans="1:7">
      <c r="A193" s="5"/>
      <c r="B193" s="8"/>
      <c r="C193" s="8"/>
      <c r="D193" s="8"/>
      <c r="E193" s="8"/>
      <c r="F193" s="3"/>
      <c r="G193" s="3"/>
    </row>
    <row r="194" ht="12.75" spans="1:7">
      <c r="A194" s="5"/>
      <c r="B194" s="8"/>
      <c r="C194" s="8"/>
      <c r="D194" s="8"/>
      <c r="E194" s="8"/>
      <c r="F194" s="3"/>
      <c r="G194" s="3"/>
    </row>
    <row r="195" ht="12.75" spans="1:7">
      <c r="A195" s="5"/>
      <c r="B195" s="8"/>
      <c r="C195" s="8"/>
      <c r="D195" s="8"/>
      <c r="E195" s="8"/>
      <c r="F195" s="3"/>
      <c r="G195" s="3"/>
    </row>
    <row r="196" ht="12.75" spans="1:7">
      <c r="A196" s="5"/>
      <c r="B196" s="8"/>
      <c r="C196" s="8"/>
      <c r="D196" s="8"/>
      <c r="E196" s="8"/>
      <c r="F196" s="3"/>
      <c r="G196" s="3"/>
    </row>
    <row r="197" ht="12.75" spans="1:7">
      <c r="A197" s="5"/>
      <c r="B197" s="8"/>
      <c r="C197" s="8"/>
      <c r="D197" s="8"/>
      <c r="E197" s="8"/>
      <c r="F197" s="3"/>
      <c r="G197" s="3"/>
    </row>
    <row r="198" ht="12.75" spans="1:7">
      <c r="A198" s="5"/>
      <c r="B198" s="8"/>
      <c r="C198" s="8"/>
      <c r="D198" s="8"/>
      <c r="E198" s="8"/>
      <c r="F198" s="3"/>
      <c r="G198" s="3"/>
    </row>
    <row r="199" ht="12.75" spans="1:7">
      <c r="A199" s="5"/>
      <c r="B199" s="8"/>
      <c r="C199" s="8"/>
      <c r="D199" s="8"/>
      <c r="E199" s="8"/>
      <c r="F199" s="3"/>
      <c r="G199" s="3"/>
    </row>
    <row r="200" ht="12.75" spans="1:7">
      <c r="A200" s="5"/>
      <c r="B200" s="8"/>
      <c r="C200" s="8"/>
      <c r="D200" s="8"/>
      <c r="E200" s="8"/>
      <c r="F200" s="3"/>
      <c r="G200" s="3"/>
    </row>
    <row r="201" ht="12.75" spans="1:7">
      <c r="A201" s="5"/>
      <c r="B201" s="8"/>
      <c r="C201" s="8"/>
      <c r="D201" s="8"/>
      <c r="E201" s="8"/>
      <c r="F201" s="3"/>
      <c r="G201" s="3"/>
    </row>
    <row r="202" ht="12.75" spans="1:7">
      <c r="A202" s="5"/>
      <c r="B202" s="8"/>
      <c r="C202" s="8"/>
      <c r="D202" s="8"/>
      <c r="E202" s="8"/>
      <c r="F202" s="3"/>
      <c r="G202" s="3"/>
    </row>
    <row r="203" ht="12.75" spans="1:7">
      <c r="A203" s="5"/>
      <c r="B203" s="8"/>
      <c r="C203" s="8"/>
      <c r="D203" s="8"/>
      <c r="E203" s="8"/>
      <c r="F203" s="3"/>
      <c r="G203" s="3"/>
    </row>
    <row r="204" ht="12.75" spans="1:7">
      <c r="A204" s="5"/>
      <c r="B204" s="8"/>
      <c r="C204" s="8"/>
      <c r="D204" s="8"/>
      <c r="E204" s="8"/>
      <c r="F204" s="3"/>
      <c r="G204" s="3"/>
    </row>
    <row r="205" ht="12.75" spans="1:7">
      <c r="A205" s="5"/>
      <c r="B205" s="8"/>
      <c r="C205" s="8"/>
      <c r="D205" s="8"/>
      <c r="E205" s="8"/>
      <c r="F205" s="3"/>
      <c r="G205" s="3"/>
    </row>
    <row r="206" ht="12.75" spans="1:7">
      <c r="A206" s="5"/>
      <c r="B206" s="8"/>
      <c r="C206" s="8"/>
      <c r="D206" s="8"/>
      <c r="E206" s="8"/>
      <c r="F206" s="3"/>
      <c r="G206" s="3"/>
    </row>
    <row r="207" ht="12.75" spans="1:7">
      <c r="A207" s="5"/>
      <c r="B207" s="8"/>
      <c r="C207" s="8"/>
      <c r="D207" s="8"/>
      <c r="E207" s="8"/>
      <c r="F207" s="3"/>
      <c r="G207" s="3"/>
    </row>
    <row r="208" ht="12.75" spans="1:7">
      <c r="A208" s="5"/>
      <c r="B208" s="8"/>
      <c r="C208" s="8"/>
      <c r="D208" s="8"/>
      <c r="E208" s="8"/>
      <c r="F208" s="3"/>
      <c r="G208" s="3"/>
    </row>
    <row r="209" ht="12.75" spans="1:7">
      <c r="A209" s="5"/>
      <c r="B209" s="8"/>
      <c r="C209" s="8"/>
      <c r="D209" s="8"/>
      <c r="E209" s="8"/>
      <c r="F209" s="3"/>
      <c r="G209" s="3"/>
    </row>
    <row r="210" ht="12.75" spans="1:7">
      <c r="A210" s="5"/>
      <c r="B210" s="8"/>
      <c r="C210" s="8"/>
      <c r="D210" s="8"/>
      <c r="E210" s="8"/>
      <c r="F210" s="3"/>
      <c r="G210" s="3"/>
    </row>
    <row r="211" ht="12.75" spans="1:7">
      <c r="A211" s="5"/>
      <c r="B211" s="8"/>
      <c r="C211" s="8"/>
      <c r="D211" s="8"/>
      <c r="E211" s="8"/>
      <c r="F211" s="3"/>
      <c r="G211" s="3"/>
    </row>
    <row r="212" ht="12.75" spans="1:7">
      <c r="A212" s="5"/>
      <c r="B212" s="8"/>
      <c r="C212" s="8"/>
      <c r="D212" s="8"/>
      <c r="E212" s="8"/>
      <c r="F212" s="3"/>
      <c r="G212" s="3"/>
    </row>
    <row r="213" ht="12.75" spans="1:7">
      <c r="A213" s="5"/>
      <c r="B213" s="8"/>
      <c r="C213" s="8"/>
      <c r="D213" s="8"/>
      <c r="E213" s="8"/>
      <c r="F213" s="3"/>
      <c r="G213" s="3"/>
    </row>
    <row r="214" ht="12.75" spans="1:7">
      <c r="A214" s="5"/>
      <c r="B214" s="8"/>
      <c r="C214" s="8"/>
      <c r="D214" s="8"/>
      <c r="E214" s="8"/>
      <c r="F214" s="3"/>
      <c r="G214" s="3"/>
    </row>
    <row r="215" ht="12.75" spans="1:7">
      <c r="A215" s="5"/>
      <c r="B215" s="8"/>
      <c r="C215" s="8"/>
      <c r="D215" s="8"/>
      <c r="E215" s="8"/>
      <c r="F215" s="3"/>
      <c r="G215" s="3"/>
    </row>
    <row r="216" ht="12.75" spans="1:7">
      <c r="A216" s="5"/>
      <c r="B216" s="8"/>
      <c r="C216" s="8"/>
      <c r="D216" s="8"/>
      <c r="E216" s="8"/>
      <c r="F216" s="3"/>
      <c r="G216" s="3"/>
    </row>
    <row r="217" ht="12.75" spans="1:7">
      <c r="A217" s="5"/>
      <c r="B217" s="8"/>
      <c r="C217" s="8"/>
      <c r="D217" s="8"/>
      <c r="E217" s="8"/>
      <c r="F217" s="3"/>
      <c r="G217" s="3"/>
    </row>
    <row r="218" ht="12.75" spans="1:7">
      <c r="A218" s="5"/>
      <c r="B218" s="8"/>
      <c r="C218" s="8"/>
      <c r="D218" s="8"/>
      <c r="E218" s="8"/>
      <c r="F218" s="3"/>
      <c r="G218" s="3"/>
    </row>
    <row r="219" ht="12.75" spans="1:7">
      <c r="A219" s="5"/>
      <c r="B219" s="8"/>
      <c r="C219" s="8"/>
      <c r="D219" s="8"/>
      <c r="E219" s="8"/>
      <c r="F219" s="3"/>
      <c r="G219" s="3"/>
    </row>
    <row r="220" ht="12.75" spans="1:7">
      <c r="A220" s="5"/>
      <c r="B220" s="8"/>
      <c r="C220" s="8"/>
      <c r="D220" s="8"/>
      <c r="E220" s="8"/>
      <c r="F220" s="3"/>
      <c r="G220" s="3"/>
    </row>
    <row r="221" ht="12.75" spans="1:7">
      <c r="A221" s="5"/>
      <c r="B221" s="8"/>
      <c r="C221" s="8"/>
      <c r="D221" s="8"/>
      <c r="E221" s="8"/>
      <c r="F221" s="3"/>
      <c r="G221" s="3"/>
    </row>
    <row r="222" ht="12.75" spans="1:7">
      <c r="A222" s="5"/>
      <c r="B222" s="8"/>
      <c r="C222" s="8"/>
      <c r="D222" s="8"/>
      <c r="E222" s="8"/>
      <c r="F222" s="3"/>
      <c r="G222" s="3"/>
    </row>
    <row r="223" ht="12.75" spans="1:7">
      <c r="A223" s="5"/>
      <c r="B223" s="8"/>
      <c r="C223" s="8"/>
      <c r="D223" s="8"/>
      <c r="E223" s="8"/>
      <c r="F223" s="3"/>
      <c r="G223" s="3"/>
    </row>
    <row r="224" ht="12.75" spans="1:7">
      <c r="A224" s="5"/>
      <c r="B224" s="8"/>
      <c r="C224" s="8"/>
      <c r="D224" s="8"/>
      <c r="E224" s="8"/>
      <c r="F224" s="3"/>
      <c r="G224" s="3"/>
    </row>
    <row r="225" ht="12.75" spans="1:7">
      <c r="A225" s="5"/>
      <c r="B225" s="8"/>
      <c r="C225" s="8"/>
      <c r="D225" s="8"/>
      <c r="E225" s="8"/>
      <c r="F225" s="3"/>
      <c r="G225" s="3"/>
    </row>
    <row r="226" ht="12.75" spans="1:7">
      <c r="A226" s="5"/>
      <c r="B226" s="8"/>
      <c r="C226" s="8"/>
      <c r="D226" s="8"/>
      <c r="E226" s="8"/>
      <c r="F226" s="3"/>
      <c r="G226" s="3"/>
    </row>
    <row r="227" ht="12.75" spans="1:7">
      <c r="A227" s="5"/>
      <c r="B227" s="8"/>
      <c r="C227" s="8"/>
      <c r="D227" s="8"/>
      <c r="E227" s="8"/>
      <c r="F227" s="3"/>
      <c r="G227" s="3"/>
    </row>
    <row r="228" ht="12.75" spans="1:7">
      <c r="A228" s="5"/>
      <c r="B228" s="8"/>
      <c r="C228" s="8"/>
      <c r="D228" s="8"/>
      <c r="E228" s="8"/>
      <c r="F228" s="3"/>
      <c r="G228" s="3"/>
    </row>
    <row r="229" ht="12.75" spans="1:7">
      <c r="A229" s="5"/>
      <c r="B229" s="8"/>
      <c r="C229" s="8"/>
      <c r="D229" s="8"/>
      <c r="E229" s="8"/>
      <c r="F229" s="3"/>
      <c r="G229" s="3"/>
    </row>
    <row r="230" ht="12.75" spans="1:7">
      <c r="A230" s="5"/>
      <c r="B230" s="8"/>
      <c r="C230" s="8"/>
      <c r="D230" s="8"/>
      <c r="E230" s="8"/>
      <c r="F230" s="3"/>
      <c r="G230" s="3"/>
    </row>
    <row r="231" ht="12.75" spans="1:7">
      <c r="A231" s="5"/>
      <c r="B231" s="8"/>
      <c r="C231" s="8"/>
      <c r="D231" s="8"/>
      <c r="E231" s="8"/>
      <c r="F231" s="3"/>
      <c r="G231" s="3"/>
    </row>
    <row r="232" ht="12.75" spans="1:7">
      <c r="A232" s="5"/>
      <c r="B232" s="8"/>
      <c r="C232" s="8"/>
      <c r="D232" s="8"/>
      <c r="E232" s="8"/>
      <c r="F232" s="3"/>
      <c r="G232" s="3"/>
    </row>
    <row r="233" ht="12.75" spans="1:7">
      <c r="A233" s="5"/>
      <c r="B233" s="8"/>
      <c r="C233" s="8"/>
      <c r="D233" s="8"/>
      <c r="E233" s="8"/>
      <c r="F233" s="3"/>
      <c r="G233" s="3"/>
    </row>
    <row r="234" ht="12.75" spans="1:7">
      <c r="A234" s="5"/>
      <c r="B234" s="8"/>
      <c r="C234" s="8"/>
      <c r="D234" s="8"/>
      <c r="E234" s="8"/>
      <c r="F234" s="3"/>
      <c r="G234" s="3"/>
    </row>
    <row r="235" ht="12.75" spans="1:7">
      <c r="A235" s="5"/>
      <c r="B235" s="8"/>
      <c r="C235" s="8"/>
      <c r="D235" s="8"/>
      <c r="E235" s="8"/>
      <c r="F235" s="3"/>
      <c r="G235" s="3"/>
    </row>
    <row r="236" ht="12.75" spans="1:7">
      <c r="A236" s="5"/>
      <c r="B236" s="8"/>
      <c r="C236" s="8"/>
      <c r="D236" s="8"/>
      <c r="E236" s="8"/>
      <c r="F236" s="3"/>
      <c r="G236" s="3"/>
    </row>
    <row r="237" ht="12.75" spans="1:7">
      <c r="A237" s="5"/>
      <c r="B237" s="8"/>
      <c r="C237" s="8"/>
      <c r="D237" s="8"/>
      <c r="E237" s="8"/>
      <c r="F237" s="3"/>
      <c r="G237" s="3"/>
    </row>
    <row r="238" ht="12.75" spans="1:7">
      <c r="A238" s="5"/>
      <c r="B238" s="8"/>
      <c r="C238" s="8"/>
      <c r="D238" s="8"/>
      <c r="E238" s="8"/>
      <c r="F238" s="3"/>
      <c r="G238" s="3"/>
    </row>
    <row r="239" ht="12.75" spans="1:7">
      <c r="A239" s="5"/>
      <c r="B239" s="8"/>
      <c r="C239" s="8"/>
      <c r="D239" s="8"/>
      <c r="E239" s="8"/>
      <c r="F239" s="3"/>
      <c r="G239" s="3"/>
    </row>
    <row r="240" ht="12.75" spans="1:7">
      <c r="A240" s="5"/>
      <c r="B240" s="8"/>
      <c r="C240" s="8"/>
      <c r="D240" s="8"/>
      <c r="E240" s="8"/>
      <c r="F240" s="3"/>
      <c r="G240" s="3"/>
    </row>
    <row r="241" ht="12.75" spans="1:7">
      <c r="A241" s="5"/>
      <c r="B241" s="8"/>
      <c r="C241" s="8"/>
      <c r="D241" s="8"/>
      <c r="E241" s="8"/>
      <c r="F241" s="3"/>
      <c r="G241" s="3"/>
    </row>
    <row r="242" ht="12.75" spans="1:7">
      <c r="A242" s="5"/>
      <c r="B242" s="8"/>
      <c r="C242" s="8"/>
      <c r="D242" s="8"/>
      <c r="E242" s="8"/>
      <c r="F242" s="3"/>
      <c r="G242" s="3"/>
    </row>
    <row r="243" ht="12.75" spans="1:7">
      <c r="A243" s="5"/>
      <c r="B243" s="8"/>
      <c r="C243" s="8"/>
      <c r="D243" s="8"/>
      <c r="E243" s="8"/>
      <c r="F243" s="3"/>
      <c r="G243" s="3"/>
    </row>
    <row r="244" ht="12.75" spans="1:7">
      <c r="A244" s="5"/>
      <c r="B244" s="8"/>
      <c r="C244" s="8"/>
      <c r="D244" s="8"/>
      <c r="E244" s="8"/>
      <c r="F244" s="3"/>
      <c r="G244" s="3"/>
    </row>
    <row r="245" ht="12.75" spans="1:7">
      <c r="A245" s="5"/>
      <c r="B245" s="8"/>
      <c r="C245" s="8"/>
      <c r="D245" s="8"/>
      <c r="E245" s="8"/>
      <c r="F245" s="3"/>
      <c r="G245" s="3"/>
    </row>
    <row r="246" ht="12.75" spans="1:7">
      <c r="A246" s="5"/>
      <c r="B246" s="8"/>
      <c r="C246" s="8"/>
      <c r="D246" s="8"/>
      <c r="E246" s="8"/>
      <c r="F246" s="3"/>
      <c r="G246" s="3"/>
    </row>
    <row r="247" ht="12.75" spans="1:7">
      <c r="A247" s="5"/>
      <c r="B247" s="8"/>
      <c r="C247" s="8"/>
      <c r="D247" s="8"/>
      <c r="E247" s="8"/>
      <c r="F247" s="3"/>
      <c r="G247" s="3"/>
    </row>
    <row r="248" ht="12.75" spans="1:7">
      <c r="A248" s="5"/>
      <c r="B248" s="8"/>
      <c r="C248" s="8"/>
      <c r="D248" s="8"/>
      <c r="E248" s="8"/>
      <c r="F248" s="3"/>
      <c r="G248" s="3"/>
    </row>
    <row r="249" ht="12.75" spans="1:7">
      <c r="A249" s="5"/>
      <c r="B249" s="8"/>
      <c r="C249" s="8"/>
      <c r="D249" s="8"/>
      <c r="E249" s="8"/>
      <c r="F249" s="3"/>
      <c r="G249" s="3"/>
    </row>
    <row r="250" ht="12.75" spans="1:7">
      <c r="A250" s="5"/>
      <c r="B250" s="8"/>
      <c r="C250" s="8"/>
      <c r="D250" s="8"/>
      <c r="E250" s="8"/>
      <c r="F250" s="3"/>
      <c r="G250" s="3"/>
    </row>
    <row r="251" ht="12.75" spans="1:7">
      <c r="A251" s="5"/>
      <c r="B251" s="8"/>
      <c r="C251" s="8"/>
      <c r="D251" s="8"/>
      <c r="E251" s="8"/>
      <c r="F251" s="3"/>
      <c r="G251" s="3"/>
    </row>
    <row r="252" ht="12.75" spans="1:7">
      <c r="A252" s="5"/>
      <c r="B252" s="8"/>
      <c r="C252" s="8"/>
      <c r="D252" s="8"/>
      <c r="E252" s="8"/>
      <c r="F252" s="3"/>
      <c r="G252" s="3"/>
    </row>
    <row r="253" ht="12.75" spans="1:7">
      <c r="A253" s="5"/>
      <c r="B253" s="8"/>
      <c r="C253" s="8"/>
      <c r="D253" s="8"/>
      <c r="E253" s="8"/>
      <c r="F253" s="3"/>
      <c r="G253" s="3"/>
    </row>
    <row r="254" ht="12.75" spans="1:7">
      <c r="A254" s="5"/>
      <c r="B254" s="8"/>
      <c r="C254" s="8"/>
      <c r="D254" s="8"/>
      <c r="E254" s="8"/>
      <c r="F254" s="3"/>
      <c r="G254" s="3"/>
    </row>
    <row r="255" ht="12.75" spans="1:7">
      <c r="A255" s="5"/>
      <c r="B255" s="8"/>
      <c r="C255" s="8"/>
      <c r="D255" s="8"/>
      <c r="E255" s="8"/>
      <c r="F255" s="3"/>
      <c r="G255" s="3"/>
    </row>
    <row r="256" ht="12.75" spans="1:7">
      <c r="A256" s="5"/>
      <c r="B256" s="8"/>
      <c r="C256" s="8"/>
      <c r="D256" s="8"/>
      <c r="E256" s="8"/>
      <c r="F256" s="3"/>
      <c r="G256" s="3"/>
    </row>
    <row r="257" ht="12.75" spans="1:7">
      <c r="A257" s="5"/>
      <c r="B257" s="8"/>
      <c r="C257" s="8"/>
      <c r="D257" s="8"/>
      <c r="E257" s="8"/>
      <c r="F257" s="3"/>
      <c r="G257" s="3"/>
    </row>
    <row r="258" ht="12.75" spans="1:7">
      <c r="A258" s="5"/>
      <c r="B258" s="8"/>
      <c r="C258" s="8"/>
      <c r="D258" s="8"/>
      <c r="E258" s="8"/>
      <c r="F258" s="3"/>
      <c r="G258" s="3"/>
    </row>
    <row r="259" ht="12.75" spans="1:7">
      <c r="A259" s="5"/>
      <c r="B259" s="8"/>
      <c r="C259" s="8"/>
      <c r="D259" s="8"/>
      <c r="E259" s="8"/>
      <c r="F259" s="3"/>
      <c r="G259" s="3"/>
    </row>
    <row r="260" ht="12.75" spans="1:7">
      <c r="A260" s="5"/>
      <c r="B260" s="8"/>
      <c r="C260" s="8"/>
      <c r="D260" s="8"/>
      <c r="E260" s="8"/>
      <c r="F260" s="3"/>
      <c r="G260" s="3"/>
    </row>
    <row r="261" ht="12.75" spans="1:7">
      <c r="A261" s="5"/>
      <c r="B261" s="8"/>
      <c r="C261" s="8"/>
      <c r="D261" s="8"/>
      <c r="E261" s="8"/>
      <c r="F261" s="3"/>
      <c r="G261" s="3"/>
    </row>
    <row r="262" ht="12.75" spans="1:7">
      <c r="A262" s="5"/>
      <c r="B262" s="8"/>
      <c r="C262" s="8"/>
      <c r="D262" s="8"/>
      <c r="E262" s="8"/>
      <c r="F262" s="3"/>
      <c r="G262" s="3"/>
    </row>
    <row r="263" ht="12.75" spans="1:7">
      <c r="A263" s="5"/>
      <c r="B263" s="8"/>
      <c r="C263" s="8"/>
      <c r="D263" s="8"/>
      <c r="E263" s="8"/>
      <c r="F263" s="3"/>
      <c r="G263" s="3"/>
    </row>
    <row r="264" ht="12.75" spans="1:7">
      <c r="A264" s="5"/>
      <c r="B264" s="8"/>
      <c r="C264" s="8"/>
      <c r="D264" s="8"/>
      <c r="E264" s="8"/>
      <c r="F264" s="3"/>
      <c r="G264" s="3"/>
    </row>
    <row r="265" ht="12.75" spans="1:7">
      <c r="A265" s="5"/>
      <c r="B265" s="8"/>
      <c r="C265" s="8"/>
      <c r="D265" s="8"/>
      <c r="E265" s="8"/>
      <c r="F265" s="3"/>
      <c r="G265" s="3"/>
    </row>
    <row r="266" ht="12.75" spans="1:7">
      <c r="A266" s="5"/>
      <c r="B266" s="8"/>
      <c r="C266" s="8"/>
      <c r="D266" s="8"/>
      <c r="E266" s="8"/>
      <c r="F266" s="3"/>
      <c r="G266" s="3"/>
    </row>
    <row r="267" ht="12.75" spans="1:7">
      <c r="A267" s="5"/>
      <c r="B267" s="8"/>
      <c r="C267" s="8"/>
      <c r="D267" s="8"/>
      <c r="E267" s="8"/>
      <c r="F267" s="3"/>
      <c r="G267" s="3"/>
    </row>
    <row r="268" ht="12.75" spans="1:7">
      <c r="A268" s="5"/>
      <c r="B268" s="8"/>
      <c r="C268" s="8"/>
      <c r="D268" s="8"/>
      <c r="E268" s="8"/>
      <c r="F268" s="3"/>
      <c r="G268" s="3"/>
    </row>
    <row r="269" ht="12.75" spans="1:7">
      <c r="A269" s="5"/>
      <c r="B269" s="8"/>
      <c r="C269" s="8"/>
      <c r="D269" s="8"/>
      <c r="E269" s="8"/>
      <c r="F269" s="3"/>
      <c r="G269" s="3"/>
    </row>
    <row r="270" ht="12.75" spans="1:7">
      <c r="A270" s="5"/>
      <c r="B270" s="8"/>
      <c r="C270" s="8"/>
      <c r="D270" s="8"/>
      <c r="E270" s="8"/>
      <c r="F270" s="3"/>
      <c r="G270" s="3"/>
    </row>
    <row r="271" ht="12.75" spans="1:7">
      <c r="A271" s="5"/>
      <c r="B271" s="8"/>
      <c r="C271" s="8"/>
      <c r="D271" s="8"/>
      <c r="E271" s="8"/>
      <c r="F271" s="3"/>
      <c r="G271" s="3"/>
    </row>
    <row r="272" ht="12.75" spans="1:7">
      <c r="A272" s="5"/>
      <c r="B272" s="8"/>
      <c r="C272" s="8"/>
      <c r="D272" s="8"/>
      <c r="E272" s="8"/>
      <c r="F272" s="3"/>
      <c r="G272" s="3"/>
    </row>
    <row r="273" ht="12.75" spans="1:7">
      <c r="A273" s="5"/>
      <c r="B273" s="8"/>
      <c r="C273" s="8"/>
      <c r="D273" s="8"/>
      <c r="E273" s="8"/>
      <c r="F273" s="3"/>
      <c r="G273" s="3"/>
    </row>
    <row r="274" ht="12.75" spans="1:7">
      <c r="A274" s="5"/>
      <c r="B274" s="8"/>
      <c r="C274" s="8"/>
      <c r="D274" s="8"/>
      <c r="E274" s="8"/>
      <c r="F274" s="3"/>
      <c r="G274" s="3"/>
    </row>
    <row r="275" ht="12.75" spans="1:7">
      <c r="A275" s="5"/>
      <c r="B275" s="8"/>
      <c r="C275" s="8"/>
      <c r="D275" s="8"/>
      <c r="E275" s="8"/>
      <c r="F275" s="3"/>
      <c r="G275" s="3"/>
    </row>
    <row r="276" ht="12.75" spans="1:7">
      <c r="A276" s="5"/>
      <c r="B276" s="8"/>
      <c r="C276" s="8"/>
      <c r="D276" s="8"/>
      <c r="E276" s="8"/>
      <c r="F276" s="3"/>
      <c r="G276" s="3"/>
    </row>
    <row r="277" ht="12.75" spans="1:7">
      <c r="A277" s="5"/>
      <c r="B277" s="8"/>
      <c r="C277" s="8"/>
      <c r="D277" s="8"/>
      <c r="E277" s="8"/>
      <c r="F277" s="3"/>
      <c r="G277" s="3"/>
    </row>
    <row r="278" ht="12.75" spans="1:7">
      <c r="A278" s="5"/>
      <c r="B278" s="8"/>
      <c r="C278" s="8"/>
      <c r="D278" s="8"/>
      <c r="E278" s="8"/>
      <c r="F278" s="3"/>
      <c r="G278" s="3"/>
    </row>
    <row r="279" ht="12.75" spans="1:7">
      <c r="A279" s="5"/>
      <c r="B279" s="8"/>
      <c r="C279" s="8"/>
      <c r="D279" s="8"/>
      <c r="E279" s="8"/>
      <c r="F279" s="3"/>
      <c r="G279" s="3"/>
    </row>
    <row r="280" ht="12.75" spans="1:7">
      <c r="A280" s="5"/>
      <c r="B280" s="8"/>
      <c r="C280" s="8"/>
      <c r="D280" s="8"/>
      <c r="E280" s="8"/>
      <c r="F280" s="3"/>
      <c r="G280" s="3"/>
    </row>
    <row r="281" ht="12.75" spans="1:7">
      <c r="A281" s="5"/>
      <c r="B281" s="8"/>
      <c r="C281" s="8"/>
      <c r="D281" s="8"/>
      <c r="E281" s="8"/>
      <c r="F281" s="3"/>
      <c r="G281" s="3"/>
    </row>
    <row r="282" ht="12.75" spans="1:7">
      <c r="A282" s="5"/>
      <c r="B282" s="8"/>
      <c r="C282" s="8"/>
      <c r="D282" s="8"/>
      <c r="E282" s="8"/>
      <c r="F282" s="3"/>
      <c r="G282" s="3"/>
    </row>
    <row r="283" ht="12.75" spans="1:7">
      <c r="A283" s="5"/>
      <c r="B283" s="8"/>
      <c r="C283" s="8"/>
      <c r="D283" s="8"/>
      <c r="E283" s="8"/>
      <c r="F283" s="3"/>
      <c r="G283" s="3"/>
    </row>
    <row r="284" ht="12.75" spans="1:7">
      <c r="A284" s="5"/>
      <c r="B284" s="8"/>
      <c r="C284" s="8"/>
      <c r="D284" s="8"/>
      <c r="E284" s="8"/>
      <c r="F284" s="3"/>
      <c r="G284" s="3"/>
    </row>
    <row r="285" ht="12.75" spans="1:7">
      <c r="A285" s="5"/>
      <c r="B285" s="8"/>
      <c r="C285" s="8"/>
      <c r="D285" s="8"/>
      <c r="E285" s="8"/>
      <c r="F285" s="3"/>
      <c r="G285" s="3"/>
    </row>
    <row r="286" ht="12.75" spans="1:7">
      <c r="A286" s="5"/>
      <c r="B286" s="8"/>
      <c r="C286" s="8"/>
      <c r="D286" s="8"/>
      <c r="E286" s="8"/>
      <c r="F286" s="3"/>
      <c r="G286" s="3"/>
    </row>
    <row r="287" ht="12.75" spans="1:7">
      <c r="A287" s="5"/>
      <c r="B287" s="8"/>
      <c r="C287" s="8"/>
      <c r="D287" s="8"/>
      <c r="E287" s="8"/>
      <c r="F287" s="3"/>
      <c r="G287" s="3"/>
    </row>
    <row r="288" ht="12.75" spans="1:7">
      <c r="A288" s="5"/>
      <c r="B288" s="8"/>
      <c r="C288" s="8"/>
      <c r="D288" s="8"/>
      <c r="E288" s="8"/>
      <c r="F288" s="3"/>
      <c r="G288" s="3"/>
    </row>
    <row r="289" ht="12.75" spans="1:7">
      <c r="A289" s="5"/>
      <c r="B289" s="8"/>
      <c r="C289" s="8"/>
      <c r="D289" s="8"/>
      <c r="E289" s="8"/>
      <c r="F289" s="3"/>
      <c r="G289" s="3"/>
    </row>
    <row r="290" ht="12.75" spans="1:7">
      <c r="A290" s="5"/>
      <c r="B290" s="8"/>
      <c r="C290" s="8"/>
      <c r="D290" s="8"/>
      <c r="E290" s="8"/>
      <c r="F290" s="3"/>
      <c r="G290" s="3"/>
    </row>
    <row r="291" ht="12.75" spans="1:7">
      <c r="A291" s="5"/>
      <c r="B291" s="8"/>
      <c r="C291" s="8"/>
      <c r="D291" s="8"/>
      <c r="E291" s="8"/>
      <c r="F291" s="3"/>
      <c r="G291" s="3"/>
    </row>
    <row r="292" ht="12.75" spans="1:7">
      <c r="A292" s="5"/>
      <c r="B292" s="8"/>
      <c r="C292" s="8"/>
      <c r="D292" s="8"/>
      <c r="E292" s="8"/>
      <c r="F292" s="3"/>
      <c r="G292" s="3"/>
    </row>
    <row r="293" ht="12.75" spans="1:7">
      <c r="A293" s="5"/>
      <c r="B293" s="8"/>
      <c r="C293" s="8"/>
      <c r="D293" s="8"/>
      <c r="E293" s="8"/>
      <c r="F293" s="3"/>
      <c r="G293" s="3"/>
    </row>
    <row r="294" ht="12.75" spans="1:7">
      <c r="A294" s="5"/>
      <c r="B294" s="8"/>
      <c r="C294" s="8"/>
      <c r="D294" s="8"/>
      <c r="E294" s="8"/>
      <c r="F294" s="3"/>
      <c r="G294" s="3"/>
    </row>
    <row r="295" ht="12.75" spans="1:7">
      <c r="A295" s="5"/>
      <c r="B295" s="8"/>
      <c r="C295" s="8"/>
      <c r="D295" s="8"/>
      <c r="E295" s="8"/>
      <c r="F295" s="3"/>
      <c r="G295" s="3"/>
    </row>
    <row r="296" ht="12.75" spans="1:7">
      <c r="A296" s="5"/>
      <c r="B296" s="8"/>
      <c r="C296" s="8"/>
      <c r="D296" s="8"/>
      <c r="E296" s="8"/>
      <c r="F296" s="3"/>
      <c r="G296" s="3"/>
    </row>
    <row r="297" ht="12.75" spans="1:7">
      <c r="A297" s="5"/>
      <c r="B297" s="8"/>
      <c r="C297" s="8"/>
      <c r="D297" s="8"/>
      <c r="E297" s="8"/>
      <c r="F297" s="3"/>
      <c r="G297" s="3"/>
    </row>
    <row r="298" ht="12.75" spans="1:7">
      <c r="A298" s="5"/>
      <c r="B298" s="8"/>
      <c r="C298" s="8"/>
      <c r="D298" s="8"/>
      <c r="E298" s="8"/>
      <c r="F298" s="3"/>
      <c r="G298" s="3"/>
    </row>
    <row r="299" ht="12.75" spans="1:7">
      <c r="A299" s="5"/>
      <c r="B299" s="8"/>
      <c r="C299" s="8"/>
      <c r="D299" s="8"/>
      <c r="E299" s="8"/>
      <c r="F299" s="3"/>
      <c r="G299" s="3"/>
    </row>
    <row r="300" ht="12.75" spans="1:7">
      <c r="A300" s="5"/>
      <c r="B300" s="8"/>
      <c r="C300" s="8"/>
      <c r="D300" s="8"/>
      <c r="E300" s="8"/>
      <c r="F300" s="3"/>
      <c r="G300" s="3"/>
    </row>
    <row r="301" ht="12.75" spans="1:7">
      <c r="A301" s="5"/>
      <c r="B301" s="8"/>
      <c r="C301" s="8"/>
      <c r="D301" s="8"/>
      <c r="E301" s="8"/>
      <c r="F301" s="3"/>
      <c r="G301" s="3"/>
    </row>
    <row r="302" ht="12.75" spans="1:7">
      <c r="A302" s="5"/>
      <c r="B302" s="8"/>
      <c r="C302" s="8"/>
      <c r="D302" s="8"/>
      <c r="E302" s="8"/>
      <c r="F302" s="3"/>
      <c r="G302" s="3"/>
    </row>
    <row r="303" ht="12.75" spans="1:7">
      <c r="A303" s="5"/>
      <c r="B303" s="8"/>
      <c r="C303" s="8"/>
      <c r="D303" s="8"/>
      <c r="E303" s="8"/>
      <c r="F303" s="3"/>
      <c r="G303" s="3"/>
    </row>
    <row r="304" ht="12.75" spans="1:7">
      <c r="A304" s="5"/>
      <c r="B304" s="8"/>
      <c r="C304" s="8"/>
      <c r="D304" s="8"/>
      <c r="E304" s="8"/>
      <c r="F304" s="3"/>
      <c r="G304" s="3"/>
    </row>
    <row r="305" ht="12.75" spans="1:7">
      <c r="A305" s="5"/>
      <c r="B305" s="8"/>
      <c r="C305" s="8"/>
      <c r="D305" s="8"/>
      <c r="E305" s="8"/>
      <c r="F305" s="3"/>
      <c r="G305" s="3"/>
    </row>
    <row r="306" ht="12.75" spans="1:7">
      <c r="A306" s="5"/>
      <c r="B306" s="8"/>
      <c r="C306" s="8"/>
      <c r="D306" s="8"/>
      <c r="E306" s="8"/>
      <c r="F306" s="3"/>
      <c r="G306" s="3"/>
    </row>
    <row r="307" ht="12.75" spans="1:7">
      <c r="A307" s="5"/>
      <c r="B307" s="8"/>
      <c r="C307" s="8"/>
      <c r="D307" s="8"/>
      <c r="E307" s="8"/>
      <c r="F307" s="3"/>
      <c r="G307" s="3"/>
    </row>
    <row r="308" ht="12.75" spans="1:7">
      <c r="A308" s="5"/>
      <c r="B308" s="8"/>
      <c r="C308" s="8"/>
      <c r="D308" s="8"/>
      <c r="E308" s="8"/>
      <c r="F308" s="3"/>
      <c r="G308" s="3"/>
    </row>
    <row r="309" ht="12.75" spans="1:7">
      <c r="A309" s="5"/>
      <c r="B309" s="8"/>
      <c r="C309" s="8"/>
      <c r="D309" s="8"/>
      <c r="E309" s="8"/>
      <c r="F309" s="3"/>
      <c r="G309" s="3"/>
    </row>
    <row r="310" ht="12.75" spans="1:7">
      <c r="A310" s="5"/>
      <c r="B310" s="8"/>
      <c r="C310" s="8"/>
      <c r="D310" s="8"/>
      <c r="E310" s="8"/>
      <c r="F310" s="3"/>
      <c r="G310" s="3"/>
    </row>
    <row r="311" ht="12.75" spans="1:7">
      <c r="A311" s="5"/>
      <c r="B311" s="8"/>
      <c r="C311" s="8"/>
      <c r="D311" s="8"/>
      <c r="E311" s="8"/>
      <c r="F311" s="3"/>
      <c r="G311" s="3"/>
    </row>
    <row r="312" ht="12.75" spans="1:7">
      <c r="A312" s="5"/>
      <c r="B312" s="8"/>
      <c r="C312" s="8"/>
      <c r="D312" s="8"/>
      <c r="E312" s="8"/>
      <c r="F312" s="3"/>
      <c r="G312" s="3"/>
    </row>
    <row r="313" ht="12.75" spans="1:7">
      <c r="A313" s="5"/>
      <c r="B313" s="8"/>
      <c r="C313" s="8"/>
      <c r="D313" s="8"/>
      <c r="E313" s="8"/>
      <c r="F313" s="3"/>
      <c r="G313" s="3"/>
    </row>
    <row r="314" ht="12.75" spans="1:7">
      <c r="A314" s="5"/>
      <c r="B314" s="8"/>
      <c r="C314" s="8"/>
      <c r="D314" s="8"/>
      <c r="E314" s="8"/>
      <c r="F314" s="3"/>
      <c r="G314" s="3"/>
    </row>
    <row r="315" ht="12.75" spans="1:7">
      <c r="A315" s="5"/>
      <c r="B315" s="8"/>
      <c r="C315" s="8"/>
      <c r="D315" s="8"/>
      <c r="E315" s="8"/>
      <c r="F315" s="3"/>
      <c r="G315" s="3"/>
    </row>
    <row r="316" ht="12.75" spans="1:7">
      <c r="A316" s="5"/>
      <c r="B316" s="8"/>
      <c r="C316" s="8"/>
      <c r="D316" s="8"/>
      <c r="E316" s="8"/>
      <c r="F316" s="3"/>
      <c r="G316" s="3"/>
    </row>
    <row r="317" ht="12.75" spans="1:7">
      <c r="A317" s="5"/>
      <c r="B317" s="8"/>
      <c r="C317" s="8"/>
      <c r="D317" s="8"/>
      <c r="E317" s="8"/>
      <c r="F317" s="3"/>
      <c r="G317" s="3"/>
    </row>
    <row r="318" ht="12.75" spans="1:7">
      <c r="A318" s="5"/>
      <c r="B318" s="8"/>
      <c r="C318" s="8"/>
      <c r="D318" s="8"/>
      <c r="E318" s="8"/>
      <c r="F318" s="3"/>
      <c r="G318" s="3"/>
    </row>
    <row r="319" ht="12.75" spans="1:7">
      <c r="A319" s="5"/>
      <c r="B319" s="8"/>
      <c r="C319" s="8"/>
      <c r="D319" s="8"/>
      <c r="E319" s="8"/>
      <c r="F319" s="3"/>
      <c r="G319" s="3"/>
    </row>
    <row r="320" ht="12.75" spans="1:7">
      <c r="A320" s="5"/>
      <c r="B320" s="8"/>
      <c r="C320" s="8"/>
      <c r="D320" s="8"/>
      <c r="E320" s="8"/>
      <c r="F320" s="3"/>
      <c r="G320" s="3"/>
    </row>
    <row r="321" ht="12.75" spans="1:7">
      <c r="A321" s="5"/>
      <c r="B321" s="8"/>
      <c r="C321" s="8"/>
      <c r="D321" s="8"/>
      <c r="E321" s="8"/>
      <c r="F321" s="3"/>
      <c r="G321" s="3"/>
    </row>
    <row r="322" ht="12.75" spans="1:7">
      <c r="A322" s="5"/>
      <c r="B322" s="8"/>
      <c r="C322" s="8"/>
      <c r="D322" s="8"/>
      <c r="E322" s="8"/>
      <c r="F322" s="3"/>
      <c r="G322" s="3"/>
    </row>
    <row r="323" ht="12.75" spans="1:7">
      <c r="A323" s="5"/>
      <c r="B323" s="8"/>
      <c r="C323" s="8"/>
      <c r="D323" s="8"/>
      <c r="E323" s="8"/>
      <c r="F323" s="3"/>
      <c r="G323" s="3"/>
    </row>
    <row r="324" ht="12.75" spans="1:7">
      <c r="A324" s="5"/>
      <c r="B324" s="8"/>
      <c r="C324" s="8"/>
      <c r="D324" s="8"/>
      <c r="E324" s="8"/>
      <c r="F324" s="3"/>
      <c r="G324" s="3"/>
    </row>
    <row r="325" ht="12.75" spans="1:7">
      <c r="A325" s="5"/>
      <c r="B325" s="8"/>
      <c r="C325" s="8"/>
      <c r="D325" s="8"/>
      <c r="E325" s="8"/>
      <c r="F325" s="3"/>
      <c r="G325" s="3"/>
    </row>
    <row r="326" ht="12.75" spans="1:7">
      <c r="A326" s="5"/>
      <c r="B326" s="8"/>
      <c r="C326" s="8"/>
      <c r="D326" s="8"/>
      <c r="E326" s="8"/>
      <c r="F326" s="3"/>
      <c r="G326" s="3"/>
    </row>
    <row r="327" ht="12.75" spans="1:7">
      <c r="A327" s="5"/>
      <c r="B327" s="8"/>
      <c r="C327" s="8"/>
      <c r="D327" s="8"/>
      <c r="E327" s="8"/>
      <c r="F327" s="3"/>
      <c r="G327" s="3"/>
    </row>
    <row r="328" ht="12.75" spans="1:7">
      <c r="A328" s="5"/>
      <c r="B328" s="8"/>
      <c r="C328" s="8"/>
      <c r="D328" s="8"/>
      <c r="E328" s="8"/>
      <c r="F328" s="3"/>
      <c r="G328" s="3"/>
    </row>
    <row r="329" ht="12.75" spans="1:7">
      <c r="A329" s="5"/>
      <c r="B329" s="8"/>
      <c r="C329" s="8"/>
      <c r="D329" s="8"/>
      <c r="E329" s="8"/>
      <c r="F329" s="3"/>
      <c r="G329" s="3"/>
    </row>
    <row r="330" ht="12.75" spans="1:7">
      <c r="A330" s="5"/>
      <c r="B330" s="8"/>
      <c r="C330" s="8"/>
      <c r="D330" s="8"/>
      <c r="E330" s="8"/>
      <c r="F330" s="3"/>
      <c r="G330" s="3"/>
    </row>
    <row r="331" ht="12.75" spans="1:7">
      <c r="A331" s="5"/>
      <c r="B331" s="8"/>
      <c r="C331" s="8"/>
      <c r="D331" s="8"/>
      <c r="E331" s="8"/>
      <c r="F331" s="3"/>
      <c r="G331" s="3"/>
    </row>
    <row r="332" ht="12.75" spans="1:7">
      <c r="A332" s="5"/>
      <c r="B332" s="8"/>
      <c r="C332" s="8"/>
      <c r="D332" s="8"/>
      <c r="E332" s="8"/>
      <c r="F332" s="3"/>
      <c r="G332" s="3"/>
    </row>
    <row r="333" ht="12.75" spans="1:7">
      <c r="A333" s="5"/>
      <c r="B333" s="8"/>
      <c r="C333" s="8"/>
      <c r="D333" s="8"/>
      <c r="E333" s="8"/>
      <c r="F333" s="3"/>
      <c r="G333" s="3"/>
    </row>
    <row r="334" ht="12.75" spans="1:7">
      <c r="A334" s="5"/>
      <c r="B334" s="8"/>
      <c r="C334" s="8"/>
      <c r="D334" s="8"/>
      <c r="E334" s="8"/>
      <c r="F334" s="3"/>
      <c r="G334" s="3"/>
    </row>
    <row r="335" ht="12.75" spans="1:7">
      <c r="A335" s="5"/>
      <c r="B335" s="8"/>
      <c r="C335" s="8"/>
      <c r="D335" s="8"/>
      <c r="E335" s="8"/>
      <c r="F335" s="3"/>
      <c r="G335" s="3"/>
    </row>
    <row r="336" ht="12.75" spans="1:7">
      <c r="A336" s="5"/>
      <c r="B336" s="8"/>
      <c r="C336" s="8"/>
      <c r="D336" s="8"/>
      <c r="E336" s="8"/>
      <c r="F336" s="3"/>
      <c r="G336" s="3"/>
    </row>
    <row r="337" ht="12.75" spans="1:7">
      <c r="A337" s="5"/>
      <c r="B337" s="8"/>
      <c r="C337" s="8"/>
      <c r="D337" s="8"/>
      <c r="E337" s="8"/>
      <c r="F337" s="3"/>
      <c r="G337" s="3"/>
    </row>
    <row r="338" ht="12.75" spans="1:7">
      <c r="A338" s="5"/>
      <c r="B338" s="8"/>
      <c r="C338" s="8"/>
      <c r="D338" s="8"/>
      <c r="E338" s="8"/>
      <c r="F338" s="3"/>
      <c r="G338" s="3"/>
    </row>
    <row r="339" ht="12.75" spans="1:7">
      <c r="A339" s="5"/>
      <c r="B339" s="8"/>
      <c r="C339" s="8"/>
      <c r="D339" s="8"/>
      <c r="E339" s="8"/>
      <c r="F339" s="3"/>
      <c r="G339" s="3"/>
    </row>
    <row r="340" ht="12.75" spans="1:7">
      <c r="A340" s="5"/>
      <c r="B340" s="8"/>
      <c r="C340" s="8"/>
      <c r="D340" s="8"/>
      <c r="E340" s="8"/>
      <c r="F340" s="3"/>
      <c r="G340" s="3"/>
    </row>
    <row r="341" ht="12.75" spans="1:7">
      <c r="A341" s="5"/>
      <c r="B341" s="8"/>
      <c r="C341" s="8"/>
      <c r="D341" s="8"/>
      <c r="E341" s="8"/>
      <c r="F341" s="3"/>
      <c r="G341" s="3"/>
    </row>
    <row r="342" ht="12.75" spans="1:7">
      <c r="A342" s="5"/>
      <c r="B342" s="8"/>
      <c r="C342" s="8"/>
      <c r="D342" s="8"/>
      <c r="E342" s="8"/>
      <c r="F342" s="3"/>
      <c r="G342" s="3"/>
    </row>
    <row r="343" ht="12.75" spans="1:7">
      <c r="A343" s="5"/>
      <c r="B343" s="8"/>
      <c r="C343" s="8"/>
      <c r="D343" s="8"/>
      <c r="E343" s="8"/>
      <c r="F343" s="3"/>
      <c r="G343" s="3"/>
    </row>
    <row r="344" ht="12.75" spans="1:7">
      <c r="A344" s="5"/>
      <c r="B344" s="8"/>
      <c r="C344" s="8"/>
      <c r="D344" s="8"/>
      <c r="E344" s="8"/>
      <c r="F344" s="3"/>
      <c r="G344" s="3"/>
    </row>
    <row r="345" ht="12.75" spans="1:7">
      <c r="A345" s="5"/>
      <c r="B345" s="8"/>
      <c r="C345" s="8"/>
      <c r="D345" s="8"/>
      <c r="E345" s="8"/>
      <c r="F345" s="3"/>
      <c r="G345" s="3"/>
    </row>
    <row r="346" ht="12.75" spans="1:7">
      <c r="A346" s="5"/>
      <c r="B346" s="8"/>
      <c r="C346" s="8"/>
      <c r="D346" s="8"/>
      <c r="E346" s="8"/>
      <c r="F346" s="3"/>
      <c r="G346" s="3"/>
    </row>
    <row r="347" ht="12.75" spans="1:7">
      <c r="A347" s="5"/>
      <c r="B347" s="8"/>
      <c r="C347" s="8"/>
      <c r="D347" s="8"/>
      <c r="E347" s="8"/>
      <c r="F347" s="3"/>
      <c r="G347" s="3"/>
    </row>
    <row r="348" ht="12.75" spans="1:7">
      <c r="A348" s="5"/>
      <c r="B348" s="8"/>
      <c r="C348" s="8"/>
      <c r="D348" s="8"/>
      <c r="E348" s="8"/>
      <c r="F348" s="3"/>
      <c r="G348" s="3"/>
    </row>
    <row r="349" ht="12.75" spans="1:7">
      <c r="A349" s="5"/>
      <c r="B349" s="8"/>
      <c r="C349" s="8"/>
      <c r="D349" s="8"/>
      <c r="E349" s="8"/>
      <c r="F349" s="3"/>
      <c r="G349" s="3"/>
    </row>
    <row r="350" ht="12.75" spans="1:7">
      <c r="A350" s="5"/>
      <c r="B350" s="8"/>
      <c r="C350" s="8"/>
      <c r="D350" s="8"/>
      <c r="E350" s="8"/>
      <c r="F350" s="3"/>
      <c r="G350" s="3"/>
    </row>
    <row r="351" ht="12.75" spans="1:7">
      <c r="A351" s="5"/>
      <c r="B351" s="8"/>
      <c r="C351" s="8"/>
      <c r="D351" s="8"/>
      <c r="E351" s="8"/>
      <c r="F351" s="3"/>
      <c r="G351" s="3"/>
    </row>
    <row r="352" ht="12.75" spans="1:7">
      <c r="A352" s="5"/>
      <c r="B352" s="8"/>
      <c r="C352" s="8"/>
      <c r="D352" s="8"/>
      <c r="E352" s="8"/>
      <c r="F352" s="3"/>
      <c r="G352" s="3"/>
    </row>
    <row r="353" ht="12.75" spans="1:7">
      <c r="A353" s="5"/>
      <c r="B353" s="8"/>
      <c r="C353" s="8"/>
      <c r="D353" s="8"/>
      <c r="E353" s="8"/>
      <c r="F353" s="3"/>
      <c r="G353" s="3"/>
    </row>
    <row r="354" ht="12.75" spans="1:7">
      <c r="A354" s="5"/>
      <c r="B354" s="8"/>
      <c r="C354" s="8"/>
      <c r="D354" s="8"/>
      <c r="E354" s="8"/>
      <c r="F354" s="3"/>
      <c r="G354" s="3"/>
    </row>
    <row r="355" ht="12.75" spans="1:7">
      <c r="A355" s="5"/>
      <c r="B355" s="8"/>
      <c r="C355" s="8"/>
      <c r="D355" s="8"/>
      <c r="E355" s="8"/>
      <c r="F355" s="3"/>
      <c r="G355" s="3"/>
    </row>
    <row r="356" ht="12.75" spans="1:7">
      <c r="A356" s="5"/>
      <c r="B356" s="8"/>
      <c r="C356" s="8"/>
      <c r="D356" s="8"/>
      <c r="E356" s="8"/>
      <c r="F356" s="3"/>
      <c r="G356" s="3"/>
    </row>
    <row r="357" ht="12.75" spans="1:7">
      <c r="A357" s="5"/>
      <c r="B357" s="8"/>
      <c r="C357" s="8"/>
      <c r="D357" s="8"/>
      <c r="E357" s="8"/>
      <c r="F357" s="3"/>
      <c r="G357" s="3"/>
    </row>
    <row r="358" ht="12.75" spans="1:7">
      <c r="A358" s="5"/>
      <c r="B358" s="8"/>
      <c r="C358" s="8"/>
      <c r="D358" s="8"/>
      <c r="E358" s="8"/>
      <c r="F358" s="3"/>
      <c r="G358" s="3"/>
    </row>
    <row r="359" ht="12.75" spans="1:7">
      <c r="A359" s="5"/>
      <c r="B359" s="8"/>
      <c r="C359" s="8"/>
      <c r="D359" s="8"/>
      <c r="E359" s="8"/>
      <c r="F359" s="3"/>
      <c r="G359" s="3"/>
    </row>
    <row r="360" ht="12.75" spans="1:7">
      <c r="A360" s="5"/>
      <c r="B360" s="8"/>
      <c r="C360" s="8"/>
      <c r="D360" s="8"/>
      <c r="E360" s="8"/>
      <c r="F360" s="3"/>
      <c r="G360" s="3"/>
    </row>
    <row r="361" ht="12.75" spans="1:7">
      <c r="A361" s="5"/>
      <c r="B361" s="8"/>
      <c r="C361" s="8"/>
      <c r="D361" s="8"/>
      <c r="E361" s="8"/>
      <c r="F361" s="3"/>
      <c r="G361" s="3"/>
    </row>
    <row r="362" ht="12.75" spans="1:7">
      <c r="A362" s="5"/>
      <c r="B362" s="8"/>
      <c r="C362" s="8"/>
      <c r="D362" s="8"/>
      <c r="E362" s="8"/>
      <c r="F362" s="3"/>
      <c r="G362" s="3"/>
    </row>
    <row r="363" ht="12.75" spans="1:7">
      <c r="A363" s="5"/>
      <c r="B363" s="8"/>
      <c r="C363" s="8"/>
      <c r="D363" s="8"/>
      <c r="E363" s="8"/>
      <c r="F363" s="3"/>
      <c r="G363" s="3"/>
    </row>
    <row r="364" ht="12.75" spans="1:7">
      <c r="A364" s="5"/>
      <c r="B364" s="8"/>
      <c r="C364" s="8"/>
      <c r="D364" s="8"/>
      <c r="E364" s="8"/>
      <c r="F364" s="3"/>
      <c r="G364" s="3"/>
    </row>
    <row r="365" ht="12.75" spans="1:7">
      <c r="A365" s="5"/>
      <c r="B365" s="8"/>
      <c r="C365" s="8"/>
      <c r="D365" s="8"/>
      <c r="E365" s="8"/>
      <c r="F365" s="3"/>
      <c r="G365" s="3"/>
    </row>
    <row r="366" ht="12.75" spans="1:7">
      <c r="A366" s="5"/>
      <c r="B366" s="8"/>
      <c r="C366" s="8"/>
      <c r="D366" s="8"/>
      <c r="E366" s="8"/>
      <c r="F366" s="3"/>
      <c r="G366" s="3"/>
    </row>
    <row r="367" ht="12.75" spans="1:7">
      <c r="A367" s="5"/>
      <c r="B367" s="8"/>
      <c r="C367" s="8"/>
      <c r="D367" s="8"/>
      <c r="E367" s="8"/>
      <c r="F367" s="3"/>
      <c r="G367" s="3"/>
    </row>
    <row r="368" ht="12.75" spans="1:7">
      <c r="A368" s="5"/>
      <c r="B368" s="8"/>
      <c r="C368" s="8"/>
      <c r="D368" s="8"/>
      <c r="E368" s="8"/>
      <c r="F368" s="3"/>
      <c r="G368" s="3"/>
    </row>
    <row r="369" ht="12.75" spans="1:7">
      <c r="A369" s="5"/>
      <c r="B369" s="8"/>
      <c r="C369" s="8"/>
      <c r="D369" s="8"/>
      <c r="E369" s="8"/>
      <c r="F369" s="3"/>
      <c r="G369" s="3"/>
    </row>
    <row r="370" ht="12.75" spans="1:7">
      <c r="A370" s="5"/>
      <c r="B370" s="8"/>
      <c r="C370" s="8"/>
      <c r="D370" s="8"/>
      <c r="E370" s="8"/>
      <c r="F370" s="3"/>
      <c r="G370" s="3"/>
    </row>
    <row r="371" ht="12.75" spans="1:7">
      <c r="A371" s="5"/>
      <c r="B371" s="8"/>
      <c r="C371" s="8"/>
      <c r="D371" s="8"/>
      <c r="E371" s="8"/>
      <c r="F371" s="3"/>
      <c r="G371" s="3"/>
    </row>
    <row r="372" ht="12.75" spans="1:7">
      <c r="A372" s="5"/>
      <c r="B372" s="8"/>
      <c r="C372" s="8"/>
      <c r="D372" s="8"/>
      <c r="E372" s="8"/>
      <c r="F372" s="3"/>
      <c r="G372" s="3"/>
    </row>
    <row r="373" ht="12.75" spans="1:7">
      <c r="A373" s="5"/>
      <c r="B373" s="8"/>
      <c r="C373" s="8"/>
      <c r="D373" s="8"/>
      <c r="E373" s="8"/>
      <c r="F373" s="3"/>
      <c r="G373" s="3"/>
    </row>
    <row r="374" ht="12.75" spans="1:7">
      <c r="A374" s="5"/>
      <c r="B374" s="8"/>
      <c r="C374" s="8"/>
      <c r="D374" s="8"/>
      <c r="E374" s="8"/>
      <c r="F374" s="3"/>
      <c r="G374" s="3"/>
    </row>
    <row r="375" ht="12.75" spans="1:7">
      <c r="A375" s="5"/>
      <c r="B375" s="8"/>
      <c r="C375" s="8"/>
      <c r="D375" s="8"/>
      <c r="E375" s="8"/>
      <c r="F375" s="3"/>
      <c r="G375" s="3"/>
    </row>
    <row r="376" ht="12.75" spans="1:7">
      <c r="A376" s="5"/>
      <c r="B376" s="8"/>
      <c r="C376" s="8"/>
      <c r="D376" s="8"/>
      <c r="E376" s="8"/>
      <c r="F376" s="3"/>
      <c r="G376" s="3"/>
    </row>
    <row r="377" ht="12.75" spans="1:7">
      <c r="A377" s="5"/>
      <c r="B377" s="8"/>
      <c r="C377" s="8"/>
      <c r="D377" s="8"/>
      <c r="E377" s="8"/>
      <c r="F377" s="3"/>
      <c r="G377" s="3"/>
    </row>
    <row r="378" ht="12.75" spans="1:7">
      <c r="A378" s="5"/>
      <c r="B378" s="8"/>
      <c r="C378" s="8"/>
      <c r="D378" s="8"/>
      <c r="E378" s="8"/>
      <c r="F378" s="3"/>
      <c r="G378" s="3"/>
    </row>
    <row r="379" ht="12.75" spans="1:7">
      <c r="A379" s="5"/>
      <c r="B379" s="8"/>
      <c r="C379" s="8"/>
      <c r="D379" s="8"/>
      <c r="E379" s="8"/>
      <c r="F379" s="3"/>
      <c r="G379" s="3"/>
    </row>
    <row r="380" ht="12.75" spans="1:7">
      <c r="A380" s="5"/>
      <c r="B380" s="8"/>
      <c r="C380" s="8"/>
      <c r="D380" s="8"/>
      <c r="E380" s="8"/>
      <c r="F380" s="3"/>
      <c r="G380" s="3"/>
    </row>
    <row r="381" ht="12.75" spans="1:7">
      <c r="A381" s="5"/>
      <c r="B381" s="8"/>
      <c r="C381" s="8"/>
      <c r="D381" s="8"/>
      <c r="E381" s="8"/>
      <c r="F381" s="3"/>
      <c r="G381" s="3"/>
    </row>
    <row r="382" ht="12.75" spans="1:7">
      <c r="A382" s="5"/>
      <c r="B382" s="8"/>
      <c r="C382" s="8"/>
      <c r="D382" s="8"/>
      <c r="E382" s="8"/>
      <c r="F382" s="3"/>
      <c r="G382" s="3"/>
    </row>
    <row r="383" ht="12.75" spans="1:7">
      <c r="A383" s="5"/>
      <c r="B383" s="8"/>
      <c r="C383" s="8"/>
      <c r="D383" s="8"/>
      <c r="E383" s="8"/>
      <c r="F383" s="3"/>
      <c r="G383" s="3"/>
    </row>
    <row r="384" ht="12.75" spans="1:7">
      <c r="A384" s="5"/>
      <c r="B384" s="8"/>
      <c r="C384" s="8"/>
      <c r="D384" s="8"/>
      <c r="E384" s="8"/>
      <c r="F384" s="3"/>
      <c r="G384" s="3"/>
    </row>
    <row r="385" ht="12.75" spans="1:7">
      <c r="A385" s="5"/>
      <c r="B385" s="8"/>
      <c r="C385" s="8"/>
      <c r="D385" s="8"/>
      <c r="E385" s="8"/>
      <c r="F385" s="3"/>
      <c r="G385" s="3"/>
    </row>
    <row r="386" ht="12.75" spans="1:7">
      <c r="A386" s="5"/>
      <c r="B386" s="8"/>
      <c r="C386" s="8"/>
      <c r="D386" s="8"/>
      <c r="E386" s="8"/>
      <c r="F386" s="3"/>
      <c r="G386" s="3"/>
    </row>
    <row r="387" ht="12.75" spans="1:7">
      <c r="A387" s="5"/>
      <c r="B387" s="8"/>
      <c r="C387" s="8"/>
      <c r="D387" s="8"/>
      <c r="E387" s="8"/>
      <c r="F387" s="3"/>
      <c r="G387" s="3"/>
    </row>
    <row r="388" ht="12.75" spans="1:7">
      <c r="A388" s="5"/>
      <c r="B388" s="8"/>
      <c r="C388" s="8"/>
      <c r="D388" s="8"/>
      <c r="E388" s="8"/>
      <c r="F388" s="3"/>
      <c r="G388" s="3"/>
    </row>
    <row r="389" ht="12.75" spans="1:7">
      <c r="A389" s="5"/>
      <c r="B389" s="8"/>
      <c r="C389" s="8"/>
      <c r="D389" s="8"/>
      <c r="E389" s="8"/>
      <c r="F389" s="3"/>
      <c r="G389" s="3"/>
    </row>
    <row r="390" ht="12.75" spans="1:7">
      <c r="A390" s="5"/>
      <c r="B390" s="8"/>
      <c r="C390" s="8"/>
      <c r="D390" s="8"/>
      <c r="E390" s="8"/>
      <c r="F390" s="3"/>
      <c r="G390" s="3"/>
    </row>
    <row r="391" ht="12.75" spans="1:7">
      <c r="A391" s="5"/>
      <c r="B391" s="8"/>
      <c r="C391" s="8"/>
      <c r="D391" s="8"/>
      <c r="E391" s="8"/>
      <c r="F391" s="3"/>
      <c r="G391" s="3"/>
    </row>
    <row r="392" ht="12.75" spans="1:7">
      <c r="A392" s="5"/>
      <c r="B392" s="8"/>
      <c r="C392" s="8"/>
      <c r="D392" s="8"/>
      <c r="E392" s="8"/>
      <c r="F392" s="3"/>
      <c r="G392" s="3"/>
    </row>
    <row r="393" ht="12.75" spans="1:7">
      <c r="A393" s="5"/>
      <c r="B393" s="8"/>
      <c r="C393" s="8"/>
      <c r="D393" s="8"/>
      <c r="E393" s="8"/>
      <c r="F393" s="3"/>
      <c r="G393" s="3"/>
    </row>
    <row r="394" ht="12.75" spans="1:7">
      <c r="A394" s="5"/>
      <c r="B394" s="8"/>
      <c r="C394" s="8"/>
      <c r="D394" s="8"/>
      <c r="E394" s="8"/>
      <c r="F394" s="3"/>
      <c r="G394" s="3"/>
    </row>
    <row r="395" ht="12.75" spans="1:7">
      <c r="A395" s="5"/>
      <c r="B395" s="8"/>
      <c r="C395" s="8"/>
      <c r="D395" s="8"/>
      <c r="E395" s="8"/>
      <c r="F395" s="3"/>
      <c r="G395" s="3"/>
    </row>
    <row r="396" ht="12.75" spans="1:7">
      <c r="A396" s="5"/>
      <c r="B396" s="8"/>
      <c r="C396" s="8"/>
      <c r="D396" s="8"/>
      <c r="E396" s="8"/>
      <c r="F396" s="3"/>
      <c r="G396" s="3"/>
    </row>
    <row r="397" ht="12.75" spans="1:7">
      <c r="A397" s="5"/>
      <c r="B397" s="8"/>
      <c r="C397" s="8"/>
      <c r="D397" s="8"/>
      <c r="E397" s="8"/>
      <c r="F397" s="3"/>
      <c r="G397" s="3"/>
    </row>
    <row r="398" ht="12.75" spans="1:7">
      <c r="A398" s="5"/>
      <c r="B398" s="8"/>
      <c r="C398" s="8"/>
      <c r="D398" s="8"/>
      <c r="E398" s="8"/>
      <c r="F398" s="3"/>
      <c r="G398" s="3"/>
    </row>
    <row r="399" ht="12.75" spans="1:7">
      <c r="A399" s="5"/>
      <c r="B399" s="8"/>
      <c r="C399" s="8"/>
      <c r="D399" s="8"/>
      <c r="E399" s="8"/>
      <c r="F399" s="3"/>
      <c r="G399" s="3"/>
    </row>
    <row r="400" ht="12.75" spans="1:7">
      <c r="A400" s="5"/>
      <c r="B400" s="8"/>
      <c r="C400" s="8"/>
      <c r="D400" s="8"/>
      <c r="E400" s="8"/>
      <c r="F400" s="3"/>
      <c r="G400" s="3"/>
    </row>
    <row r="401" ht="12.75" spans="1:7">
      <c r="A401" s="5"/>
      <c r="B401" s="8"/>
      <c r="C401" s="8"/>
      <c r="D401" s="8"/>
      <c r="E401" s="8"/>
      <c r="F401" s="3"/>
      <c r="G401" s="3"/>
    </row>
    <row r="402" ht="12.75" spans="1:7">
      <c r="A402" s="5"/>
      <c r="B402" s="8"/>
      <c r="C402" s="8"/>
      <c r="D402" s="8"/>
      <c r="E402" s="8"/>
      <c r="F402" s="3"/>
      <c r="G402" s="3"/>
    </row>
    <row r="403" ht="12.75" spans="1:7">
      <c r="A403" s="5"/>
      <c r="B403" s="8"/>
      <c r="C403" s="8"/>
      <c r="D403" s="8"/>
      <c r="E403" s="8"/>
      <c r="F403" s="3"/>
      <c r="G403" s="3"/>
    </row>
    <row r="404" ht="12.75" spans="1:7">
      <c r="A404" s="5"/>
      <c r="B404" s="8"/>
      <c r="C404" s="8"/>
      <c r="D404" s="8"/>
      <c r="E404" s="8"/>
      <c r="F404" s="3"/>
      <c r="G404" s="3"/>
    </row>
    <row r="405" ht="12.75" spans="1:7">
      <c r="A405" s="5"/>
      <c r="B405" s="8"/>
      <c r="C405" s="8"/>
      <c r="D405" s="8"/>
      <c r="E405" s="8"/>
      <c r="F405" s="3"/>
      <c r="G405" s="3"/>
    </row>
    <row r="406" ht="12.75" spans="1:7">
      <c r="A406" s="5"/>
      <c r="B406" s="8"/>
      <c r="C406" s="8"/>
      <c r="D406" s="8"/>
      <c r="E406" s="8"/>
      <c r="F406" s="3"/>
      <c r="G406" s="3"/>
    </row>
    <row r="407" ht="12.75" spans="1:7">
      <c r="A407" s="5"/>
      <c r="B407" s="8"/>
      <c r="C407" s="8"/>
      <c r="D407" s="8"/>
      <c r="E407" s="8"/>
      <c r="F407" s="3"/>
      <c r="G407" s="3"/>
    </row>
    <row r="408" ht="12.75" spans="1:7">
      <c r="A408" s="5"/>
      <c r="B408" s="8"/>
      <c r="C408" s="8"/>
      <c r="D408" s="8"/>
      <c r="E408" s="8"/>
      <c r="F408" s="3"/>
      <c r="G408" s="3"/>
    </row>
    <row r="409" ht="12.75" spans="1:7">
      <c r="A409" s="5"/>
      <c r="B409" s="8"/>
      <c r="C409" s="8"/>
      <c r="D409" s="8"/>
      <c r="E409" s="8"/>
      <c r="F409" s="3"/>
      <c r="G409" s="3"/>
    </row>
    <row r="410" ht="12.75" spans="1:7">
      <c r="A410" s="5"/>
      <c r="B410" s="8"/>
      <c r="C410" s="8"/>
      <c r="D410" s="8"/>
      <c r="E410" s="8"/>
      <c r="F410" s="3"/>
      <c r="G410" s="3"/>
    </row>
    <row r="411" ht="12.75" spans="1:7">
      <c r="A411" s="5"/>
      <c r="B411" s="8"/>
      <c r="C411" s="8"/>
      <c r="D411" s="8"/>
      <c r="E411" s="8"/>
      <c r="F411" s="3"/>
      <c r="G411" s="3"/>
    </row>
    <row r="412" ht="12.75" spans="1:7">
      <c r="A412" s="5"/>
      <c r="B412" s="8"/>
      <c r="C412" s="8"/>
      <c r="D412" s="8"/>
      <c r="E412" s="8"/>
      <c r="F412" s="3"/>
      <c r="G412" s="3"/>
    </row>
    <row r="413" ht="12.75" spans="1:7">
      <c r="A413" s="5"/>
      <c r="B413" s="8"/>
      <c r="C413" s="8"/>
      <c r="D413" s="8"/>
      <c r="E413" s="8"/>
      <c r="F413" s="3"/>
      <c r="G413" s="3"/>
    </row>
    <row r="414" ht="12.75" spans="1:7">
      <c r="A414" s="5"/>
      <c r="B414" s="8"/>
      <c r="C414" s="8"/>
      <c r="D414" s="8"/>
      <c r="E414" s="8"/>
      <c r="F414" s="3"/>
      <c r="G414" s="3"/>
    </row>
    <row r="415" ht="12.75" spans="1:7">
      <c r="A415" s="5"/>
      <c r="B415" s="8"/>
      <c r="C415" s="8"/>
      <c r="D415" s="8"/>
      <c r="E415" s="8"/>
      <c r="F415" s="3"/>
      <c r="G415" s="3"/>
    </row>
    <row r="416" ht="12.75" spans="1:7">
      <c r="A416" s="5"/>
      <c r="B416" s="8"/>
      <c r="C416" s="8"/>
      <c r="D416" s="8"/>
      <c r="E416" s="8"/>
      <c r="F416" s="3"/>
      <c r="G416" s="3"/>
    </row>
    <row r="417" ht="12.75" spans="1:7">
      <c r="A417" s="5"/>
      <c r="B417" s="8"/>
      <c r="C417" s="8"/>
      <c r="D417" s="8"/>
      <c r="E417" s="8"/>
      <c r="F417" s="3"/>
      <c r="G417" s="3"/>
    </row>
    <row r="418" ht="12.75" spans="1:7">
      <c r="A418" s="5"/>
      <c r="B418" s="8"/>
      <c r="C418" s="8"/>
      <c r="D418" s="8"/>
      <c r="E418" s="8"/>
      <c r="F418" s="3"/>
      <c r="G418" s="3"/>
    </row>
    <row r="419" ht="12.75" spans="1:7">
      <c r="A419" s="5"/>
      <c r="B419" s="8"/>
      <c r="C419" s="8"/>
      <c r="D419" s="8"/>
      <c r="E419" s="8"/>
      <c r="F419" s="3"/>
      <c r="G419" s="3"/>
    </row>
    <row r="420" ht="12.75" spans="1:7">
      <c r="A420" s="5"/>
      <c r="B420" s="8"/>
      <c r="C420" s="8"/>
      <c r="D420" s="8"/>
      <c r="E420" s="8"/>
      <c r="F420" s="3"/>
      <c r="G420" s="3"/>
    </row>
    <row r="421" ht="12.75" spans="1:7">
      <c r="A421" s="5"/>
      <c r="B421" s="8"/>
      <c r="C421" s="8"/>
      <c r="D421" s="8"/>
      <c r="E421" s="8"/>
      <c r="F421" s="3"/>
      <c r="G421" s="3"/>
    </row>
    <row r="422" ht="12.75" spans="1:7">
      <c r="A422" s="5"/>
      <c r="B422" s="8"/>
      <c r="C422" s="8"/>
      <c r="D422" s="8"/>
      <c r="E422" s="8"/>
      <c r="F422" s="3"/>
      <c r="G422" s="3"/>
    </row>
    <row r="423" ht="12.75" spans="1:7">
      <c r="A423" s="5"/>
      <c r="B423" s="8"/>
      <c r="C423" s="8"/>
      <c r="D423" s="8"/>
      <c r="E423" s="8"/>
      <c r="F423" s="3"/>
      <c r="G423" s="3"/>
    </row>
    <row r="424" ht="12.75" spans="1:7">
      <c r="A424" s="5"/>
      <c r="B424" s="8"/>
      <c r="C424" s="8"/>
      <c r="D424" s="8"/>
      <c r="E424" s="8"/>
      <c r="F424" s="3"/>
      <c r="G424" s="3"/>
    </row>
    <row r="425" ht="12.75" spans="1:7">
      <c r="A425" s="5"/>
      <c r="B425" s="8"/>
      <c r="C425" s="8"/>
      <c r="D425" s="8"/>
      <c r="E425" s="8"/>
      <c r="F425" s="3"/>
      <c r="G425" s="3"/>
    </row>
    <row r="426" ht="12.75" spans="1:7">
      <c r="A426" s="5"/>
      <c r="B426" s="8"/>
      <c r="C426" s="8"/>
      <c r="D426" s="8"/>
      <c r="E426" s="8"/>
      <c r="F426" s="3"/>
      <c r="G426" s="3"/>
    </row>
    <row r="427" ht="12.75" spans="1:7">
      <c r="A427" s="5"/>
      <c r="B427" s="8"/>
      <c r="C427" s="8"/>
      <c r="D427" s="8"/>
      <c r="E427" s="8"/>
      <c r="F427" s="3"/>
      <c r="G427" s="3"/>
    </row>
    <row r="428" ht="12.75" spans="1:7">
      <c r="A428" s="5"/>
      <c r="B428" s="8"/>
      <c r="C428" s="8"/>
      <c r="D428" s="8"/>
      <c r="E428" s="8"/>
      <c r="F428" s="3"/>
      <c r="G428" s="3"/>
    </row>
    <row r="429" ht="12.75" spans="1:7">
      <c r="A429" s="5"/>
      <c r="B429" s="8"/>
      <c r="C429" s="8"/>
      <c r="D429" s="8"/>
      <c r="E429" s="8"/>
      <c r="F429" s="3"/>
      <c r="G429" s="3"/>
    </row>
    <row r="430" ht="12.75" spans="1:7">
      <c r="A430" s="5"/>
      <c r="B430" s="8"/>
      <c r="C430" s="8"/>
      <c r="D430" s="8"/>
      <c r="E430" s="8"/>
      <c r="F430" s="3"/>
      <c r="G430" s="3"/>
    </row>
    <row r="431" ht="12.75" spans="1:7">
      <c r="A431" s="5"/>
      <c r="B431" s="8"/>
      <c r="C431" s="8"/>
      <c r="D431" s="8"/>
      <c r="E431" s="8"/>
      <c r="F431" s="3"/>
      <c r="G431" s="3"/>
    </row>
    <row r="432" ht="12.75" spans="1:7">
      <c r="A432" s="5"/>
      <c r="B432" s="8"/>
      <c r="C432" s="8"/>
      <c r="D432" s="8"/>
      <c r="E432" s="8"/>
      <c r="F432" s="3"/>
      <c r="G432" s="3"/>
    </row>
    <row r="433" ht="12.75" spans="1:7">
      <c r="A433" s="5"/>
      <c r="B433" s="8"/>
      <c r="C433" s="8"/>
      <c r="D433" s="8"/>
      <c r="E433" s="8"/>
      <c r="F433" s="3"/>
      <c r="G433" s="3"/>
    </row>
    <row r="434" ht="12.75" spans="1:7">
      <c r="A434" s="5"/>
      <c r="B434" s="8"/>
      <c r="C434" s="8"/>
      <c r="D434" s="8"/>
      <c r="E434" s="8"/>
      <c r="F434" s="3"/>
      <c r="G434" s="3"/>
    </row>
    <row r="435" ht="12.75" spans="1:7">
      <c r="A435" s="5"/>
      <c r="B435" s="8"/>
      <c r="C435" s="8"/>
      <c r="D435" s="8"/>
      <c r="E435" s="8"/>
      <c r="F435" s="3"/>
      <c r="G435" s="3"/>
    </row>
    <row r="436" ht="12.75" spans="1:7">
      <c r="A436" s="5"/>
      <c r="B436" s="8"/>
      <c r="C436" s="8"/>
      <c r="D436" s="8"/>
      <c r="E436" s="8"/>
      <c r="F436" s="3"/>
      <c r="G436" s="3"/>
    </row>
    <row r="437" ht="12.75" spans="1:7">
      <c r="A437" s="5"/>
      <c r="B437" s="8"/>
      <c r="C437" s="8"/>
      <c r="D437" s="8"/>
      <c r="E437" s="8"/>
      <c r="F437" s="3"/>
      <c r="G437" s="3"/>
    </row>
    <row r="438" ht="12.75" spans="1:7">
      <c r="A438" s="5"/>
      <c r="B438" s="8"/>
      <c r="C438" s="8"/>
      <c r="D438" s="8"/>
      <c r="E438" s="8"/>
      <c r="F438" s="3"/>
      <c r="G438" s="3"/>
    </row>
    <row r="439" ht="12.75" spans="1:7">
      <c r="A439" s="5"/>
      <c r="B439" s="8"/>
      <c r="C439" s="8"/>
      <c r="D439" s="8"/>
      <c r="E439" s="8"/>
      <c r="F439" s="3"/>
      <c r="G439" s="3"/>
    </row>
    <row r="440" ht="12.75" spans="1:7">
      <c r="A440" s="5"/>
      <c r="B440" s="8"/>
      <c r="C440" s="8"/>
      <c r="D440" s="8"/>
      <c r="E440" s="8"/>
      <c r="F440" s="3"/>
      <c r="G440" s="3"/>
    </row>
    <row r="441" ht="12.75" spans="1:7">
      <c r="A441" s="5"/>
      <c r="B441" s="8"/>
      <c r="C441" s="8"/>
      <c r="D441" s="8"/>
      <c r="E441" s="8"/>
      <c r="F441" s="3"/>
      <c r="G441" s="3"/>
    </row>
    <row r="442" ht="12.75" spans="1:7">
      <c r="A442" s="5"/>
      <c r="B442" s="8"/>
      <c r="C442" s="8"/>
      <c r="D442" s="8"/>
      <c r="E442" s="8"/>
      <c r="F442" s="3"/>
      <c r="G442" s="3"/>
    </row>
    <row r="443" ht="12.75" spans="1:7">
      <c r="A443" s="5"/>
      <c r="B443" s="8"/>
      <c r="C443" s="8"/>
      <c r="D443" s="8"/>
      <c r="E443" s="8"/>
      <c r="F443" s="3"/>
      <c r="G443" s="3"/>
    </row>
    <row r="444" ht="12.75" spans="1:7">
      <c r="A444" s="5"/>
      <c r="B444" s="8"/>
      <c r="C444" s="8"/>
      <c r="D444" s="8"/>
      <c r="E444" s="8"/>
      <c r="F444" s="3"/>
      <c r="G444" s="3"/>
    </row>
    <row r="445" ht="12.75" spans="1:7">
      <c r="A445" s="5"/>
      <c r="B445" s="8"/>
      <c r="C445" s="8"/>
      <c r="D445" s="8"/>
      <c r="E445" s="8"/>
      <c r="F445" s="3"/>
      <c r="G445" s="3"/>
    </row>
    <row r="446" ht="12.75" spans="1:7">
      <c r="A446" s="5"/>
      <c r="B446" s="8"/>
      <c r="C446" s="8"/>
      <c r="D446" s="8"/>
      <c r="E446" s="8"/>
      <c r="F446" s="3"/>
      <c r="G446" s="3"/>
    </row>
    <row r="447" ht="12.75" spans="1:7">
      <c r="A447" s="5"/>
      <c r="B447" s="8"/>
      <c r="C447" s="8"/>
      <c r="D447" s="8"/>
      <c r="E447" s="8"/>
      <c r="F447" s="3"/>
      <c r="G447" s="3"/>
    </row>
    <row r="448" ht="12.75" spans="1:7">
      <c r="A448" s="5"/>
      <c r="B448" s="8"/>
      <c r="C448" s="8"/>
      <c r="D448" s="8"/>
      <c r="E448" s="8"/>
      <c r="F448" s="3"/>
      <c r="G448" s="3"/>
    </row>
    <row r="449" ht="12.75" spans="1:7">
      <c r="A449" s="5"/>
      <c r="B449" s="8"/>
      <c r="C449" s="8"/>
      <c r="D449" s="8"/>
      <c r="E449" s="8"/>
      <c r="F449" s="3"/>
      <c r="G449" s="3"/>
    </row>
    <row r="450" ht="12.75" spans="1:7">
      <c r="A450" s="5"/>
      <c r="B450" s="8"/>
      <c r="C450" s="8"/>
      <c r="D450" s="8"/>
      <c r="E450" s="8"/>
      <c r="F450" s="3"/>
      <c r="G450" s="3"/>
    </row>
    <row r="451" ht="12.75" spans="1:7">
      <c r="A451" s="5"/>
      <c r="B451" s="8"/>
      <c r="C451" s="8"/>
      <c r="D451" s="8"/>
      <c r="E451" s="8"/>
      <c r="F451" s="3"/>
      <c r="G451" s="3"/>
    </row>
    <row r="452" ht="12.75" spans="1:7">
      <c r="A452" s="5"/>
      <c r="B452" s="8"/>
      <c r="C452" s="8"/>
      <c r="D452" s="8"/>
      <c r="E452" s="8"/>
      <c r="F452" s="3"/>
      <c r="G452" s="3"/>
    </row>
    <row r="453" ht="12.75" spans="1:7">
      <c r="A453" s="5"/>
      <c r="B453" s="8"/>
      <c r="C453" s="8"/>
      <c r="D453" s="8"/>
      <c r="E453" s="8"/>
      <c r="F453" s="3"/>
      <c r="G453" s="3"/>
    </row>
    <row r="454" ht="12.75" spans="1:7">
      <c r="A454" s="5"/>
      <c r="B454" s="8"/>
      <c r="C454" s="8"/>
      <c r="D454" s="8"/>
      <c r="E454" s="8"/>
      <c r="F454" s="3"/>
      <c r="G454" s="3"/>
    </row>
    <row r="455" ht="12.75" spans="1:7">
      <c r="A455" s="5"/>
      <c r="B455" s="8"/>
      <c r="C455" s="8"/>
      <c r="D455" s="8"/>
      <c r="E455" s="8"/>
      <c r="F455" s="3"/>
      <c r="G455" s="3"/>
    </row>
    <row r="456" ht="12.75" spans="1:7">
      <c r="A456" s="5"/>
      <c r="B456" s="8"/>
      <c r="C456" s="8"/>
      <c r="D456" s="8"/>
      <c r="E456" s="8"/>
      <c r="F456" s="3"/>
      <c r="G456" s="3"/>
    </row>
    <row r="457" ht="12.75" spans="1:7">
      <c r="A457" s="5"/>
      <c r="B457" s="8"/>
      <c r="C457" s="8"/>
      <c r="D457" s="8"/>
      <c r="E457" s="8"/>
      <c r="F457" s="3"/>
      <c r="G457" s="3"/>
    </row>
    <row r="458" ht="12.75" spans="1:7">
      <c r="A458" s="5"/>
      <c r="B458" s="8"/>
      <c r="C458" s="8"/>
      <c r="D458" s="8"/>
      <c r="E458" s="8"/>
      <c r="F458" s="3"/>
      <c r="G458" s="3"/>
    </row>
    <row r="459" ht="12.75" spans="1:7">
      <c r="A459" s="5"/>
      <c r="B459" s="8"/>
      <c r="C459" s="8"/>
      <c r="D459" s="8"/>
      <c r="E459" s="8"/>
      <c r="F459" s="3"/>
      <c r="G459" s="3"/>
    </row>
    <row r="460" ht="12.75" spans="1:7">
      <c r="A460" s="5"/>
      <c r="B460" s="8"/>
      <c r="C460" s="8"/>
      <c r="D460" s="8"/>
      <c r="E460" s="8"/>
      <c r="F460" s="3"/>
      <c r="G460" s="3"/>
    </row>
    <row r="461" ht="12.75" spans="1:7">
      <c r="A461" s="5"/>
      <c r="B461" s="8"/>
      <c r="C461" s="8"/>
      <c r="D461" s="8"/>
      <c r="E461" s="8"/>
      <c r="F461" s="3"/>
      <c r="G461" s="3"/>
    </row>
    <row r="462" ht="12.75" spans="1:7">
      <c r="A462" s="5"/>
      <c r="B462" s="8"/>
      <c r="C462" s="8"/>
      <c r="D462" s="8"/>
      <c r="E462" s="8"/>
      <c r="F462" s="3"/>
      <c r="G462" s="3"/>
    </row>
    <row r="463" ht="12.75" spans="1:7">
      <c r="A463" s="5"/>
      <c r="B463" s="8"/>
      <c r="C463" s="8"/>
      <c r="D463" s="8"/>
      <c r="E463" s="8"/>
      <c r="F463" s="3"/>
      <c r="G463" s="3"/>
    </row>
    <row r="464" ht="12.75" spans="1:7">
      <c r="A464" s="5"/>
      <c r="B464" s="8"/>
      <c r="C464" s="8"/>
      <c r="D464" s="8"/>
      <c r="E464" s="8"/>
      <c r="F464" s="3"/>
      <c r="G464" s="3"/>
    </row>
    <row r="465" ht="12.75" spans="1:7">
      <c r="A465" s="5"/>
      <c r="B465" s="8"/>
      <c r="C465" s="8"/>
      <c r="D465" s="8"/>
      <c r="E465" s="8"/>
      <c r="F465" s="3"/>
      <c r="G465" s="3"/>
    </row>
    <row r="466" ht="12.75" spans="1:7">
      <c r="A466" s="5"/>
      <c r="B466" s="8"/>
      <c r="C466" s="8"/>
      <c r="D466" s="8"/>
      <c r="E466" s="8"/>
      <c r="F466" s="3"/>
      <c r="G466" s="3"/>
    </row>
    <row r="467" ht="12.75" spans="1:7">
      <c r="A467" s="5"/>
      <c r="B467" s="8"/>
      <c r="C467" s="8"/>
      <c r="D467" s="8"/>
      <c r="E467" s="8"/>
      <c r="F467" s="3"/>
      <c r="G467" s="3"/>
    </row>
    <row r="468" ht="12.75" spans="1:7">
      <c r="A468" s="5"/>
      <c r="B468" s="8"/>
      <c r="C468" s="8"/>
      <c r="D468" s="8"/>
      <c r="E468" s="8"/>
      <c r="F468" s="3"/>
      <c r="G468" s="3"/>
    </row>
    <row r="469" ht="12.75" spans="1:7">
      <c r="A469" s="5"/>
      <c r="B469" s="8"/>
      <c r="C469" s="8"/>
      <c r="D469" s="8"/>
      <c r="E469" s="8"/>
      <c r="F469" s="3"/>
      <c r="G469" s="3"/>
    </row>
    <row r="470" ht="12.75" spans="1:7">
      <c r="A470" s="5"/>
      <c r="B470" s="8"/>
      <c r="C470" s="8"/>
      <c r="D470" s="8"/>
      <c r="E470" s="8"/>
      <c r="F470" s="3"/>
      <c r="G470" s="3"/>
    </row>
    <row r="471" ht="12.75" spans="1:7">
      <c r="A471" s="5"/>
      <c r="B471" s="8"/>
      <c r="C471" s="8"/>
      <c r="D471" s="8"/>
      <c r="E471" s="8"/>
      <c r="F471" s="3"/>
      <c r="G471" s="3"/>
    </row>
    <row r="472" ht="12.75" spans="1:7">
      <c r="A472" s="5"/>
      <c r="B472" s="8"/>
      <c r="C472" s="8"/>
      <c r="D472" s="8"/>
      <c r="E472" s="8"/>
      <c r="F472" s="3"/>
      <c r="G472" s="3"/>
    </row>
    <row r="473" ht="12.75" spans="1:7">
      <c r="A473" s="5"/>
      <c r="B473" s="8"/>
      <c r="C473" s="8"/>
      <c r="D473" s="8"/>
      <c r="E473" s="8"/>
      <c r="F473" s="3"/>
      <c r="G473" s="3"/>
    </row>
    <row r="474" ht="12.75" spans="1:7">
      <c r="A474" s="5"/>
      <c r="B474" s="8"/>
      <c r="C474" s="8"/>
      <c r="D474" s="8"/>
      <c r="E474" s="8"/>
      <c r="F474" s="3"/>
      <c r="G474" s="3"/>
    </row>
    <row r="475" ht="12.75" spans="1:7">
      <c r="A475" s="5"/>
      <c r="B475" s="8"/>
      <c r="C475" s="8"/>
      <c r="D475" s="8"/>
      <c r="E475" s="8"/>
      <c r="F475" s="3"/>
      <c r="G475" s="3"/>
    </row>
    <row r="476" ht="12.75" spans="1:7">
      <c r="A476" s="5"/>
      <c r="B476" s="8"/>
      <c r="C476" s="8"/>
      <c r="D476" s="8"/>
      <c r="E476" s="8"/>
      <c r="F476" s="3"/>
      <c r="G476" s="3"/>
    </row>
    <row r="477" ht="12.75" spans="1:7">
      <c r="A477" s="5"/>
      <c r="B477" s="8"/>
      <c r="C477" s="8"/>
      <c r="D477" s="8"/>
      <c r="E477" s="8"/>
      <c r="F477" s="3"/>
      <c r="G477" s="3"/>
    </row>
    <row r="478" ht="12.75" spans="1:7">
      <c r="A478" s="5"/>
      <c r="B478" s="8"/>
      <c r="C478" s="8"/>
      <c r="D478" s="8"/>
      <c r="E478" s="8"/>
      <c r="F478" s="3"/>
      <c r="G478" s="3"/>
    </row>
    <row r="479" ht="12.75" spans="1:7">
      <c r="A479" s="5"/>
      <c r="B479" s="8"/>
      <c r="C479" s="8"/>
      <c r="D479" s="8"/>
      <c r="E479" s="8"/>
      <c r="F479" s="3"/>
      <c r="G479" s="3"/>
    </row>
    <row r="480" ht="12.75" spans="1:7">
      <c r="A480" s="5"/>
      <c r="B480" s="8"/>
      <c r="C480" s="8"/>
      <c r="D480" s="8"/>
      <c r="E480" s="8"/>
      <c r="F480" s="3"/>
      <c r="G480" s="3"/>
    </row>
    <row r="481" ht="12.75" spans="1:7">
      <c r="A481" s="5"/>
      <c r="B481" s="8"/>
      <c r="C481" s="8"/>
      <c r="D481" s="8"/>
      <c r="E481" s="8"/>
      <c r="F481" s="3"/>
      <c r="G481" s="3"/>
    </row>
    <row r="482" ht="12.75" spans="1:7">
      <c r="A482" s="5"/>
      <c r="B482" s="8"/>
      <c r="C482" s="8"/>
      <c r="D482" s="8"/>
      <c r="E482" s="8"/>
      <c r="F482" s="3"/>
      <c r="G482" s="3"/>
    </row>
    <row r="483" ht="12.75" spans="1:7">
      <c r="A483" s="5"/>
      <c r="B483" s="8"/>
      <c r="C483" s="8"/>
      <c r="D483" s="8"/>
      <c r="E483" s="8"/>
      <c r="F483" s="3"/>
      <c r="G483" s="3"/>
    </row>
    <row r="484" ht="12.75" spans="1:7">
      <c r="A484" s="5"/>
      <c r="B484" s="8"/>
      <c r="C484" s="8"/>
      <c r="D484" s="8"/>
      <c r="E484" s="8"/>
      <c r="F484" s="3"/>
      <c r="G484" s="3"/>
    </row>
    <row r="485" ht="12.75" spans="1:7">
      <c r="A485" s="5"/>
      <c r="B485" s="8"/>
      <c r="C485" s="8"/>
      <c r="D485" s="8"/>
      <c r="E485" s="8"/>
      <c r="F485" s="3"/>
      <c r="G485" s="3"/>
    </row>
    <row r="486" ht="12.75" spans="1:7">
      <c r="A486" s="5"/>
      <c r="B486" s="8"/>
      <c r="C486" s="8"/>
      <c r="D486" s="8"/>
      <c r="E486" s="8"/>
      <c r="F486" s="3"/>
      <c r="G486" s="3"/>
    </row>
    <row r="487" ht="12.75" spans="1:7">
      <c r="A487" s="5"/>
      <c r="B487" s="8"/>
      <c r="C487" s="8"/>
      <c r="D487" s="8"/>
      <c r="E487" s="8"/>
      <c r="F487" s="3"/>
      <c r="G487" s="3"/>
    </row>
    <row r="488" ht="12.75" spans="1:7">
      <c r="A488" s="5"/>
      <c r="B488" s="8"/>
      <c r="C488" s="8"/>
      <c r="D488" s="8"/>
      <c r="E488" s="8"/>
      <c r="F488" s="3"/>
      <c r="G488" s="3"/>
    </row>
    <row r="489" ht="12.75" spans="1:7">
      <c r="A489" s="5"/>
      <c r="B489" s="8"/>
      <c r="C489" s="8"/>
      <c r="D489" s="8"/>
      <c r="E489" s="8"/>
      <c r="F489" s="3"/>
      <c r="G489" s="3"/>
    </row>
    <row r="490" ht="12.75" spans="1:7">
      <c r="A490" s="5"/>
      <c r="B490" s="8"/>
      <c r="C490" s="8"/>
      <c r="D490" s="8"/>
      <c r="E490" s="8"/>
      <c r="F490" s="3"/>
      <c r="G490" s="3"/>
    </row>
    <row r="491" ht="12.75" spans="1:7">
      <c r="A491" s="5"/>
      <c r="B491" s="8"/>
      <c r="C491" s="8"/>
      <c r="D491" s="8"/>
      <c r="E491" s="8"/>
      <c r="F491" s="3"/>
      <c r="G491" s="3"/>
    </row>
    <row r="492" ht="12.75" spans="1:7">
      <c r="A492" s="5"/>
      <c r="B492" s="8"/>
      <c r="C492" s="8"/>
      <c r="D492" s="8"/>
      <c r="E492" s="8"/>
      <c r="F492" s="3"/>
      <c r="G492" s="3"/>
    </row>
    <row r="493" ht="12.75" spans="1:7">
      <c r="A493" s="5"/>
      <c r="B493" s="8"/>
      <c r="C493" s="8"/>
      <c r="D493" s="8"/>
      <c r="E493" s="8"/>
      <c r="F493" s="3"/>
      <c r="G493" s="3"/>
    </row>
    <row r="494" ht="12.75" spans="1:7">
      <c r="A494" s="5"/>
      <c r="B494" s="8"/>
      <c r="C494" s="8"/>
      <c r="D494" s="8"/>
      <c r="E494" s="8"/>
      <c r="F494" s="3"/>
      <c r="G494" s="3"/>
    </row>
    <row r="495" ht="12.75" spans="1:7">
      <c r="A495" s="5"/>
      <c r="B495" s="8"/>
      <c r="C495" s="8"/>
      <c r="D495" s="8"/>
      <c r="E495" s="8"/>
      <c r="F495" s="3"/>
      <c r="G495" s="3"/>
    </row>
    <row r="496" ht="12.75" spans="1:7">
      <c r="A496" s="5"/>
      <c r="B496" s="8"/>
      <c r="C496" s="8"/>
      <c r="D496" s="8"/>
      <c r="E496" s="8"/>
      <c r="F496" s="3"/>
      <c r="G496" s="3"/>
    </row>
    <row r="497" ht="12.75" spans="1:7">
      <c r="A497" s="5"/>
      <c r="B497" s="8"/>
      <c r="C497" s="8"/>
      <c r="D497" s="8"/>
      <c r="E497" s="8"/>
      <c r="F497" s="3"/>
      <c r="G497" s="3"/>
    </row>
    <row r="498" ht="12.75" spans="1:7">
      <c r="A498" s="5"/>
      <c r="B498" s="8"/>
      <c r="C498" s="8"/>
      <c r="D498" s="8"/>
      <c r="E498" s="8"/>
      <c r="F498" s="3"/>
      <c r="G498" s="3"/>
    </row>
    <row r="499" ht="12.75" spans="1:7">
      <c r="A499" s="5"/>
      <c r="B499" s="8"/>
      <c r="C499" s="8"/>
      <c r="D499" s="8"/>
      <c r="E499" s="8"/>
      <c r="F499" s="3"/>
      <c r="G499" s="3"/>
    </row>
    <row r="500" ht="12.75" spans="1:7">
      <c r="A500" s="5"/>
      <c r="B500" s="8"/>
      <c r="C500" s="8"/>
      <c r="D500" s="8"/>
      <c r="E500" s="8"/>
      <c r="F500" s="3"/>
      <c r="G500" s="3"/>
    </row>
    <row r="501" ht="12.75" spans="1:7">
      <c r="A501" s="5"/>
      <c r="B501" s="8"/>
      <c r="C501" s="8"/>
      <c r="D501" s="8"/>
      <c r="E501" s="8"/>
      <c r="F501" s="3"/>
      <c r="G501" s="3"/>
    </row>
    <row r="502" ht="12.75" spans="1:7">
      <c r="A502" s="5"/>
      <c r="B502" s="8"/>
      <c r="C502" s="8"/>
      <c r="D502" s="8"/>
      <c r="E502" s="8"/>
      <c r="F502" s="3"/>
      <c r="G502" s="3"/>
    </row>
    <row r="503" ht="12.75" spans="1:7">
      <c r="A503" s="5"/>
      <c r="B503" s="8"/>
      <c r="C503" s="8"/>
      <c r="D503" s="8"/>
      <c r="E503" s="8"/>
      <c r="F503" s="3"/>
      <c r="G503" s="3"/>
    </row>
    <row r="504" ht="12.75" spans="1:7">
      <c r="A504" s="5"/>
      <c r="B504" s="8"/>
      <c r="C504" s="8"/>
      <c r="D504" s="8"/>
      <c r="E504" s="8"/>
      <c r="F504" s="3"/>
      <c r="G504" s="3"/>
    </row>
    <row r="505" ht="12.75" spans="1:7">
      <c r="A505" s="5"/>
      <c r="B505" s="8"/>
      <c r="C505" s="8"/>
      <c r="D505" s="8"/>
      <c r="E505" s="8"/>
      <c r="F505" s="3"/>
      <c r="G505" s="3"/>
    </row>
    <row r="506" ht="12.75" spans="1:7">
      <c r="A506" s="5"/>
      <c r="B506" s="8"/>
      <c r="C506" s="8"/>
      <c r="D506" s="8"/>
      <c r="E506" s="8"/>
      <c r="F506" s="3"/>
      <c r="G506" s="3"/>
    </row>
    <row r="507" ht="12.75" spans="1:7">
      <c r="A507" s="5"/>
      <c r="B507" s="8"/>
      <c r="C507" s="8"/>
      <c r="D507" s="8"/>
      <c r="E507" s="8"/>
      <c r="F507" s="3"/>
      <c r="G507" s="3"/>
    </row>
    <row r="508" ht="12.75" spans="1:7">
      <c r="A508" s="5"/>
      <c r="B508" s="8"/>
      <c r="C508" s="8"/>
      <c r="D508" s="8"/>
      <c r="E508" s="8"/>
      <c r="F508" s="3"/>
      <c r="G508" s="3"/>
    </row>
    <row r="509" ht="12.75" spans="1:7">
      <c r="A509" s="5"/>
      <c r="B509" s="8"/>
      <c r="C509" s="8"/>
      <c r="D509" s="8"/>
      <c r="E509" s="8"/>
      <c r="F509" s="3"/>
      <c r="G509" s="3"/>
    </row>
    <row r="510" ht="12.75" spans="1:7">
      <c r="A510" s="5"/>
      <c r="B510" s="8"/>
      <c r="C510" s="8"/>
      <c r="D510" s="8"/>
      <c r="E510" s="8"/>
      <c r="F510" s="3"/>
      <c r="G510" s="3"/>
    </row>
    <row r="511" ht="12.75" spans="1:7">
      <c r="A511" s="5"/>
      <c r="B511" s="8"/>
      <c r="C511" s="8"/>
      <c r="D511" s="8"/>
      <c r="E511" s="8"/>
      <c r="F511" s="3"/>
      <c r="G511" s="3"/>
    </row>
    <row r="512" ht="12.75" spans="1:7">
      <c r="A512" s="5"/>
      <c r="B512" s="8"/>
      <c r="C512" s="8"/>
      <c r="D512" s="8"/>
      <c r="E512" s="8"/>
      <c r="F512" s="3"/>
      <c r="G512" s="3"/>
    </row>
    <row r="513" ht="12.75" spans="1:7">
      <c r="A513" s="5"/>
      <c r="B513" s="8"/>
      <c r="C513" s="8"/>
      <c r="D513" s="8"/>
      <c r="E513" s="8"/>
      <c r="F513" s="3"/>
      <c r="G513" s="3"/>
    </row>
    <row r="514" ht="12.75" spans="1:7">
      <c r="A514" s="5"/>
      <c r="B514" s="8"/>
      <c r="C514" s="8"/>
      <c r="D514" s="8"/>
      <c r="E514" s="8"/>
      <c r="F514" s="3"/>
      <c r="G514" s="3"/>
    </row>
    <row r="515" ht="12.75" spans="1:7">
      <c r="A515" s="5"/>
      <c r="B515" s="8"/>
      <c r="C515" s="8"/>
      <c r="D515" s="8"/>
      <c r="E515" s="8"/>
      <c r="F515" s="3"/>
      <c r="G515" s="3"/>
    </row>
    <row r="516" ht="12.75" spans="1:7">
      <c r="A516" s="5"/>
      <c r="B516" s="8"/>
      <c r="C516" s="8"/>
      <c r="D516" s="8"/>
      <c r="E516" s="8"/>
      <c r="F516" s="3"/>
      <c r="G516" s="3"/>
    </row>
    <row r="517" ht="12.75" spans="1:7">
      <c r="A517" s="5"/>
      <c r="B517" s="8"/>
      <c r="C517" s="8"/>
      <c r="D517" s="8"/>
      <c r="E517" s="8"/>
      <c r="F517" s="3"/>
      <c r="G517" s="3"/>
    </row>
    <row r="518" ht="12.75" spans="1:7">
      <c r="A518" s="5"/>
      <c r="B518" s="8"/>
      <c r="C518" s="8"/>
      <c r="D518" s="8"/>
      <c r="E518" s="8"/>
      <c r="F518" s="3"/>
      <c r="G518" s="3"/>
    </row>
    <row r="519" ht="12.75" spans="1:7">
      <c r="A519" s="5"/>
      <c r="B519" s="8"/>
      <c r="C519" s="8"/>
      <c r="D519" s="8"/>
      <c r="E519" s="8"/>
      <c r="F519" s="3"/>
      <c r="G519" s="3"/>
    </row>
    <row r="520" ht="12.75" spans="1:7">
      <c r="A520" s="5"/>
      <c r="B520" s="8"/>
      <c r="C520" s="8"/>
      <c r="D520" s="8"/>
      <c r="E520" s="8"/>
      <c r="F520" s="3"/>
      <c r="G520" s="3"/>
    </row>
    <row r="521" ht="12.75" spans="1:7">
      <c r="A521" s="5"/>
      <c r="B521" s="8"/>
      <c r="C521" s="8"/>
      <c r="D521" s="8"/>
      <c r="E521" s="8"/>
      <c r="F521" s="3"/>
      <c r="G521" s="3"/>
    </row>
    <row r="522" ht="12.75" spans="1:7">
      <c r="A522" s="5"/>
      <c r="B522" s="8"/>
      <c r="C522" s="8"/>
      <c r="D522" s="8"/>
      <c r="E522" s="8"/>
      <c r="F522" s="3"/>
      <c r="G522" s="3"/>
    </row>
    <row r="523" ht="12.75" spans="1:7">
      <c r="A523" s="5"/>
      <c r="B523" s="8"/>
      <c r="C523" s="8"/>
      <c r="D523" s="8"/>
      <c r="E523" s="8"/>
      <c r="F523" s="3"/>
      <c r="G523" s="3"/>
    </row>
    <row r="524" ht="12.75" spans="1:7">
      <c r="A524" s="5"/>
      <c r="B524" s="8"/>
      <c r="C524" s="8"/>
      <c r="D524" s="8"/>
      <c r="E524" s="8"/>
      <c r="F524" s="3"/>
      <c r="G524" s="3"/>
    </row>
    <row r="525" ht="12.75" spans="1:7">
      <c r="A525" s="5"/>
      <c r="B525" s="8"/>
      <c r="C525" s="8"/>
      <c r="D525" s="8"/>
      <c r="E525" s="8"/>
      <c r="F525" s="3"/>
      <c r="G525" s="3"/>
    </row>
    <row r="526" ht="12.75" spans="1:7">
      <c r="A526" s="5"/>
      <c r="B526" s="8"/>
      <c r="C526" s="8"/>
      <c r="D526" s="8"/>
      <c r="E526" s="8"/>
      <c r="F526" s="3"/>
      <c r="G526" s="3"/>
    </row>
    <row r="527" ht="12.75" spans="1:7">
      <c r="A527" s="5"/>
      <c r="B527" s="8"/>
      <c r="C527" s="8"/>
      <c r="D527" s="8"/>
      <c r="E527" s="8"/>
      <c r="F527" s="3"/>
      <c r="G527" s="3"/>
    </row>
    <row r="528" ht="12.75" spans="1:7">
      <c r="A528" s="5"/>
      <c r="B528" s="8"/>
      <c r="C528" s="8"/>
      <c r="D528" s="8"/>
      <c r="E528" s="8"/>
      <c r="F528" s="3"/>
      <c r="G528" s="3"/>
    </row>
    <row r="529" ht="12.75" spans="1:7">
      <c r="A529" s="5"/>
      <c r="B529" s="8"/>
      <c r="C529" s="8"/>
      <c r="D529" s="8"/>
      <c r="E529" s="8"/>
      <c r="F529" s="3"/>
      <c r="G529" s="3"/>
    </row>
    <row r="530" ht="12.75" spans="1:7">
      <c r="A530" s="5"/>
      <c r="B530" s="8"/>
      <c r="C530" s="8"/>
      <c r="D530" s="8"/>
      <c r="E530" s="8"/>
      <c r="F530" s="3"/>
      <c r="G530" s="3"/>
    </row>
    <row r="531" ht="12.75" spans="1:7">
      <c r="A531" s="5"/>
      <c r="B531" s="8"/>
      <c r="C531" s="8"/>
      <c r="D531" s="8"/>
      <c r="E531" s="8"/>
      <c r="F531" s="3"/>
      <c r="G531" s="3"/>
    </row>
    <row r="532" ht="12.75" spans="1:7">
      <c r="A532" s="5"/>
      <c r="B532" s="8"/>
      <c r="C532" s="8"/>
      <c r="D532" s="8"/>
      <c r="E532" s="8"/>
      <c r="F532" s="3"/>
      <c r="G532" s="3"/>
    </row>
    <row r="533" ht="12.75" spans="1:7">
      <c r="A533" s="5"/>
      <c r="B533" s="8"/>
      <c r="C533" s="8"/>
      <c r="D533" s="8"/>
      <c r="E533" s="8"/>
      <c r="F533" s="3"/>
      <c r="G533" s="3"/>
    </row>
    <row r="534" ht="12.75" spans="1:7">
      <c r="A534" s="5"/>
      <c r="B534" s="8"/>
      <c r="C534" s="8"/>
      <c r="D534" s="8"/>
      <c r="E534" s="8"/>
      <c r="F534" s="3"/>
      <c r="G534" s="3"/>
    </row>
    <row r="535" ht="12.75" spans="1:7">
      <c r="A535" s="5"/>
      <c r="B535" s="8"/>
      <c r="C535" s="8"/>
      <c r="D535" s="8"/>
      <c r="E535" s="8"/>
      <c r="F535" s="3"/>
      <c r="G535" s="3"/>
    </row>
    <row r="536" ht="12.75" spans="1:7">
      <c r="A536" s="5"/>
      <c r="B536" s="8"/>
      <c r="C536" s="8"/>
      <c r="D536" s="8"/>
      <c r="E536" s="8"/>
      <c r="F536" s="3"/>
      <c r="G536" s="3"/>
    </row>
    <row r="537" ht="12.75" spans="1:7">
      <c r="A537" s="5"/>
      <c r="B537" s="8"/>
      <c r="C537" s="8"/>
      <c r="D537" s="8"/>
      <c r="E537" s="8"/>
      <c r="F537" s="3"/>
      <c r="G537" s="3"/>
    </row>
    <row r="538" ht="12.75" spans="1:7">
      <c r="A538" s="5"/>
      <c r="B538" s="8"/>
      <c r="C538" s="8"/>
      <c r="D538" s="8"/>
      <c r="E538" s="8"/>
      <c r="F538" s="3"/>
      <c r="G538" s="3"/>
    </row>
    <row r="539" ht="12.75" spans="1:7">
      <c r="A539" s="5"/>
      <c r="B539" s="8"/>
      <c r="C539" s="8"/>
      <c r="D539" s="8"/>
      <c r="E539" s="8"/>
      <c r="F539" s="3"/>
      <c r="G539" s="3"/>
    </row>
    <row r="540" ht="12.75" spans="1:7">
      <c r="A540" s="5"/>
      <c r="B540" s="8"/>
      <c r="C540" s="8"/>
      <c r="D540" s="8"/>
      <c r="E540" s="8"/>
      <c r="F540" s="3"/>
      <c r="G540" s="3"/>
    </row>
    <row r="541" ht="12.75" spans="1:7">
      <c r="A541" s="5"/>
      <c r="B541" s="8"/>
      <c r="C541" s="8"/>
      <c r="D541" s="8"/>
      <c r="E541" s="8"/>
      <c r="F541" s="3"/>
      <c r="G541" s="3"/>
    </row>
    <row r="542" ht="12.75" spans="1:7">
      <c r="A542" s="5"/>
      <c r="B542" s="8"/>
      <c r="C542" s="8"/>
      <c r="D542" s="8"/>
      <c r="E542" s="8"/>
      <c r="F542" s="3"/>
      <c r="G542" s="3"/>
    </row>
    <row r="543" ht="12.75" spans="1:7">
      <c r="A543" s="5"/>
      <c r="B543" s="8"/>
      <c r="C543" s="8"/>
      <c r="D543" s="8"/>
      <c r="E543" s="8"/>
      <c r="F543" s="3"/>
      <c r="G543" s="3"/>
    </row>
    <row r="544" ht="12.75" spans="1:7">
      <c r="A544" s="5"/>
      <c r="B544" s="8"/>
      <c r="C544" s="8"/>
      <c r="D544" s="8"/>
      <c r="E544" s="8"/>
      <c r="F544" s="3"/>
      <c r="G544" s="3"/>
    </row>
    <row r="545" ht="12.75" spans="1:7">
      <c r="A545" s="5"/>
      <c r="B545" s="8"/>
      <c r="C545" s="8"/>
      <c r="D545" s="8"/>
      <c r="E545" s="8"/>
      <c r="F545" s="3"/>
      <c r="G545" s="3"/>
    </row>
    <row r="546" ht="12.75" spans="1:7">
      <c r="A546" s="5"/>
      <c r="B546" s="8"/>
      <c r="C546" s="8"/>
      <c r="D546" s="8"/>
      <c r="E546" s="8"/>
      <c r="F546" s="3"/>
      <c r="G546" s="3"/>
    </row>
    <row r="547" ht="12.75" spans="1:7">
      <c r="A547" s="5"/>
      <c r="B547" s="8"/>
      <c r="C547" s="8"/>
      <c r="D547" s="8"/>
      <c r="E547" s="8"/>
      <c r="F547" s="3"/>
      <c r="G547" s="3"/>
    </row>
    <row r="548" ht="12.75" spans="1:7">
      <c r="A548" s="5"/>
      <c r="B548" s="8"/>
      <c r="C548" s="8"/>
      <c r="D548" s="8"/>
      <c r="E548" s="8"/>
      <c r="F548" s="3"/>
      <c r="G548" s="3"/>
    </row>
    <row r="549" ht="12.75" spans="1:7">
      <c r="A549" s="5"/>
      <c r="B549" s="8"/>
      <c r="C549" s="8"/>
      <c r="D549" s="8"/>
      <c r="E549" s="8"/>
      <c r="F549" s="3"/>
      <c r="G549" s="3"/>
    </row>
    <row r="550" ht="12.75" spans="1:7">
      <c r="A550" s="5"/>
      <c r="B550" s="8"/>
      <c r="C550" s="8"/>
      <c r="D550" s="8"/>
      <c r="E550" s="8"/>
      <c r="F550" s="3"/>
      <c r="G550" s="3"/>
    </row>
    <row r="551" ht="12.75" spans="1:7">
      <c r="A551" s="5"/>
      <c r="B551" s="8"/>
      <c r="C551" s="8"/>
      <c r="D551" s="8"/>
      <c r="E551" s="8"/>
      <c r="F551" s="3"/>
      <c r="G551" s="3"/>
    </row>
    <row r="552" ht="12.75" spans="1:7">
      <c r="A552" s="5"/>
      <c r="B552" s="8"/>
      <c r="C552" s="8"/>
      <c r="D552" s="8"/>
      <c r="E552" s="8"/>
      <c r="F552" s="3"/>
      <c r="G552" s="3"/>
    </row>
    <row r="553" ht="12.75" spans="1:7">
      <c r="A553" s="5"/>
      <c r="B553" s="8"/>
      <c r="C553" s="8"/>
      <c r="D553" s="8"/>
      <c r="E553" s="8"/>
      <c r="F553" s="3"/>
      <c r="G553" s="3"/>
    </row>
    <row r="554" ht="12.75" spans="1:7">
      <c r="A554" s="5"/>
      <c r="B554" s="8"/>
      <c r="C554" s="8"/>
      <c r="D554" s="8"/>
      <c r="E554" s="8"/>
      <c r="F554" s="3"/>
      <c r="G554" s="3"/>
    </row>
    <row r="555" ht="12.75" spans="1:7">
      <c r="A555" s="5"/>
      <c r="B555" s="8"/>
      <c r="C555" s="8"/>
      <c r="D555" s="8"/>
      <c r="E555" s="8"/>
      <c r="F555" s="3"/>
      <c r="G555" s="3"/>
    </row>
    <row r="556" ht="12.75" spans="1:7">
      <c r="A556" s="5"/>
      <c r="B556" s="8"/>
      <c r="C556" s="8"/>
      <c r="D556" s="8"/>
      <c r="E556" s="8"/>
      <c r="F556" s="3"/>
      <c r="G556" s="3"/>
    </row>
    <row r="557" ht="12.75" spans="1:7">
      <c r="A557" s="5"/>
      <c r="B557" s="8"/>
      <c r="C557" s="8"/>
      <c r="D557" s="8"/>
      <c r="E557" s="8"/>
      <c r="F557" s="3"/>
      <c r="G557" s="3"/>
    </row>
    <row r="558" ht="12.75" spans="1:7">
      <c r="A558" s="5"/>
      <c r="B558" s="8"/>
      <c r="C558" s="8"/>
      <c r="D558" s="8"/>
      <c r="E558" s="8"/>
      <c r="F558" s="3"/>
      <c r="G558" s="3"/>
    </row>
    <row r="559" ht="12.75" spans="1:7">
      <c r="A559" s="5"/>
      <c r="B559" s="8"/>
      <c r="C559" s="8"/>
      <c r="D559" s="8"/>
      <c r="E559" s="8"/>
      <c r="F559" s="3"/>
      <c r="G559" s="3"/>
    </row>
    <row r="560" ht="12.75" spans="1:7">
      <c r="A560" s="5"/>
      <c r="B560" s="8"/>
      <c r="C560" s="8"/>
      <c r="D560" s="8"/>
      <c r="E560" s="8"/>
      <c r="F560" s="3"/>
      <c r="G560" s="3"/>
    </row>
    <row r="561" ht="12.75" spans="1:7">
      <c r="A561" s="5"/>
      <c r="B561" s="8"/>
      <c r="C561" s="8"/>
      <c r="D561" s="8"/>
      <c r="E561" s="8"/>
      <c r="F561" s="3"/>
      <c r="G561" s="3"/>
    </row>
    <row r="562" ht="12.75" spans="1:7">
      <c r="A562" s="5"/>
      <c r="B562" s="8"/>
      <c r="C562" s="8"/>
      <c r="D562" s="8"/>
      <c r="E562" s="8"/>
      <c r="F562" s="3"/>
      <c r="G562" s="3"/>
    </row>
    <row r="563" ht="12.75" spans="1:7">
      <c r="A563" s="5"/>
      <c r="B563" s="8"/>
      <c r="C563" s="8"/>
      <c r="D563" s="8"/>
      <c r="E563" s="8"/>
      <c r="F563" s="3"/>
      <c r="G563" s="3"/>
    </row>
    <row r="564" ht="12.75" spans="1:7">
      <c r="A564" s="5"/>
      <c r="B564" s="8"/>
      <c r="C564" s="8"/>
      <c r="D564" s="8"/>
      <c r="E564" s="8"/>
      <c r="F564" s="3"/>
      <c r="G564" s="3"/>
    </row>
    <row r="565" ht="12.75" spans="1:7">
      <c r="A565" s="5"/>
      <c r="B565" s="8"/>
      <c r="C565" s="8"/>
      <c r="D565" s="8"/>
      <c r="E565" s="8"/>
      <c r="F565" s="3"/>
      <c r="G565" s="3"/>
    </row>
    <row r="566" ht="12.75" spans="1:7">
      <c r="A566" s="5"/>
      <c r="B566" s="8"/>
      <c r="C566" s="8"/>
      <c r="D566" s="8"/>
      <c r="E566" s="8"/>
      <c r="F566" s="3"/>
      <c r="G566" s="3"/>
    </row>
    <row r="567" ht="12.75" spans="1:7">
      <c r="A567" s="5"/>
      <c r="B567" s="8"/>
      <c r="C567" s="8"/>
      <c r="D567" s="8"/>
      <c r="E567" s="8"/>
      <c r="F567" s="3"/>
      <c r="G567" s="3"/>
    </row>
    <row r="568" ht="12.75" spans="1:7">
      <c r="A568" s="5"/>
      <c r="B568" s="8"/>
      <c r="C568" s="8"/>
      <c r="D568" s="8"/>
      <c r="E568" s="8"/>
      <c r="F568" s="3"/>
      <c r="G568" s="3"/>
    </row>
    <row r="569" ht="12.75" spans="1:7">
      <c r="A569" s="5"/>
      <c r="B569" s="8"/>
      <c r="C569" s="8"/>
      <c r="D569" s="8"/>
      <c r="E569" s="8"/>
      <c r="F569" s="3"/>
      <c r="G569" s="3"/>
    </row>
    <row r="570" ht="12.75" spans="1:7">
      <c r="A570" s="5"/>
      <c r="B570" s="8"/>
      <c r="C570" s="8"/>
      <c r="D570" s="8"/>
      <c r="E570" s="8"/>
      <c r="F570" s="3"/>
      <c r="G570" s="3"/>
    </row>
    <row r="571" ht="12.75" spans="1:7">
      <c r="A571" s="5"/>
      <c r="B571" s="8"/>
      <c r="C571" s="8"/>
      <c r="D571" s="8"/>
      <c r="E571" s="8"/>
      <c r="F571" s="3"/>
      <c r="G571" s="3"/>
    </row>
    <row r="572" ht="12.75" spans="1:7">
      <c r="A572" s="5"/>
      <c r="B572" s="8"/>
      <c r="C572" s="8"/>
      <c r="D572" s="8"/>
      <c r="E572" s="8"/>
      <c r="F572" s="3"/>
      <c r="G572" s="3"/>
    </row>
    <row r="573" ht="12.75" spans="1:7">
      <c r="A573" s="5"/>
      <c r="B573" s="8"/>
      <c r="C573" s="8"/>
      <c r="D573" s="8"/>
      <c r="E573" s="8"/>
      <c r="F573" s="3"/>
      <c r="G573" s="3"/>
    </row>
    <row r="574" ht="12.75" spans="1:7">
      <c r="A574" s="5"/>
      <c r="B574" s="8"/>
      <c r="C574" s="8"/>
      <c r="D574" s="8"/>
      <c r="E574" s="8"/>
      <c r="F574" s="3"/>
      <c r="G574" s="3"/>
    </row>
    <row r="575" ht="12.75" spans="1:7">
      <c r="A575" s="5"/>
      <c r="B575" s="8"/>
      <c r="C575" s="8"/>
      <c r="D575" s="8"/>
      <c r="E575" s="8"/>
      <c r="F575" s="3"/>
      <c r="G575" s="3"/>
    </row>
    <row r="576" ht="12.75" spans="1:7">
      <c r="A576" s="5"/>
      <c r="B576" s="8"/>
      <c r="C576" s="8"/>
      <c r="D576" s="8"/>
      <c r="E576" s="8"/>
      <c r="F576" s="3"/>
      <c r="G576" s="3"/>
    </row>
    <row r="577" ht="12.75" spans="1:7">
      <c r="A577" s="5"/>
      <c r="B577" s="8"/>
      <c r="C577" s="8"/>
      <c r="D577" s="8"/>
      <c r="E577" s="8"/>
      <c r="F577" s="3"/>
      <c r="G577" s="3"/>
    </row>
    <row r="578" ht="12.75" spans="1:7">
      <c r="A578" s="5"/>
      <c r="B578" s="8"/>
      <c r="C578" s="8"/>
      <c r="D578" s="8"/>
      <c r="E578" s="8"/>
      <c r="F578" s="3"/>
      <c r="G578" s="3"/>
    </row>
    <row r="579" ht="12.75" spans="1:7">
      <c r="A579" s="5"/>
      <c r="B579" s="8"/>
      <c r="C579" s="8"/>
      <c r="D579" s="8"/>
      <c r="E579" s="8"/>
      <c r="F579" s="3"/>
      <c r="G579" s="3"/>
    </row>
    <row r="580" ht="12.75" spans="1:7">
      <c r="A580" s="5"/>
      <c r="B580" s="8"/>
      <c r="C580" s="8"/>
      <c r="D580" s="8"/>
      <c r="E580" s="8"/>
      <c r="F580" s="3"/>
      <c r="G580" s="3"/>
    </row>
    <row r="581" ht="12.75" spans="1:7">
      <c r="A581" s="5"/>
      <c r="B581" s="8"/>
      <c r="C581" s="8"/>
      <c r="D581" s="8"/>
      <c r="E581" s="8"/>
      <c r="F581" s="3"/>
      <c r="G581" s="3"/>
    </row>
    <row r="582" ht="12.75" spans="1:7">
      <c r="A582" s="5"/>
      <c r="B582" s="8"/>
      <c r="C582" s="8"/>
      <c r="D582" s="8"/>
      <c r="E582" s="8"/>
      <c r="F582" s="3"/>
      <c r="G582" s="3"/>
    </row>
    <row r="583" ht="12.75" spans="1:7">
      <c r="A583" s="5"/>
      <c r="B583" s="8"/>
      <c r="C583" s="8"/>
      <c r="D583" s="8"/>
      <c r="E583" s="8"/>
      <c r="F583" s="3"/>
      <c r="G583" s="3"/>
    </row>
    <row r="584" ht="12.75" spans="1:7">
      <c r="A584" s="5"/>
      <c r="B584" s="8"/>
      <c r="C584" s="8"/>
      <c r="D584" s="8"/>
      <c r="E584" s="8"/>
      <c r="F584" s="3"/>
      <c r="G584" s="3"/>
    </row>
    <row r="585" ht="12.75" spans="1:7">
      <c r="A585" s="5"/>
      <c r="B585" s="8"/>
      <c r="C585" s="8"/>
      <c r="D585" s="8"/>
      <c r="E585" s="8"/>
      <c r="F585" s="3"/>
      <c r="G585" s="3"/>
    </row>
    <row r="586" ht="12.75" spans="1:7">
      <c r="A586" s="5"/>
      <c r="B586" s="8"/>
      <c r="C586" s="8"/>
      <c r="D586" s="8"/>
      <c r="E586" s="8"/>
      <c r="F586" s="3"/>
      <c r="G586" s="3"/>
    </row>
    <row r="587" ht="12.75" spans="1:7">
      <c r="A587" s="5"/>
      <c r="B587" s="8"/>
      <c r="C587" s="8"/>
      <c r="D587" s="8"/>
      <c r="E587" s="8"/>
      <c r="F587" s="3"/>
      <c r="G587" s="3"/>
    </row>
    <row r="588" ht="12.75" spans="1:7">
      <c r="A588" s="5"/>
      <c r="B588" s="8"/>
      <c r="C588" s="8"/>
      <c r="D588" s="8"/>
      <c r="E588" s="8"/>
      <c r="F588" s="3"/>
      <c r="G588" s="3"/>
    </row>
    <row r="589" ht="12.75" spans="1:7">
      <c r="A589" s="5"/>
      <c r="B589" s="8"/>
      <c r="C589" s="8"/>
      <c r="D589" s="8"/>
      <c r="E589" s="8"/>
      <c r="F589" s="3"/>
      <c r="G589" s="3"/>
    </row>
    <row r="590" ht="12.75" spans="1:7">
      <c r="A590" s="5"/>
      <c r="B590" s="8"/>
      <c r="C590" s="8"/>
      <c r="D590" s="8"/>
      <c r="E590" s="8"/>
      <c r="F590" s="3"/>
      <c r="G590" s="3"/>
    </row>
    <row r="591" ht="12.75" spans="1:7">
      <c r="A591" s="5"/>
      <c r="B591" s="8"/>
      <c r="C591" s="8"/>
      <c r="D591" s="8"/>
      <c r="E591" s="8"/>
      <c r="F591" s="3"/>
      <c r="G591" s="3"/>
    </row>
    <row r="592" ht="12.75" spans="1:7">
      <c r="A592" s="5"/>
      <c r="B592" s="8"/>
      <c r="C592" s="8"/>
      <c r="D592" s="8"/>
      <c r="E592" s="8"/>
      <c r="F592" s="3"/>
      <c r="G592" s="3"/>
    </row>
    <row r="593" ht="12.75" spans="1:7">
      <c r="A593" s="5"/>
      <c r="B593" s="8"/>
      <c r="C593" s="8"/>
      <c r="D593" s="8"/>
      <c r="E593" s="8"/>
      <c r="F593" s="3"/>
      <c r="G593" s="3"/>
    </row>
    <row r="594" ht="12.75" spans="1:7">
      <c r="A594" s="5"/>
      <c r="B594" s="8"/>
      <c r="C594" s="8"/>
      <c r="D594" s="8"/>
      <c r="E594" s="8"/>
      <c r="F594" s="3"/>
      <c r="G594" s="3"/>
    </row>
    <row r="595" ht="12.75" spans="1:7">
      <c r="A595" s="5"/>
      <c r="B595" s="8"/>
      <c r="C595" s="8"/>
      <c r="D595" s="8"/>
      <c r="E595" s="8"/>
      <c r="F595" s="3"/>
      <c r="G595" s="3"/>
    </row>
    <row r="596" ht="12.75" spans="1:7">
      <c r="A596" s="5"/>
      <c r="B596" s="8"/>
      <c r="C596" s="8"/>
      <c r="D596" s="8"/>
      <c r="E596" s="8"/>
      <c r="F596" s="3"/>
      <c r="G596" s="3"/>
    </row>
    <row r="597" ht="12.75" spans="1:7">
      <c r="A597" s="5"/>
      <c r="B597" s="8"/>
      <c r="C597" s="8"/>
      <c r="D597" s="8"/>
      <c r="E597" s="8"/>
      <c r="F597" s="3"/>
      <c r="G597" s="3"/>
    </row>
    <row r="598" ht="12.75" spans="1:7">
      <c r="A598" s="5"/>
      <c r="B598" s="8"/>
      <c r="C598" s="8"/>
      <c r="D598" s="8"/>
      <c r="E598" s="8"/>
      <c r="F598" s="3"/>
      <c r="G598" s="3"/>
    </row>
    <row r="599" ht="12.75" spans="1:7">
      <c r="A599" s="5"/>
      <c r="B599" s="8"/>
      <c r="C599" s="8"/>
      <c r="D599" s="8"/>
      <c r="E599" s="8"/>
      <c r="F599" s="3"/>
      <c r="G599" s="3"/>
    </row>
    <row r="600" ht="12.75" spans="1:7">
      <c r="A600" s="5"/>
      <c r="B600" s="8"/>
      <c r="C600" s="8"/>
      <c r="D600" s="8"/>
      <c r="E600" s="8"/>
      <c r="F600" s="3"/>
      <c r="G600" s="3"/>
    </row>
    <row r="601" ht="12.75" spans="1:7">
      <c r="A601" s="5"/>
      <c r="B601" s="8"/>
      <c r="C601" s="8"/>
      <c r="D601" s="8"/>
      <c r="E601" s="8"/>
      <c r="F601" s="3"/>
      <c r="G601" s="3"/>
    </row>
    <row r="602" ht="12.75" spans="1:7">
      <c r="A602" s="5"/>
      <c r="B602" s="8"/>
      <c r="C602" s="8"/>
      <c r="D602" s="8"/>
      <c r="E602" s="8"/>
      <c r="F602" s="3"/>
      <c r="G602" s="3"/>
    </row>
    <row r="603" ht="12.75" spans="1:7">
      <c r="A603" s="5"/>
      <c r="B603" s="8"/>
      <c r="C603" s="8"/>
      <c r="D603" s="8"/>
      <c r="E603" s="8"/>
      <c r="F603" s="3"/>
      <c r="G603" s="3"/>
    </row>
    <row r="604" ht="12.75" spans="1:7">
      <c r="A604" s="5"/>
      <c r="B604" s="8"/>
      <c r="C604" s="8"/>
      <c r="D604" s="8"/>
      <c r="E604" s="8"/>
      <c r="F604" s="3"/>
      <c r="G604" s="3"/>
    </row>
    <row r="605" ht="12.75" spans="1:7">
      <c r="A605" s="5"/>
      <c r="B605" s="8"/>
      <c r="C605" s="8"/>
      <c r="D605" s="8"/>
      <c r="E605" s="8"/>
      <c r="F605" s="3"/>
      <c r="G605" s="3"/>
    </row>
    <row r="606" ht="12.75" spans="1:7">
      <c r="A606" s="5"/>
      <c r="B606" s="8"/>
      <c r="C606" s="8"/>
      <c r="D606" s="8"/>
      <c r="E606" s="8"/>
      <c r="F606" s="3"/>
      <c r="G606" s="3"/>
    </row>
    <row r="607" ht="12.75" spans="1:7">
      <c r="A607" s="5"/>
      <c r="B607" s="8"/>
      <c r="C607" s="8"/>
      <c r="D607" s="8"/>
      <c r="E607" s="8"/>
      <c r="F607" s="3"/>
      <c r="G607" s="3"/>
    </row>
    <row r="608" ht="12.75" spans="1:7">
      <c r="A608" s="5"/>
      <c r="B608" s="8"/>
      <c r="C608" s="8"/>
      <c r="D608" s="8"/>
      <c r="E608" s="8"/>
      <c r="F608" s="3"/>
      <c r="G608" s="3"/>
    </row>
    <row r="609" ht="12.75" spans="1:7">
      <c r="A609" s="5"/>
      <c r="B609" s="8"/>
      <c r="C609" s="8"/>
      <c r="D609" s="8"/>
      <c r="E609" s="8"/>
      <c r="F609" s="3"/>
      <c r="G609" s="3"/>
    </row>
    <row r="610" ht="12.75" spans="1:7">
      <c r="A610" s="5"/>
      <c r="B610" s="8"/>
      <c r="C610" s="8"/>
      <c r="D610" s="8"/>
      <c r="E610" s="8"/>
      <c r="F610" s="3"/>
      <c r="G610" s="3"/>
    </row>
    <row r="611" ht="12.75" spans="1:7">
      <c r="A611" s="5"/>
      <c r="B611" s="8"/>
      <c r="C611" s="8"/>
      <c r="D611" s="8"/>
      <c r="E611" s="8"/>
      <c r="F611" s="3"/>
      <c r="G611" s="3"/>
    </row>
    <row r="612" ht="12.75" spans="1:7">
      <c r="A612" s="5"/>
      <c r="B612" s="8"/>
      <c r="C612" s="8"/>
      <c r="D612" s="8"/>
      <c r="E612" s="8"/>
      <c r="F612" s="3"/>
      <c r="G612" s="3"/>
    </row>
    <row r="613" ht="12.75" spans="1:7">
      <c r="A613" s="5"/>
      <c r="B613" s="8"/>
      <c r="C613" s="8"/>
      <c r="D613" s="8"/>
      <c r="E613" s="8"/>
      <c r="F613" s="3"/>
      <c r="G613" s="3"/>
    </row>
    <row r="614" ht="12.75" spans="1:7">
      <c r="A614" s="5"/>
      <c r="B614" s="8"/>
      <c r="C614" s="8"/>
      <c r="D614" s="8"/>
      <c r="E614" s="8"/>
      <c r="F614" s="3"/>
      <c r="G614" s="3"/>
    </row>
    <row r="615" ht="12.75" spans="1:7">
      <c r="A615" s="5"/>
      <c r="B615" s="8"/>
      <c r="C615" s="8"/>
      <c r="D615" s="8"/>
      <c r="E615" s="8"/>
      <c r="F615" s="3"/>
      <c r="G615" s="3"/>
    </row>
    <row r="616" ht="12.75" spans="1:7">
      <c r="A616" s="5"/>
      <c r="B616" s="8"/>
      <c r="C616" s="8"/>
      <c r="D616" s="8"/>
      <c r="E616" s="8"/>
      <c r="F616" s="3"/>
      <c r="G616" s="3"/>
    </row>
    <row r="617" ht="12.75" spans="1:7">
      <c r="A617" s="5"/>
      <c r="B617" s="8"/>
      <c r="C617" s="8"/>
      <c r="D617" s="8"/>
      <c r="E617" s="8"/>
      <c r="F617" s="3"/>
      <c r="G617" s="3"/>
    </row>
    <row r="618" ht="12.75" spans="1:7">
      <c r="A618" s="5"/>
      <c r="B618" s="8"/>
      <c r="C618" s="8"/>
      <c r="D618" s="8"/>
      <c r="E618" s="8"/>
      <c r="F618" s="3"/>
      <c r="G618" s="3"/>
    </row>
    <row r="619" ht="12.75" spans="1:7">
      <c r="A619" s="5"/>
      <c r="B619" s="8"/>
      <c r="C619" s="8"/>
      <c r="D619" s="8"/>
      <c r="E619" s="8"/>
      <c r="F619" s="3"/>
      <c r="G619" s="3"/>
    </row>
    <row r="620" ht="12.75" spans="1:7">
      <c r="A620" s="5"/>
      <c r="B620" s="8"/>
      <c r="C620" s="8"/>
      <c r="D620" s="8"/>
      <c r="E620" s="8"/>
      <c r="F620" s="3"/>
      <c r="G620" s="3"/>
    </row>
    <row r="621" ht="12.75" spans="1:7">
      <c r="A621" s="5"/>
      <c r="B621" s="8"/>
      <c r="C621" s="8"/>
      <c r="D621" s="8"/>
      <c r="E621" s="8"/>
      <c r="F621" s="3"/>
      <c r="G621" s="3"/>
    </row>
    <row r="622" ht="12.75" spans="1:7">
      <c r="A622" s="5"/>
      <c r="B622" s="8"/>
      <c r="C622" s="8"/>
      <c r="D622" s="8"/>
      <c r="E622" s="8"/>
      <c r="F622" s="3"/>
      <c r="G622" s="3"/>
    </row>
    <row r="623" ht="12.75" spans="1:7">
      <c r="A623" s="5"/>
      <c r="B623" s="8"/>
      <c r="C623" s="8"/>
      <c r="D623" s="8"/>
      <c r="E623" s="8"/>
      <c r="F623" s="3"/>
      <c r="G623" s="3"/>
    </row>
    <row r="624" ht="12.75" spans="1:7">
      <c r="A624" s="5"/>
      <c r="B624" s="8"/>
      <c r="C624" s="8"/>
      <c r="D624" s="8"/>
      <c r="E624" s="8"/>
      <c r="F624" s="3"/>
      <c r="G624" s="3"/>
    </row>
    <row r="625" ht="12.75" spans="1:7">
      <c r="A625" s="5"/>
      <c r="B625" s="8"/>
      <c r="C625" s="8"/>
      <c r="D625" s="8"/>
      <c r="E625" s="8"/>
      <c r="F625" s="3"/>
      <c r="G625" s="3"/>
    </row>
    <row r="626" ht="12.75" spans="1:7">
      <c r="A626" s="5"/>
      <c r="B626" s="8"/>
      <c r="C626" s="8"/>
      <c r="D626" s="8"/>
      <c r="E626" s="8"/>
      <c r="F626" s="3"/>
      <c r="G626" s="3"/>
    </row>
    <row r="627" ht="12.75" spans="1:7">
      <c r="A627" s="5"/>
      <c r="B627" s="8"/>
      <c r="C627" s="8"/>
      <c r="D627" s="8"/>
      <c r="E627" s="8"/>
      <c r="F627" s="3"/>
      <c r="G627" s="3"/>
    </row>
    <row r="628" ht="12.75" spans="1:7">
      <c r="A628" s="5"/>
      <c r="B628" s="8"/>
      <c r="C628" s="8"/>
      <c r="D628" s="8"/>
      <c r="E628" s="8"/>
      <c r="F628" s="3"/>
      <c r="G628" s="3"/>
    </row>
    <row r="629" ht="12.75" spans="1:7">
      <c r="A629" s="5"/>
      <c r="B629" s="8"/>
      <c r="C629" s="8"/>
      <c r="D629" s="8"/>
      <c r="E629" s="8"/>
      <c r="F629" s="3"/>
      <c r="G629" s="3"/>
    </row>
    <row r="630" ht="12.75" spans="1:7">
      <c r="A630" s="5"/>
      <c r="B630" s="8"/>
      <c r="C630" s="8"/>
      <c r="D630" s="8"/>
      <c r="E630" s="8"/>
      <c r="F630" s="3"/>
      <c r="G630" s="3"/>
    </row>
    <row r="631" ht="12.75" spans="1:7">
      <c r="A631" s="5"/>
      <c r="B631" s="8"/>
      <c r="C631" s="8"/>
      <c r="D631" s="8"/>
      <c r="E631" s="8"/>
      <c r="F631" s="3"/>
      <c r="G631" s="3"/>
    </row>
    <row r="632" ht="12.75" spans="1:7">
      <c r="A632" s="5"/>
      <c r="B632" s="8"/>
      <c r="C632" s="8"/>
      <c r="D632" s="8"/>
      <c r="E632" s="8"/>
      <c r="F632" s="3"/>
      <c r="G632" s="3"/>
    </row>
    <row r="633" ht="12.75" spans="1:7">
      <c r="A633" s="5"/>
      <c r="B633" s="8"/>
      <c r="C633" s="8"/>
      <c r="D633" s="8"/>
      <c r="E633" s="8"/>
      <c r="F633" s="3"/>
      <c r="G633" s="3"/>
    </row>
    <row r="634" ht="12.75" spans="1:7">
      <c r="A634" s="5"/>
      <c r="B634" s="8"/>
      <c r="C634" s="8"/>
      <c r="D634" s="8"/>
      <c r="E634" s="8"/>
      <c r="F634" s="3"/>
      <c r="G634" s="3"/>
    </row>
    <row r="635" ht="12.75" spans="1:7">
      <c r="A635" s="5"/>
      <c r="B635" s="8"/>
      <c r="C635" s="8"/>
      <c r="D635" s="8"/>
      <c r="E635" s="8"/>
      <c r="F635" s="3"/>
      <c r="G635" s="3"/>
    </row>
    <row r="636" ht="12.75" spans="1:7">
      <c r="A636" s="5"/>
      <c r="B636" s="8"/>
      <c r="C636" s="8"/>
      <c r="D636" s="8"/>
      <c r="E636" s="8"/>
      <c r="F636" s="3"/>
      <c r="G636" s="3"/>
    </row>
    <row r="637" ht="12.75" spans="1:7">
      <c r="A637" s="5"/>
      <c r="B637" s="8"/>
      <c r="C637" s="8"/>
      <c r="D637" s="8"/>
      <c r="E637" s="8"/>
      <c r="F637" s="3"/>
      <c r="G637" s="3"/>
    </row>
    <row r="638" ht="12.75" spans="1:7">
      <c r="A638" s="5"/>
      <c r="B638" s="8"/>
      <c r="C638" s="8"/>
      <c r="D638" s="8"/>
      <c r="E638" s="8"/>
      <c r="F638" s="3"/>
      <c r="G638" s="3"/>
    </row>
    <row r="639" ht="12.75" spans="1:7">
      <c r="A639" s="5"/>
      <c r="B639" s="8"/>
      <c r="C639" s="8"/>
      <c r="D639" s="8"/>
      <c r="E639" s="8"/>
      <c r="F639" s="3"/>
      <c r="G639" s="3"/>
    </row>
    <row r="640" ht="12.75" spans="1:7">
      <c r="A640" s="5"/>
      <c r="B640" s="8"/>
      <c r="C640" s="8"/>
      <c r="D640" s="8"/>
      <c r="E640" s="8"/>
      <c r="F640" s="3"/>
      <c r="G640" s="3"/>
    </row>
    <row r="641" ht="12.75" spans="1:7">
      <c r="A641" s="5"/>
      <c r="B641" s="8"/>
      <c r="C641" s="8"/>
      <c r="D641" s="8"/>
      <c r="E641" s="8"/>
      <c r="F641" s="3"/>
      <c r="G641" s="3"/>
    </row>
    <row r="642" ht="12.75" spans="1:7">
      <c r="A642" s="5"/>
      <c r="B642" s="8"/>
      <c r="C642" s="8"/>
      <c r="D642" s="8"/>
      <c r="E642" s="8"/>
      <c r="F642" s="3"/>
      <c r="G642" s="3"/>
    </row>
    <row r="643" ht="12.75" spans="1:7">
      <c r="A643" s="5"/>
      <c r="B643" s="8"/>
      <c r="C643" s="8"/>
      <c r="D643" s="8"/>
      <c r="E643" s="8"/>
      <c r="F643" s="3"/>
      <c r="G643" s="3"/>
    </row>
    <row r="644" ht="12.75" spans="1:7">
      <c r="A644" s="5"/>
      <c r="B644" s="8"/>
      <c r="C644" s="8"/>
      <c r="D644" s="8"/>
      <c r="E644" s="8"/>
      <c r="F644" s="3"/>
      <c r="G644" s="3"/>
    </row>
    <row r="645" ht="12.75" spans="1:7">
      <c r="A645" s="5"/>
      <c r="B645" s="8"/>
      <c r="C645" s="8"/>
      <c r="D645" s="8"/>
      <c r="E645" s="8"/>
      <c r="F645" s="3"/>
      <c r="G645" s="3"/>
    </row>
    <row r="646" ht="12.75" spans="1:7">
      <c r="A646" s="5"/>
      <c r="B646" s="8"/>
      <c r="C646" s="8"/>
      <c r="D646" s="8"/>
      <c r="E646" s="8"/>
      <c r="F646" s="3"/>
      <c r="G646" s="3"/>
    </row>
    <row r="647" ht="12.75" spans="1:7">
      <c r="A647" s="5"/>
      <c r="B647" s="8"/>
      <c r="C647" s="8"/>
      <c r="D647" s="8"/>
      <c r="E647" s="8"/>
      <c r="F647" s="3"/>
      <c r="G647" s="3"/>
    </row>
    <row r="648" ht="12.75" spans="1:7">
      <c r="A648" s="5"/>
      <c r="B648" s="8"/>
      <c r="C648" s="8"/>
      <c r="D648" s="8"/>
      <c r="E648" s="8"/>
      <c r="F648" s="3"/>
      <c r="G648" s="3"/>
    </row>
    <row r="649" ht="12.75" spans="1:7">
      <c r="A649" s="5"/>
      <c r="B649" s="8"/>
      <c r="C649" s="8"/>
      <c r="D649" s="8"/>
      <c r="E649" s="8"/>
      <c r="F649" s="3"/>
      <c r="G649" s="3"/>
    </row>
    <row r="650" ht="12.75" spans="1:7">
      <c r="A650" s="5"/>
      <c r="B650" s="8"/>
      <c r="C650" s="8"/>
      <c r="D650" s="8"/>
      <c r="E650" s="8"/>
      <c r="F650" s="3"/>
      <c r="G650" s="3"/>
    </row>
    <row r="651" ht="12.75" spans="1:7">
      <c r="A651" s="5"/>
      <c r="B651" s="8"/>
      <c r="C651" s="8"/>
      <c r="D651" s="8"/>
      <c r="E651" s="8"/>
      <c r="F651" s="3"/>
      <c r="G651" s="3"/>
    </row>
    <row r="652" ht="12.75" spans="1:7">
      <c r="A652" s="5"/>
      <c r="B652" s="8"/>
      <c r="C652" s="8"/>
      <c r="D652" s="8"/>
      <c r="E652" s="8"/>
      <c r="F652" s="3"/>
      <c r="G652" s="3"/>
    </row>
    <row r="653" ht="12.75" spans="1:7">
      <c r="A653" s="5"/>
      <c r="B653" s="8"/>
      <c r="C653" s="8"/>
      <c r="D653" s="8"/>
      <c r="E653" s="8"/>
      <c r="F653" s="3"/>
      <c r="G653" s="3"/>
    </row>
    <row r="654" ht="12.75" spans="1:7">
      <c r="A654" s="5"/>
      <c r="B654" s="8"/>
      <c r="C654" s="8"/>
      <c r="D654" s="8"/>
      <c r="E654" s="8"/>
      <c r="F654" s="3"/>
      <c r="G654" s="3"/>
    </row>
    <row r="655" ht="12.75" spans="1:7">
      <c r="A655" s="5"/>
      <c r="B655" s="8"/>
      <c r="C655" s="8"/>
      <c r="D655" s="8"/>
      <c r="E655" s="8"/>
      <c r="F655" s="3"/>
      <c r="G655" s="3"/>
    </row>
    <row r="656" ht="12.75" spans="1:7">
      <c r="A656" s="5"/>
      <c r="B656" s="8"/>
      <c r="C656" s="8"/>
      <c r="D656" s="8"/>
      <c r="E656" s="8"/>
      <c r="F656" s="3"/>
      <c r="G656" s="3"/>
    </row>
    <row r="657" ht="12.75" spans="1:7">
      <c r="A657" s="5"/>
      <c r="B657" s="8"/>
      <c r="C657" s="8"/>
      <c r="D657" s="8"/>
      <c r="E657" s="8"/>
      <c r="F657" s="3"/>
      <c r="G657" s="3"/>
    </row>
    <row r="658" ht="12.75" spans="1:7">
      <c r="A658" s="5"/>
      <c r="B658" s="8"/>
      <c r="C658" s="8"/>
      <c r="D658" s="8"/>
      <c r="E658" s="8"/>
      <c r="F658" s="3"/>
      <c r="G658" s="3"/>
    </row>
    <row r="659" ht="12.75" spans="1:7">
      <c r="A659" s="5"/>
      <c r="B659" s="8"/>
      <c r="C659" s="8"/>
      <c r="D659" s="8"/>
      <c r="E659" s="8"/>
      <c r="F659" s="3"/>
      <c r="G659" s="3"/>
    </row>
    <row r="660" ht="12.75" spans="1:7">
      <c r="A660" s="5"/>
      <c r="B660" s="8"/>
      <c r="C660" s="8"/>
      <c r="D660" s="8"/>
      <c r="E660" s="8"/>
      <c r="F660" s="3"/>
      <c r="G660" s="3"/>
    </row>
    <row r="661" ht="12.75" spans="1:7">
      <c r="A661" s="5"/>
      <c r="B661" s="8"/>
      <c r="C661" s="8"/>
      <c r="D661" s="8"/>
      <c r="E661" s="8"/>
      <c r="F661" s="3"/>
      <c r="G661" s="3"/>
    </row>
    <row r="662" ht="12.75" spans="1:7">
      <c r="A662" s="5"/>
      <c r="B662" s="8"/>
      <c r="C662" s="8"/>
      <c r="D662" s="8"/>
      <c r="E662" s="8"/>
      <c r="F662" s="3"/>
      <c r="G662" s="3"/>
    </row>
    <row r="663" ht="12.75" spans="1:7">
      <c r="A663" s="5"/>
      <c r="B663" s="8"/>
      <c r="C663" s="8"/>
      <c r="D663" s="8"/>
      <c r="E663" s="8"/>
      <c r="F663" s="3"/>
      <c r="G663" s="3"/>
    </row>
    <row r="664" ht="12.75" spans="1:7">
      <c r="A664" s="5"/>
      <c r="B664" s="8"/>
      <c r="C664" s="8"/>
      <c r="D664" s="8"/>
      <c r="E664" s="8"/>
      <c r="F664" s="3"/>
      <c r="G664" s="3"/>
    </row>
    <row r="665" ht="12.75" spans="1:7">
      <c r="A665" s="5"/>
      <c r="B665" s="8"/>
      <c r="C665" s="8"/>
      <c r="D665" s="8"/>
      <c r="E665" s="8"/>
      <c r="F665" s="3"/>
      <c r="G665" s="3"/>
    </row>
    <row r="666" ht="12.75" spans="1:7">
      <c r="A666" s="5"/>
      <c r="B666" s="8"/>
      <c r="C666" s="8"/>
      <c r="D666" s="8"/>
      <c r="E666" s="8"/>
      <c r="F666" s="3"/>
      <c r="G666" s="3"/>
    </row>
    <row r="667" ht="12.75" spans="1:7">
      <c r="A667" s="5"/>
      <c r="B667" s="8"/>
      <c r="C667" s="8"/>
      <c r="D667" s="8"/>
      <c r="E667" s="8"/>
      <c r="F667" s="3"/>
      <c r="G667" s="3"/>
    </row>
    <row r="668" ht="12.75" spans="1:7">
      <c r="A668" s="5"/>
      <c r="B668" s="8"/>
      <c r="C668" s="8"/>
      <c r="D668" s="8"/>
      <c r="E668" s="8"/>
      <c r="F668" s="3"/>
      <c r="G668" s="3"/>
    </row>
    <row r="669" ht="12.75" spans="1:7">
      <c r="A669" s="5"/>
      <c r="B669" s="8"/>
      <c r="C669" s="8"/>
      <c r="D669" s="8"/>
      <c r="E669" s="8"/>
      <c r="F669" s="3"/>
      <c r="G669" s="3"/>
    </row>
    <row r="670" ht="12.75" spans="1:7">
      <c r="A670" s="5"/>
      <c r="B670" s="8"/>
      <c r="C670" s="8"/>
      <c r="D670" s="8"/>
      <c r="E670" s="8"/>
      <c r="F670" s="3"/>
      <c r="G670" s="3"/>
    </row>
    <row r="671" ht="12.75" spans="1:7">
      <c r="A671" s="5"/>
      <c r="B671" s="8"/>
      <c r="C671" s="8"/>
      <c r="D671" s="8"/>
      <c r="E671" s="8"/>
      <c r="F671" s="3"/>
      <c r="G671" s="3"/>
    </row>
    <row r="672" ht="12.75" spans="1:7">
      <c r="A672" s="5"/>
      <c r="B672" s="8"/>
      <c r="C672" s="8"/>
      <c r="D672" s="8"/>
      <c r="E672" s="8"/>
      <c r="F672" s="3"/>
      <c r="G672" s="3"/>
    </row>
    <row r="673" ht="12.75" spans="1:7">
      <c r="A673" s="5"/>
      <c r="B673" s="8"/>
      <c r="C673" s="8"/>
      <c r="D673" s="8"/>
      <c r="E673" s="8"/>
      <c r="F673" s="3"/>
      <c r="G673" s="3"/>
    </row>
    <row r="674" ht="12.75" spans="1:7">
      <c r="A674" s="5"/>
      <c r="B674" s="8"/>
      <c r="C674" s="8"/>
      <c r="D674" s="8"/>
      <c r="E674" s="8"/>
      <c r="F674" s="3"/>
      <c r="G674" s="3"/>
    </row>
    <row r="675" ht="12.75" spans="1:7">
      <c r="A675" s="5"/>
      <c r="B675" s="8"/>
      <c r="C675" s="8"/>
      <c r="D675" s="8"/>
      <c r="E675" s="8"/>
      <c r="F675" s="3"/>
      <c r="G675" s="3"/>
    </row>
    <row r="676" ht="12.75" spans="1:7">
      <c r="A676" s="5"/>
      <c r="B676" s="8"/>
      <c r="C676" s="8"/>
      <c r="D676" s="8"/>
      <c r="E676" s="8"/>
      <c r="F676" s="3"/>
      <c r="G676" s="3"/>
    </row>
    <row r="677" ht="12.75" spans="1:7">
      <c r="A677" s="5"/>
      <c r="B677" s="8"/>
      <c r="C677" s="8"/>
      <c r="D677" s="8"/>
      <c r="E677" s="8"/>
      <c r="F677" s="3"/>
      <c r="G677" s="3"/>
    </row>
    <row r="678" ht="12.75" spans="1:7">
      <c r="A678" s="5"/>
      <c r="B678" s="8"/>
      <c r="C678" s="8"/>
      <c r="D678" s="8"/>
      <c r="E678" s="8"/>
      <c r="F678" s="3"/>
      <c r="G678" s="3"/>
    </row>
    <row r="679" ht="12.75" spans="1:7">
      <c r="A679" s="5"/>
      <c r="B679" s="8"/>
      <c r="C679" s="8"/>
      <c r="D679" s="8"/>
      <c r="E679" s="8"/>
      <c r="F679" s="3"/>
      <c r="G679" s="3"/>
    </row>
    <row r="680" ht="12.75" spans="1:7">
      <c r="A680" s="5"/>
      <c r="B680" s="8"/>
      <c r="C680" s="8"/>
      <c r="D680" s="8"/>
      <c r="E680" s="8"/>
      <c r="F680" s="3"/>
      <c r="G680" s="3"/>
    </row>
    <row r="681" ht="12.75" spans="1:7">
      <c r="A681" s="5"/>
      <c r="B681" s="8"/>
      <c r="C681" s="8"/>
      <c r="D681" s="8"/>
      <c r="E681" s="8"/>
      <c r="F681" s="3"/>
      <c r="G681" s="3"/>
    </row>
    <row r="682" ht="12.75" spans="1:7">
      <c r="A682" s="5"/>
      <c r="B682" s="8"/>
      <c r="C682" s="8"/>
      <c r="D682" s="8"/>
      <c r="E682" s="8"/>
      <c r="F682" s="3"/>
      <c r="G682" s="3"/>
    </row>
    <row r="683" ht="12.75" spans="1:7">
      <c r="A683" s="5"/>
      <c r="B683" s="8"/>
      <c r="C683" s="8"/>
      <c r="D683" s="8"/>
      <c r="E683" s="8"/>
      <c r="F683" s="3"/>
      <c r="G683" s="3"/>
    </row>
    <row r="684" ht="12.75" spans="1:7">
      <c r="A684" s="5"/>
      <c r="B684" s="8"/>
      <c r="C684" s="8"/>
      <c r="D684" s="8"/>
      <c r="E684" s="8"/>
      <c r="F684" s="3"/>
      <c r="G684" s="3"/>
    </row>
    <row r="685" ht="12.75" spans="1:7">
      <c r="A685" s="5"/>
      <c r="B685" s="8"/>
      <c r="C685" s="8"/>
      <c r="D685" s="8"/>
      <c r="E685" s="8"/>
      <c r="F685" s="3"/>
      <c r="G685" s="3"/>
    </row>
    <row r="686" ht="12.75" spans="1:7">
      <c r="A686" s="5"/>
      <c r="B686" s="8"/>
      <c r="C686" s="8"/>
      <c r="D686" s="8"/>
      <c r="E686" s="8"/>
      <c r="F686" s="3"/>
      <c r="G686" s="3"/>
    </row>
    <row r="687" ht="12.75" spans="1:7">
      <c r="A687" s="5"/>
      <c r="B687" s="8"/>
      <c r="C687" s="8"/>
      <c r="D687" s="8"/>
      <c r="E687" s="8"/>
      <c r="F687" s="3"/>
      <c r="G687" s="3"/>
    </row>
    <row r="688" ht="12.75" spans="1:7">
      <c r="A688" s="5"/>
      <c r="B688" s="8"/>
      <c r="C688" s="8"/>
      <c r="D688" s="8"/>
      <c r="E688" s="8"/>
      <c r="F688" s="3"/>
      <c r="G688" s="3"/>
    </row>
    <row r="689" ht="12.75" spans="1:7">
      <c r="A689" s="5"/>
      <c r="B689" s="8"/>
      <c r="C689" s="8"/>
      <c r="D689" s="8"/>
      <c r="E689" s="8"/>
      <c r="F689" s="3"/>
      <c r="G689" s="3"/>
    </row>
    <row r="690" ht="12.75" spans="1:7">
      <c r="A690" s="5"/>
      <c r="B690" s="8"/>
      <c r="C690" s="8"/>
      <c r="D690" s="8"/>
      <c r="E690" s="8"/>
      <c r="F690" s="3"/>
      <c r="G690" s="3"/>
    </row>
    <row r="691" ht="12.75" spans="1:7">
      <c r="A691" s="5"/>
      <c r="B691" s="8"/>
      <c r="C691" s="8"/>
      <c r="D691" s="8"/>
      <c r="E691" s="8"/>
      <c r="F691" s="3"/>
      <c r="G691" s="3"/>
    </row>
    <row r="692" ht="12.75" spans="1:7">
      <c r="A692" s="5"/>
      <c r="B692" s="8"/>
      <c r="C692" s="8"/>
      <c r="D692" s="8"/>
      <c r="E692" s="8"/>
      <c r="F692" s="3"/>
      <c r="G692" s="3"/>
    </row>
    <row r="693" ht="12.75" spans="1:7">
      <c r="A693" s="5"/>
      <c r="B693" s="8"/>
      <c r="C693" s="8"/>
      <c r="D693" s="8"/>
      <c r="E693" s="8"/>
      <c r="F693" s="3"/>
      <c r="G693" s="3"/>
    </row>
    <row r="694" ht="12.75" spans="1:7">
      <c r="A694" s="5"/>
      <c r="B694" s="8"/>
      <c r="C694" s="8"/>
      <c r="D694" s="8"/>
      <c r="E694" s="8"/>
      <c r="F694" s="3"/>
      <c r="G694" s="3"/>
    </row>
    <row r="695" ht="12.75" spans="1:7">
      <c r="A695" s="5"/>
      <c r="B695" s="8"/>
      <c r="C695" s="8"/>
      <c r="D695" s="8"/>
      <c r="E695" s="8"/>
      <c r="F695" s="3"/>
      <c r="G695" s="3"/>
    </row>
    <row r="696" ht="12.75" spans="1:7">
      <c r="A696" s="5"/>
      <c r="B696" s="8"/>
      <c r="C696" s="8"/>
      <c r="D696" s="8"/>
      <c r="E696" s="8"/>
      <c r="F696" s="3"/>
      <c r="G696" s="3"/>
    </row>
    <row r="697" ht="12.75" spans="1:7">
      <c r="A697" s="5"/>
      <c r="B697" s="8"/>
      <c r="C697" s="8"/>
      <c r="D697" s="8"/>
      <c r="E697" s="8"/>
      <c r="F697" s="3"/>
      <c r="G697" s="3"/>
    </row>
    <row r="698" ht="12.75" spans="1:7">
      <c r="A698" s="5"/>
      <c r="B698" s="8"/>
      <c r="C698" s="8"/>
      <c r="D698" s="8"/>
      <c r="E698" s="8"/>
      <c r="F698" s="3"/>
      <c r="G698" s="3"/>
    </row>
    <row r="699" ht="12.75" spans="1:7">
      <c r="A699" s="5"/>
      <c r="B699" s="8"/>
      <c r="C699" s="8"/>
      <c r="D699" s="8"/>
      <c r="E699" s="8"/>
      <c r="F699" s="3"/>
      <c r="G699" s="3"/>
    </row>
    <row r="700" ht="12.75" spans="1:7">
      <c r="A700" s="5"/>
      <c r="B700" s="8"/>
      <c r="C700" s="8"/>
      <c r="D700" s="8"/>
      <c r="E700" s="8"/>
      <c r="F700" s="3"/>
      <c r="G700" s="3"/>
    </row>
    <row r="701" ht="12.75" spans="1:7">
      <c r="A701" s="5"/>
      <c r="B701" s="8"/>
      <c r="C701" s="8"/>
      <c r="D701" s="8"/>
      <c r="E701" s="8"/>
      <c r="F701" s="3"/>
      <c r="G701" s="3"/>
    </row>
    <row r="702" ht="12.75" spans="1:7">
      <c r="A702" s="5"/>
      <c r="B702" s="8"/>
      <c r="C702" s="8"/>
      <c r="D702" s="8"/>
      <c r="E702" s="8"/>
      <c r="F702" s="3"/>
      <c r="G702" s="3"/>
    </row>
    <row r="703" ht="12.75" spans="1:7">
      <c r="A703" s="5"/>
      <c r="B703" s="8"/>
      <c r="C703" s="8"/>
      <c r="D703" s="8"/>
      <c r="E703" s="8"/>
      <c r="F703" s="3"/>
      <c r="G703" s="3"/>
    </row>
    <row r="704" ht="12.75" spans="1:7">
      <c r="A704" s="5"/>
      <c r="B704" s="8"/>
      <c r="C704" s="8"/>
      <c r="D704" s="8"/>
      <c r="E704" s="8"/>
      <c r="F704" s="3"/>
      <c r="G704" s="3"/>
    </row>
    <row r="705" ht="12.75" spans="1:7">
      <c r="A705" s="5"/>
      <c r="B705" s="8"/>
      <c r="C705" s="8"/>
      <c r="D705" s="8"/>
      <c r="E705" s="8"/>
      <c r="F705" s="3"/>
      <c r="G705" s="3"/>
    </row>
    <row r="706" ht="12.75" spans="1:7">
      <c r="A706" s="5"/>
      <c r="B706" s="8"/>
      <c r="C706" s="8"/>
      <c r="D706" s="8"/>
      <c r="E706" s="8"/>
      <c r="F706" s="3"/>
      <c r="G706" s="3"/>
    </row>
    <row r="707" ht="12.75" spans="1:7">
      <c r="A707" s="5"/>
      <c r="B707" s="8"/>
      <c r="C707" s="8"/>
      <c r="D707" s="8"/>
      <c r="E707" s="8"/>
      <c r="F707" s="3"/>
      <c r="G707" s="3"/>
    </row>
    <row r="708" ht="12.75" spans="1:7">
      <c r="A708" s="5"/>
      <c r="B708" s="8"/>
      <c r="C708" s="8"/>
      <c r="D708" s="8"/>
      <c r="E708" s="8"/>
      <c r="F708" s="3"/>
      <c r="G708" s="3"/>
    </row>
    <row r="709" ht="12.75" spans="1:7">
      <c r="A709" s="5"/>
      <c r="B709" s="8"/>
      <c r="C709" s="8"/>
      <c r="D709" s="8"/>
      <c r="E709" s="8"/>
      <c r="F709" s="3"/>
      <c r="G709" s="3"/>
    </row>
    <row r="710" ht="12.75" spans="1:7">
      <c r="A710" s="5"/>
      <c r="B710" s="8"/>
      <c r="C710" s="8"/>
      <c r="D710" s="8"/>
      <c r="E710" s="8"/>
      <c r="F710" s="3"/>
      <c r="G710" s="3"/>
    </row>
    <row r="711" ht="12.75" spans="1:7">
      <c r="A711" s="5"/>
      <c r="B711" s="8"/>
      <c r="C711" s="8"/>
      <c r="D711" s="8"/>
      <c r="E711" s="8"/>
      <c r="F711" s="3"/>
      <c r="G711" s="3"/>
    </row>
    <row r="712" ht="12.75" spans="1:7">
      <c r="A712" s="5"/>
      <c r="B712" s="8"/>
      <c r="C712" s="8"/>
      <c r="D712" s="8"/>
      <c r="E712" s="8"/>
      <c r="F712" s="3"/>
      <c r="G712" s="3"/>
    </row>
    <row r="713" ht="12.75" spans="1:7">
      <c r="A713" s="5"/>
      <c r="B713" s="8"/>
      <c r="C713" s="8"/>
      <c r="D713" s="8"/>
      <c r="E713" s="8"/>
      <c r="F713" s="3"/>
      <c r="G713" s="3"/>
    </row>
    <row r="714" ht="12.75" spans="1:7">
      <c r="A714" s="5"/>
      <c r="B714" s="8"/>
      <c r="C714" s="8"/>
      <c r="D714" s="8"/>
      <c r="E714" s="8"/>
      <c r="F714" s="3"/>
      <c r="G714" s="3"/>
    </row>
    <row r="715" ht="12.75" spans="1:7">
      <c r="A715" s="5"/>
      <c r="B715" s="8"/>
      <c r="C715" s="8"/>
      <c r="D715" s="8"/>
      <c r="E715" s="8"/>
      <c r="F715" s="3"/>
      <c r="G715" s="3"/>
    </row>
    <row r="716" ht="12.75" spans="1:7">
      <c r="A716" s="5"/>
      <c r="B716" s="8"/>
      <c r="C716" s="8"/>
      <c r="D716" s="8"/>
      <c r="E716" s="8"/>
      <c r="F716" s="3"/>
      <c r="G716" s="3"/>
    </row>
    <row r="717" ht="12.75" spans="1:7">
      <c r="A717" s="5"/>
      <c r="B717" s="8"/>
      <c r="C717" s="8"/>
      <c r="D717" s="8"/>
      <c r="E717" s="8"/>
      <c r="F717" s="3"/>
      <c r="G717" s="3"/>
    </row>
    <row r="718" ht="12.75" spans="1:7">
      <c r="A718" s="5"/>
      <c r="B718" s="8"/>
      <c r="C718" s="8"/>
      <c r="D718" s="8"/>
      <c r="E718" s="8"/>
      <c r="F718" s="3"/>
      <c r="G718" s="3"/>
    </row>
    <row r="719" ht="12.75" spans="1:7">
      <c r="A719" s="5"/>
      <c r="B719" s="8"/>
      <c r="C719" s="8"/>
      <c r="D719" s="8"/>
      <c r="E719" s="8"/>
      <c r="F719" s="3"/>
      <c r="G719" s="3"/>
    </row>
    <row r="720" ht="12.75" spans="1:7">
      <c r="A720" s="5"/>
      <c r="B720" s="8"/>
      <c r="C720" s="8"/>
      <c r="D720" s="8"/>
      <c r="E720" s="8"/>
      <c r="F720" s="3"/>
      <c r="G720" s="3"/>
    </row>
    <row r="721" ht="12.75" spans="1:7">
      <c r="A721" s="5"/>
      <c r="B721" s="8"/>
      <c r="C721" s="8"/>
      <c r="D721" s="8"/>
      <c r="E721" s="8"/>
      <c r="F721" s="3"/>
      <c r="G721" s="3"/>
    </row>
    <row r="722" ht="12.75" spans="1:7">
      <c r="A722" s="5"/>
      <c r="B722" s="8"/>
      <c r="C722" s="8"/>
      <c r="D722" s="8"/>
      <c r="E722" s="8"/>
      <c r="F722" s="3"/>
      <c r="G722" s="3"/>
    </row>
    <row r="723" ht="12.75" spans="1:7">
      <c r="A723" s="5"/>
      <c r="B723" s="8"/>
      <c r="C723" s="8"/>
      <c r="D723" s="8"/>
      <c r="E723" s="8"/>
      <c r="F723" s="3"/>
      <c r="G723" s="3"/>
    </row>
    <row r="724" ht="12.75" spans="1:7">
      <c r="A724" s="5"/>
      <c r="B724" s="8"/>
      <c r="C724" s="8"/>
      <c r="D724" s="8"/>
      <c r="E724" s="8"/>
      <c r="F724" s="3"/>
      <c r="G724" s="3"/>
    </row>
    <row r="725" ht="12.75" spans="1:7">
      <c r="A725" s="5"/>
      <c r="B725" s="8"/>
      <c r="C725" s="8"/>
      <c r="D725" s="8"/>
      <c r="E725" s="8"/>
      <c r="F725" s="3"/>
      <c r="G725" s="3"/>
    </row>
    <row r="726" ht="12.75" spans="1:7">
      <c r="A726" s="5"/>
      <c r="B726" s="8"/>
      <c r="C726" s="8"/>
      <c r="D726" s="8"/>
      <c r="E726" s="8"/>
      <c r="F726" s="3"/>
      <c r="G726" s="3"/>
    </row>
    <row r="727" ht="12.75" spans="1:7">
      <c r="A727" s="5"/>
      <c r="B727" s="8"/>
      <c r="C727" s="8"/>
      <c r="D727" s="8"/>
      <c r="E727" s="8"/>
      <c r="F727" s="3"/>
      <c r="G727" s="3"/>
    </row>
    <row r="728" ht="12.75" spans="1:7">
      <c r="A728" s="5"/>
      <c r="B728" s="8"/>
      <c r="C728" s="8"/>
      <c r="D728" s="8"/>
      <c r="E728" s="8"/>
      <c r="F728" s="3"/>
      <c r="G728" s="3"/>
    </row>
    <row r="729" ht="12.75" spans="1:7">
      <c r="A729" s="5"/>
      <c r="B729" s="8"/>
      <c r="C729" s="8"/>
      <c r="D729" s="8"/>
      <c r="E729" s="8"/>
      <c r="F729" s="3"/>
      <c r="G729" s="3"/>
    </row>
    <row r="730" ht="12.75" spans="1:7">
      <c r="A730" s="5"/>
      <c r="B730" s="8"/>
      <c r="C730" s="8"/>
      <c r="D730" s="8"/>
      <c r="E730" s="8"/>
      <c r="F730" s="3"/>
      <c r="G730" s="3"/>
    </row>
    <row r="731" ht="12.75" spans="1:7">
      <c r="A731" s="5"/>
      <c r="B731" s="8"/>
      <c r="C731" s="8"/>
      <c r="D731" s="8"/>
      <c r="E731" s="8"/>
      <c r="F731" s="3"/>
      <c r="G731" s="3"/>
    </row>
    <row r="732" ht="12.75" spans="1:7">
      <c r="A732" s="5"/>
      <c r="B732" s="8"/>
      <c r="C732" s="8"/>
      <c r="D732" s="8"/>
      <c r="E732" s="8"/>
      <c r="F732" s="3"/>
      <c r="G732" s="3"/>
    </row>
    <row r="733" ht="12.75" spans="1:7">
      <c r="A733" s="5"/>
      <c r="B733" s="8"/>
      <c r="C733" s="8"/>
      <c r="D733" s="8"/>
      <c r="E733" s="8"/>
      <c r="F733" s="3"/>
      <c r="G733" s="3"/>
    </row>
    <row r="734" ht="12.75" spans="1:7">
      <c r="A734" s="5"/>
      <c r="B734" s="8"/>
      <c r="C734" s="8"/>
      <c r="D734" s="8"/>
      <c r="E734" s="8"/>
      <c r="F734" s="3"/>
      <c r="G734" s="3"/>
    </row>
    <row r="735" ht="12.75" spans="1:7">
      <c r="A735" s="5"/>
      <c r="B735" s="8"/>
      <c r="C735" s="8"/>
      <c r="D735" s="8"/>
      <c r="E735" s="8"/>
      <c r="F735" s="3"/>
      <c r="G735" s="3"/>
    </row>
    <row r="736" ht="12.75" spans="1:7">
      <c r="A736" s="5"/>
      <c r="B736" s="8"/>
      <c r="C736" s="8"/>
      <c r="D736" s="8"/>
      <c r="E736" s="8"/>
      <c r="F736" s="3"/>
      <c r="G736" s="3"/>
    </row>
    <row r="737" ht="12.75" spans="1:7">
      <c r="A737" s="5"/>
      <c r="B737" s="8"/>
      <c r="C737" s="8"/>
      <c r="D737" s="8"/>
      <c r="E737" s="8"/>
      <c r="F737" s="3"/>
      <c r="G737" s="3"/>
    </row>
    <row r="738" ht="12.75" spans="1:7">
      <c r="A738" s="5"/>
      <c r="B738" s="8"/>
      <c r="C738" s="8"/>
      <c r="D738" s="8"/>
      <c r="E738" s="8"/>
      <c r="F738" s="3"/>
      <c r="G738" s="3"/>
    </row>
    <row r="739" ht="12.75" spans="1:7">
      <c r="A739" s="5"/>
      <c r="B739" s="8"/>
      <c r="C739" s="8"/>
      <c r="D739" s="8"/>
      <c r="E739" s="8"/>
      <c r="F739" s="3"/>
      <c r="G739" s="3"/>
    </row>
    <row r="740" ht="12.75" spans="1:7">
      <c r="A740" s="5"/>
      <c r="B740" s="8"/>
      <c r="C740" s="8"/>
      <c r="D740" s="8"/>
      <c r="E740" s="8"/>
      <c r="F740" s="3"/>
      <c r="G740" s="3"/>
    </row>
    <row r="741" ht="12.75" spans="1:7">
      <c r="A741" s="5"/>
      <c r="B741" s="8"/>
      <c r="C741" s="8"/>
      <c r="D741" s="8"/>
      <c r="E741" s="8"/>
      <c r="F741" s="3"/>
      <c r="G741" s="3"/>
    </row>
    <row r="742" ht="12.75" spans="1:7">
      <c r="A742" s="5"/>
      <c r="B742" s="8"/>
      <c r="C742" s="8"/>
      <c r="D742" s="8"/>
      <c r="E742" s="8"/>
      <c r="F742" s="3"/>
      <c r="G742" s="3"/>
    </row>
    <row r="743" ht="12.75" spans="1:7">
      <c r="A743" s="5"/>
      <c r="B743" s="8"/>
      <c r="C743" s="8"/>
      <c r="D743" s="8"/>
      <c r="E743" s="8"/>
      <c r="F743" s="3"/>
      <c r="G743" s="3"/>
    </row>
    <row r="744" ht="12.75" spans="1:7">
      <c r="A744" s="5"/>
      <c r="B744" s="8"/>
      <c r="C744" s="8"/>
      <c r="D744" s="8"/>
      <c r="E744" s="8"/>
      <c r="F744" s="3"/>
      <c r="G744" s="3"/>
    </row>
    <row r="745" ht="12.75" spans="1:7">
      <c r="A745" s="5"/>
      <c r="B745" s="8"/>
      <c r="C745" s="8"/>
      <c r="D745" s="8"/>
      <c r="E745" s="8"/>
      <c r="F745" s="3"/>
      <c r="G745" s="3"/>
    </row>
    <row r="746" ht="12.75" spans="1:7">
      <c r="A746" s="5"/>
      <c r="B746" s="8"/>
      <c r="C746" s="8"/>
      <c r="D746" s="8"/>
      <c r="E746" s="8"/>
      <c r="F746" s="3"/>
      <c r="G746" s="3"/>
    </row>
    <row r="747" ht="12.75" spans="1:7">
      <c r="A747" s="5"/>
      <c r="B747" s="8"/>
      <c r="C747" s="8"/>
      <c r="D747" s="8"/>
      <c r="E747" s="8"/>
      <c r="F747" s="3"/>
      <c r="G747" s="3"/>
    </row>
    <row r="748" ht="12.75" spans="1:7">
      <c r="A748" s="5"/>
      <c r="B748" s="8"/>
      <c r="C748" s="8"/>
      <c r="D748" s="8"/>
      <c r="E748" s="8"/>
      <c r="F748" s="3"/>
      <c r="G748" s="3"/>
    </row>
    <row r="749" ht="12.75" spans="1:7">
      <c r="A749" s="5"/>
      <c r="B749" s="8"/>
      <c r="C749" s="8"/>
      <c r="D749" s="8"/>
      <c r="E749" s="8"/>
      <c r="F749" s="3"/>
      <c r="G749" s="3"/>
    </row>
    <row r="750" ht="12.75" spans="1:7">
      <c r="A750" s="5"/>
      <c r="B750" s="8"/>
      <c r="C750" s="8"/>
      <c r="D750" s="8"/>
      <c r="E750" s="8"/>
      <c r="F750" s="3"/>
      <c r="G750" s="3"/>
    </row>
    <row r="751" ht="12.75" spans="1:7">
      <c r="A751" s="5"/>
      <c r="B751" s="8"/>
      <c r="C751" s="8"/>
      <c r="D751" s="8"/>
      <c r="E751" s="8"/>
      <c r="F751" s="3"/>
      <c r="G751" s="3"/>
    </row>
    <row r="752" ht="12.75" spans="1:7">
      <c r="A752" s="5"/>
      <c r="B752" s="8"/>
      <c r="C752" s="8"/>
      <c r="D752" s="8"/>
      <c r="E752" s="8"/>
      <c r="F752" s="3"/>
      <c r="G752" s="3"/>
    </row>
    <row r="753" ht="12.75" spans="1:7">
      <c r="A753" s="5"/>
      <c r="B753" s="8"/>
      <c r="C753" s="8"/>
      <c r="D753" s="8"/>
      <c r="E753" s="8"/>
      <c r="F753" s="3"/>
      <c r="G753" s="3"/>
    </row>
    <row r="754" ht="12.75" spans="1:7">
      <c r="A754" s="5"/>
      <c r="B754" s="8"/>
      <c r="C754" s="8"/>
      <c r="D754" s="8"/>
      <c r="E754" s="8"/>
      <c r="F754" s="3"/>
      <c r="G754" s="3"/>
    </row>
    <row r="755" ht="12.75" spans="1:7">
      <c r="A755" s="5"/>
      <c r="B755" s="8"/>
      <c r="C755" s="8"/>
      <c r="D755" s="8"/>
      <c r="E755" s="8"/>
      <c r="F755" s="3"/>
      <c r="G755" s="3"/>
    </row>
    <row r="756" ht="12.75" spans="1:7">
      <c r="A756" s="5"/>
      <c r="B756" s="8"/>
      <c r="C756" s="8"/>
      <c r="D756" s="8"/>
      <c r="E756" s="8"/>
      <c r="F756" s="3"/>
      <c r="G756" s="3"/>
    </row>
    <row r="757" ht="12.75" spans="1:7">
      <c r="A757" s="5"/>
      <c r="B757" s="8"/>
      <c r="C757" s="8"/>
      <c r="D757" s="8"/>
      <c r="E757" s="8"/>
      <c r="F757" s="3"/>
      <c r="G757" s="3"/>
    </row>
    <row r="758" ht="12.75" spans="1:7">
      <c r="A758" s="5"/>
      <c r="B758" s="8"/>
      <c r="C758" s="8"/>
      <c r="D758" s="8"/>
      <c r="E758" s="8"/>
      <c r="F758" s="3"/>
      <c r="G758" s="3"/>
    </row>
    <row r="759" ht="12.75" spans="1:7">
      <c r="A759" s="5"/>
      <c r="B759" s="8"/>
      <c r="C759" s="8"/>
      <c r="D759" s="8"/>
      <c r="E759" s="8"/>
      <c r="F759" s="3"/>
      <c r="G759" s="3"/>
    </row>
    <row r="760" ht="12.75" spans="1:7">
      <c r="A760" s="5"/>
      <c r="B760" s="8"/>
      <c r="C760" s="8"/>
      <c r="D760" s="8"/>
      <c r="E760" s="8"/>
      <c r="F760" s="3"/>
      <c r="G760" s="3"/>
    </row>
    <row r="761" ht="12.75" spans="1:7">
      <c r="A761" s="5"/>
      <c r="B761" s="8"/>
      <c r="C761" s="8"/>
      <c r="D761" s="8"/>
      <c r="E761" s="8"/>
      <c r="F761" s="3"/>
      <c r="G761" s="3"/>
    </row>
    <row r="762" ht="12.75" spans="1:7">
      <c r="A762" s="5"/>
      <c r="B762" s="8"/>
      <c r="C762" s="8"/>
      <c r="D762" s="8"/>
      <c r="E762" s="8"/>
      <c r="F762" s="3"/>
      <c r="G762" s="3"/>
    </row>
    <row r="763" ht="12.75" spans="1:7">
      <c r="A763" s="5"/>
      <c r="B763" s="8"/>
      <c r="C763" s="8"/>
      <c r="D763" s="8"/>
      <c r="E763" s="8"/>
      <c r="F763" s="3"/>
      <c r="G763" s="3"/>
    </row>
    <row r="764" ht="12.75" spans="1:7">
      <c r="A764" s="5"/>
      <c r="B764" s="8"/>
      <c r="C764" s="8"/>
      <c r="D764" s="8"/>
      <c r="E764" s="8"/>
      <c r="F764" s="3"/>
      <c r="G764" s="3"/>
    </row>
    <row r="765" ht="12.75" spans="1:7">
      <c r="A765" s="5"/>
      <c r="B765" s="8"/>
      <c r="C765" s="8"/>
      <c r="D765" s="8"/>
      <c r="E765" s="8"/>
      <c r="F765" s="3"/>
      <c r="G765" s="3"/>
    </row>
    <row r="766" ht="12.75" spans="1:7">
      <c r="A766" s="5"/>
      <c r="B766" s="8"/>
      <c r="C766" s="8"/>
      <c r="D766" s="8"/>
      <c r="E766" s="8"/>
      <c r="F766" s="3"/>
      <c r="G766" s="3"/>
    </row>
    <row r="767" ht="12.75" spans="1:7">
      <c r="A767" s="5"/>
      <c r="B767" s="8"/>
      <c r="C767" s="8"/>
      <c r="D767" s="8"/>
      <c r="E767" s="8"/>
      <c r="F767" s="3"/>
      <c r="G767" s="3"/>
    </row>
    <row r="768" ht="12.75" spans="1:7">
      <c r="A768" s="5"/>
      <c r="B768" s="8"/>
      <c r="C768" s="8"/>
      <c r="D768" s="8"/>
      <c r="E768" s="8"/>
      <c r="F768" s="3"/>
      <c r="G768" s="3"/>
    </row>
    <row r="769" ht="12.75" spans="1:7">
      <c r="A769" s="5"/>
      <c r="B769" s="8"/>
      <c r="C769" s="8"/>
      <c r="D769" s="8"/>
      <c r="E769" s="8"/>
      <c r="F769" s="3"/>
      <c r="G769" s="3"/>
    </row>
    <row r="770" ht="12.75" spans="1:7">
      <c r="A770" s="5"/>
      <c r="B770" s="8"/>
      <c r="C770" s="8"/>
      <c r="D770" s="8"/>
      <c r="E770" s="8"/>
      <c r="F770" s="3"/>
      <c r="G770" s="3"/>
    </row>
    <row r="771" ht="12.75" spans="1:7">
      <c r="A771" s="5"/>
      <c r="B771" s="8"/>
      <c r="C771" s="8"/>
      <c r="D771" s="8"/>
      <c r="E771" s="8"/>
      <c r="F771" s="3"/>
      <c r="G771" s="3"/>
    </row>
    <row r="772" ht="12.75" spans="1:7">
      <c r="A772" s="5"/>
      <c r="B772" s="8"/>
      <c r="C772" s="8"/>
      <c r="D772" s="8"/>
      <c r="E772" s="8"/>
      <c r="F772" s="3"/>
      <c r="G772" s="3"/>
    </row>
    <row r="773" ht="12.75" spans="1:7">
      <c r="A773" s="5"/>
      <c r="B773" s="8"/>
      <c r="C773" s="8"/>
      <c r="D773" s="8"/>
      <c r="E773" s="8"/>
      <c r="F773" s="3"/>
      <c r="G773" s="3"/>
    </row>
    <row r="774" ht="12.75" spans="1:7">
      <c r="A774" s="5"/>
      <c r="B774" s="8"/>
      <c r="C774" s="8"/>
      <c r="D774" s="8"/>
      <c r="E774" s="8"/>
      <c r="F774" s="3"/>
      <c r="G774" s="3"/>
    </row>
    <row r="775" ht="12.75" spans="1:7">
      <c r="A775" s="5"/>
      <c r="B775" s="8"/>
      <c r="C775" s="8"/>
      <c r="D775" s="8"/>
      <c r="E775" s="8"/>
      <c r="F775" s="3"/>
      <c r="G775" s="3"/>
    </row>
    <row r="776" ht="12.75" spans="1:7">
      <c r="A776" s="5"/>
      <c r="B776" s="8"/>
      <c r="C776" s="8"/>
      <c r="D776" s="8"/>
      <c r="E776" s="8"/>
      <c r="F776" s="3"/>
      <c r="G776" s="3"/>
    </row>
    <row r="777" ht="12.75" spans="1:7">
      <c r="A777" s="5"/>
      <c r="B777" s="8"/>
      <c r="C777" s="8"/>
      <c r="D777" s="8"/>
      <c r="E777" s="8"/>
      <c r="F777" s="3"/>
      <c r="G777" s="3"/>
    </row>
    <row r="778" ht="12.75" spans="1:7">
      <c r="A778" s="5"/>
      <c r="B778" s="8"/>
      <c r="C778" s="8"/>
      <c r="D778" s="8"/>
      <c r="E778" s="8"/>
      <c r="F778" s="3"/>
      <c r="G778" s="3"/>
    </row>
    <row r="779" ht="12.75" spans="1:7">
      <c r="A779" s="5"/>
      <c r="B779" s="8"/>
      <c r="C779" s="8"/>
      <c r="D779" s="8"/>
      <c r="E779" s="8"/>
      <c r="F779" s="3"/>
      <c r="G779" s="3"/>
    </row>
    <row r="780" ht="12.75" spans="1:7">
      <c r="A780" s="5"/>
      <c r="B780" s="8"/>
      <c r="C780" s="8"/>
      <c r="D780" s="8"/>
      <c r="E780" s="8"/>
      <c r="F780" s="3"/>
      <c r="G780" s="3"/>
    </row>
    <row r="781" ht="12.75" spans="1:7">
      <c r="A781" s="5"/>
      <c r="B781" s="8"/>
      <c r="C781" s="8"/>
      <c r="D781" s="8"/>
      <c r="E781" s="8"/>
      <c r="F781" s="3"/>
      <c r="G781" s="3"/>
    </row>
    <row r="782" ht="12.75" spans="1:7">
      <c r="A782" s="5"/>
      <c r="B782" s="8"/>
      <c r="C782" s="8"/>
      <c r="D782" s="8"/>
      <c r="E782" s="8"/>
      <c r="F782" s="3"/>
      <c r="G782" s="3"/>
    </row>
    <row r="783" ht="12.75" spans="1:7">
      <c r="A783" s="5"/>
      <c r="B783" s="8"/>
      <c r="C783" s="8"/>
      <c r="D783" s="8"/>
      <c r="E783" s="8"/>
      <c r="F783" s="3"/>
      <c r="G783" s="3"/>
    </row>
    <row r="784" ht="12.75" spans="1:7">
      <c r="A784" s="5"/>
      <c r="B784" s="8"/>
      <c r="C784" s="8"/>
      <c r="D784" s="8"/>
      <c r="E784" s="8"/>
      <c r="F784" s="3"/>
      <c r="G784" s="3"/>
    </row>
    <row r="785" ht="12.75" spans="1:7">
      <c r="A785" s="5"/>
      <c r="B785" s="8"/>
      <c r="C785" s="8"/>
      <c r="D785" s="8"/>
      <c r="E785" s="8"/>
      <c r="F785" s="3"/>
      <c r="G785" s="3"/>
    </row>
    <row r="786" ht="12.75" spans="1:7">
      <c r="A786" s="5"/>
      <c r="B786" s="8"/>
      <c r="C786" s="8"/>
      <c r="D786" s="8"/>
      <c r="E786" s="8"/>
      <c r="F786" s="3"/>
      <c r="G786" s="3"/>
    </row>
    <row r="787" ht="12.75" spans="1:7">
      <c r="A787" s="5"/>
      <c r="B787" s="8"/>
      <c r="C787" s="8"/>
      <c r="D787" s="8"/>
      <c r="E787" s="8"/>
      <c r="F787" s="3"/>
      <c r="G787" s="3"/>
    </row>
    <row r="788" ht="12.75" spans="1:7">
      <c r="A788" s="5"/>
      <c r="B788" s="8"/>
      <c r="C788" s="8"/>
      <c r="D788" s="8"/>
      <c r="E788" s="8"/>
      <c r="F788" s="3"/>
      <c r="G788" s="3"/>
    </row>
    <row r="789" ht="12.75" spans="1:7">
      <c r="A789" s="5"/>
      <c r="B789" s="8"/>
      <c r="C789" s="8"/>
      <c r="D789" s="8"/>
      <c r="E789" s="8"/>
      <c r="F789" s="3"/>
      <c r="G789" s="3"/>
    </row>
    <row r="790" ht="12.75" spans="1:7">
      <c r="A790" s="5"/>
      <c r="B790" s="8"/>
      <c r="C790" s="8"/>
      <c r="D790" s="8"/>
      <c r="E790" s="8"/>
      <c r="F790" s="3"/>
      <c r="G790" s="3"/>
    </row>
    <row r="791" ht="12.75" spans="1:7">
      <c r="A791" s="5"/>
      <c r="B791" s="8"/>
      <c r="C791" s="8"/>
      <c r="D791" s="8"/>
      <c r="E791" s="8"/>
      <c r="F791" s="3"/>
      <c r="G791" s="3"/>
    </row>
    <row r="792" ht="12.75" spans="1:7">
      <c r="A792" s="5"/>
      <c r="B792" s="8"/>
      <c r="C792" s="8"/>
      <c r="D792" s="8"/>
      <c r="E792" s="8"/>
      <c r="F792" s="3"/>
      <c r="G792" s="3"/>
    </row>
    <row r="793" ht="12.75" spans="1:7">
      <c r="A793" s="5"/>
      <c r="B793" s="8"/>
      <c r="C793" s="8"/>
      <c r="D793" s="8"/>
      <c r="E793" s="8"/>
      <c r="F793" s="3"/>
      <c r="G793" s="3"/>
    </row>
    <row r="794" ht="12.75" spans="1:7">
      <c r="A794" s="5"/>
      <c r="B794" s="8"/>
      <c r="C794" s="8"/>
      <c r="D794" s="8"/>
      <c r="E794" s="8"/>
      <c r="F794" s="3"/>
      <c r="G794" s="3"/>
    </row>
    <row r="795" ht="12.75" spans="1:7">
      <c r="A795" s="5"/>
      <c r="B795" s="8"/>
      <c r="C795" s="8"/>
      <c r="D795" s="8"/>
      <c r="E795" s="8"/>
      <c r="F795" s="3"/>
      <c r="G795" s="3"/>
    </row>
    <row r="796" ht="12.75" spans="1:7">
      <c r="A796" s="5"/>
      <c r="B796" s="8"/>
      <c r="C796" s="8"/>
      <c r="D796" s="8"/>
      <c r="E796" s="8"/>
      <c r="F796" s="3"/>
      <c r="G796" s="3"/>
    </row>
    <row r="797" ht="12.75" spans="1:7">
      <c r="A797" s="5"/>
      <c r="B797" s="8"/>
      <c r="C797" s="8"/>
      <c r="D797" s="8"/>
      <c r="E797" s="8"/>
      <c r="F797" s="3"/>
      <c r="G797" s="3"/>
    </row>
    <row r="798" ht="12.75" spans="1:7">
      <c r="A798" s="5"/>
      <c r="B798" s="8"/>
      <c r="C798" s="8"/>
      <c r="D798" s="8"/>
      <c r="E798" s="8"/>
      <c r="F798" s="3"/>
      <c r="G798" s="3"/>
    </row>
    <row r="799" ht="12.75" spans="1:7">
      <c r="A799" s="5"/>
      <c r="B799" s="8"/>
      <c r="C799" s="8"/>
      <c r="D799" s="8"/>
      <c r="E799" s="8"/>
      <c r="F799" s="3"/>
      <c r="G799" s="3"/>
    </row>
    <row r="800" ht="12.75" spans="1:7">
      <c r="A800" s="5"/>
      <c r="B800" s="8"/>
      <c r="C800" s="8"/>
      <c r="D800" s="8"/>
      <c r="E800" s="8"/>
      <c r="F800" s="3"/>
      <c r="G800" s="3"/>
    </row>
    <row r="801" ht="12.75" spans="1:7">
      <c r="A801" s="5"/>
      <c r="B801" s="8"/>
      <c r="C801" s="8"/>
      <c r="D801" s="8"/>
      <c r="E801" s="8"/>
      <c r="F801" s="3"/>
      <c r="G801" s="3"/>
    </row>
    <row r="802" ht="12.75" spans="1:7">
      <c r="A802" s="5"/>
      <c r="B802" s="8"/>
      <c r="C802" s="8"/>
      <c r="D802" s="8"/>
      <c r="E802" s="8"/>
      <c r="F802" s="3"/>
      <c r="G802" s="3"/>
    </row>
    <row r="803" ht="12.75" spans="1:7">
      <c r="A803" s="5"/>
      <c r="B803" s="8"/>
      <c r="C803" s="8"/>
      <c r="D803" s="8"/>
      <c r="E803" s="8"/>
      <c r="F803" s="3"/>
      <c r="G803" s="3"/>
    </row>
    <row r="804" ht="12.75" spans="1:7">
      <c r="A804" s="5"/>
      <c r="B804" s="8"/>
      <c r="C804" s="8"/>
      <c r="D804" s="8"/>
      <c r="E804" s="8"/>
      <c r="F804" s="3"/>
      <c r="G804" s="3"/>
    </row>
    <row r="805" ht="12.75" spans="1:7">
      <c r="A805" s="5"/>
      <c r="B805" s="8"/>
      <c r="C805" s="8"/>
      <c r="D805" s="8"/>
      <c r="E805" s="8"/>
      <c r="F805" s="3"/>
      <c r="G805" s="3"/>
    </row>
    <row r="806" ht="12.75" spans="1:7">
      <c r="A806" s="5"/>
      <c r="B806" s="8"/>
      <c r="C806" s="8"/>
      <c r="D806" s="8"/>
      <c r="E806" s="8"/>
      <c r="F806" s="3"/>
      <c r="G806" s="3"/>
    </row>
    <row r="807" ht="12.75" spans="1:7">
      <c r="A807" s="5"/>
      <c r="B807" s="8"/>
      <c r="C807" s="8"/>
      <c r="D807" s="8"/>
      <c r="E807" s="8"/>
      <c r="F807" s="3"/>
      <c r="G807" s="3"/>
    </row>
    <row r="808" ht="12.75" spans="1:7">
      <c r="A808" s="5"/>
      <c r="B808" s="8"/>
      <c r="C808" s="8"/>
      <c r="D808" s="8"/>
      <c r="E808" s="8"/>
      <c r="F808" s="3"/>
      <c r="G808" s="3"/>
    </row>
    <row r="809" ht="12.75" spans="1:7">
      <c r="A809" s="5"/>
      <c r="B809" s="8"/>
      <c r="C809" s="8"/>
      <c r="D809" s="8"/>
      <c r="E809" s="8"/>
      <c r="F809" s="3"/>
      <c r="G809" s="3"/>
    </row>
    <row r="810" ht="12.75" spans="1:7">
      <c r="A810" s="5"/>
      <c r="B810" s="8"/>
      <c r="C810" s="8"/>
      <c r="D810" s="8"/>
      <c r="E810" s="8"/>
      <c r="F810" s="3"/>
      <c r="G810" s="3"/>
    </row>
    <row r="811" ht="12.75" spans="1:7">
      <c r="A811" s="5"/>
      <c r="B811" s="8"/>
      <c r="C811" s="8"/>
      <c r="D811" s="8"/>
      <c r="E811" s="8"/>
      <c r="F811" s="3"/>
      <c r="G811" s="3"/>
    </row>
    <row r="812" ht="12.75" spans="1:7">
      <c r="A812" s="5"/>
      <c r="B812" s="8"/>
      <c r="C812" s="8"/>
      <c r="D812" s="8"/>
      <c r="E812" s="8"/>
      <c r="F812" s="3"/>
      <c r="G812" s="3"/>
    </row>
    <row r="813" ht="12.75" spans="1:7">
      <c r="A813" s="5"/>
      <c r="B813" s="8"/>
      <c r="C813" s="8"/>
      <c r="D813" s="8"/>
      <c r="E813" s="8"/>
      <c r="F813" s="3"/>
      <c r="G813" s="3"/>
    </row>
    <row r="814" ht="12.75" spans="1:7">
      <c r="A814" s="5"/>
      <c r="B814" s="8"/>
      <c r="C814" s="8"/>
      <c r="D814" s="8"/>
      <c r="E814" s="8"/>
      <c r="F814" s="3"/>
      <c r="G814" s="3"/>
    </row>
    <row r="815" ht="12.75" spans="1:7">
      <c r="A815" s="5"/>
      <c r="B815" s="8"/>
      <c r="C815" s="8"/>
      <c r="D815" s="8"/>
      <c r="E815" s="8"/>
      <c r="F815" s="3"/>
      <c r="G815" s="3"/>
    </row>
    <row r="816" ht="12.75" spans="1:7">
      <c r="A816" s="5"/>
      <c r="B816" s="8"/>
      <c r="C816" s="8"/>
      <c r="D816" s="8"/>
      <c r="E816" s="8"/>
      <c r="F816" s="3"/>
      <c r="G816" s="3"/>
    </row>
    <row r="817" ht="12.75" spans="1:7">
      <c r="A817" s="5"/>
      <c r="B817" s="8"/>
      <c r="C817" s="8"/>
      <c r="D817" s="8"/>
      <c r="E817" s="8"/>
      <c r="F817" s="3"/>
      <c r="G817" s="3"/>
    </row>
    <row r="818" ht="12.75" spans="1:7">
      <c r="A818" s="5"/>
      <c r="B818" s="8"/>
      <c r="C818" s="8"/>
      <c r="D818" s="8"/>
      <c r="E818" s="8"/>
      <c r="F818" s="3"/>
      <c r="G818" s="3"/>
    </row>
    <row r="819" ht="12.75" spans="1:7">
      <c r="A819" s="5"/>
      <c r="B819" s="8"/>
      <c r="C819" s="8"/>
      <c r="D819" s="8"/>
      <c r="E819" s="8"/>
      <c r="F819" s="3"/>
      <c r="G819" s="3"/>
    </row>
    <row r="820" ht="12.75" spans="1:7">
      <c r="A820" s="5"/>
      <c r="B820" s="8"/>
      <c r="C820" s="8"/>
      <c r="D820" s="8"/>
      <c r="E820" s="8"/>
      <c r="F820" s="3"/>
      <c r="G820" s="3"/>
    </row>
    <row r="821" ht="12.75" spans="1:7">
      <c r="A821" s="5"/>
      <c r="B821" s="8"/>
      <c r="C821" s="8"/>
      <c r="D821" s="8"/>
      <c r="E821" s="8"/>
      <c r="F821" s="3"/>
      <c r="G821" s="3"/>
    </row>
    <row r="822" ht="12.75" spans="1:7">
      <c r="A822" s="5"/>
      <c r="B822" s="8"/>
      <c r="C822" s="8"/>
      <c r="D822" s="8"/>
      <c r="E822" s="8"/>
      <c r="F822" s="3"/>
      <c r="G822" s="3"/>
    </row>
    <row r="823" ht="12.75" spans="1:7">
      <c r="A823" s="5"/>
      <c r="B823" s="8"/>
      <c r="C823" s="8"/>
      <c r="D823" s="8"/>
      <c r="E823" s="8"/>
      <c r="F823" s="3"/>
      <c r="G823" s="3"/>
    </row>
    <row r="824" ht="12.75" spans="1:7">
      <c r="A824" s="5"/>
      <c r="B824" s="8"/>
      <c r="C824" s="8"/>
      <c r="D824" s="8"/>
      <c r="E824" s="8"/>
      <c r="F824" s="3"/>
      <c r="G824" s="3"/>
    </row>
    <row r="825" ht="12.75" spans="1:7">
      <c r="A825" s="5"/>
      <c r="B825" s="8"/>
      <c r="C825" s="8"/>
      <c r="D825" s="8"/>
      <c r="E825" s="8"/>
      <c r="F825" s="3"/>
      <c r="G825" s="3"/>
    </row>
    <row r="826" ht="12.75" spans="1:7">
      <c r="A826" s="5"/>
      <c r="B826" s="8"/>
      <c r="C826" s="8"/>
      <c r="D826" s="8"/>
      <c r="E826" s="8"/>
      <c r="F826" s="3"/>
      <c r="G826" s="3"/>
    </row>
    <row r="827" ht="12.75" spans="1:7">
      <c r="A827" s="5"/>
      <c r="B827" s="8"/>
      <c r="C827" s="8"/>
      <c r="D827" s="8"/>
      <c r="E827" s="8"/>
      <c r="F827" s="3"/>
      <c r="G827" s="3"/>
    </row>
    <row r="828" ht="12.75" spans="1:7">
      <c r="A828" s="5"/>
      <c r="B828" s="8"/>
      <c r="C828" s="8"/>
      <c r="D828" s="8"/>
      <c r="E828" s="8"/>
      <c r="F828" s="3"/>
      <c r="G828" s="3"/>
    </row>
    <row r="829" ht="12.75" spans="1:7">
      <c r="A829" s="5"/>
      <c r="B829" s="8"/>
      <c r="C829" s="8"/>
      <c r="D829" s="8"/>
      <c r="E829" s="8"/>
      <c r="F829" s="3"/>
      <c r="G829" s="3"/>
    </row>
    <row r="830" ht="12.75" spans="1:7">
      <c r="A830" s="5"/>
      <c r="B830" s="8"/>
      <c r="C830" s="8"/>
      <c r="D830" s="8"/>
      <c r="E830" s="8"/>
      <c r="F830" s="3"/>
      <c r="G830" s="3"/>
    </row>
    <row r="831" ht="12.75" spans="1:7">
      <c r="A831" s="5"/>
      <c r="B831" s="8"/>
      <c r="C831" s="8"/>
      <c r="D831" s="8"/>
      <c r="E831" s="8"/>
      <c r="F831" s="3"/>
      <c r="G831" s="3"/>
    </row>
    <row r="832" ht="12.75" spans="1:7">
      <c r="A832" s="5"/>
      <c r="B832" s="8"/>
      <c r="C832" s="8"/>
      <c r="D832" s="8"/>
      <c r="E832" s="8"/>
      <c r="F832" s="3"/>
      <c r="G832" s="3"/>
    </row>
    <row r="833" ht="12.75" spans="1:7">
      <c r="A833" s="5"/>
      <c r="B833" s="8"/>
      <c r="C833" s="8"/>
      <c r="D833" s="8"/>
      <c r="E833" s="8"/>
      <c r="F833" s="3"/>
      <c r="G833" s="3"/>
    </row>
    <row r="834" ht="12.75" spans="1:7">
      <c r="A834" s="5"/>
      <c r="B834" s="8"/>
      <c r="C834" s="8"/>
      <c r="D834" s="8"/>
      <c r="E834" s="8"/>
      <c r="F834" s="3"/>
      <c r="G834" s="3"/>
    </row>
    <row r="835" ht="12.75" spans="1:7">
      <c r="A835" s="5"/>
      <c r="B835" s="8"/>
      <c r="C835" s="8"/>
      <c r="D835" s="8"/>
      <c r="E835" s="8"/>
      <c r="F835" s="3"/>
      <c r="G835" s="3"/>
    </row>
    <row r="836" ht="12.75" spans="1:7">
      <c r="A836" s="5"/>
      <c r="B836" s="8"/>
      <c r="C836" s="8"/>
      <c r="D836" s="8"/>
      <c r="E836" s="8"/>
      <c r="F836" s="3"/>
      <c r="G836" s="3"/>
    </row>
    <row r="837" ht="12.75" spans="1:7">
      <c r="A837" s="5"/>
      <c r="B837" s="8"/>
      <c r="C837" s="8"/>
      <c r="D837" s="8"/>
      <c r="E837" s="8"/>
      <c r="F837" s="3"/>
      <c r="G837" s="3"/>
    </row>
    <row r="838" ht="12.75" spans="1:7">
      <c r="A838" s="5"/>
      <c r="B838" s="8"/>
      <c r="C838" s="8"/>
      <c r="D838" s="8"/>
      <c r="E838" s="8"/>
      <c r="F838" s="3"/>
      <c r="G838" s="3"/>
    </row>
    <row r="839" ht="12.75" spans="1:7">
      <c r="A839" s="5"/>
      <c r="B839" s="8"/>
      <c r="C839" s="8"/>
      <c r="D839" s="8"/>
      <c r="E839" s="8"/>
      <c r="F839" s="3"/>
      <c r="G839" s="3"/>
    </row>
    <row r="840" ht="12.75" spans="1:7">
      <c r="A840" s="5"/>
      <c r="B840" s="8"/>
      <c r="C840" s="8"/>
      <c r="D840" s="8"/>
      <c r="E840" s="8"/>
      <c r="F840" s="3"/>
      <c r="G840" s="3"/>
    </row>
    <row r="841" ht="12.75" spans="1:7">
      <c r="A841" s="5"/>
      <c r="B841" s="8"/>
      <c r="C841" s="8"/>
      <c r="D841" s="8"/>
      <c r="E841" s="8"/>
      <c r="F841" s="3"/>
      <c r="G841" s="3"/>
    </row>
    <row r="842" ht="12.75" spans="1:7">
      <c r="A842" s="5"/>
      <c r="B842" s="8"/>
      <c r="C842" s="8"/>
      <c r="D842" s="8"/>
      <c r="E842" s="8"/>
      <c r="F842" s="3"/>
      <c r="G842" s="3"/>
    </row>
    <row r="843" ht="12.75" spans="1:7">
      <c r="A843" s="5"/>
      <c r="B843" s="8"/>
      <c r="C843" s="8"/>
      <c r="D843" s="8"/>
      <c r="E843" s="8"/>
      <c r="F843" s="3"/>
      <c r="G843" s="3"/>
    </row>
    <row r="844" ht="12.75" spans="1:7">
      <c r="A844" s="5"/>
      <c r="B844" s="8"/>
      <c r="C844" s="8"/>
      <c r="D844" s="8"/>
      <c r="E844" s="8"/>
      <c r="F844" s="3"/>
      <c r="G844" s="3"/>
    </row>
    <row r="845" ht="12.75" spans="1:7">
      <c r="A845" s="5"/>
      <c r="B845" s="8"/>
      <c r="C845" s="8"/>
      <c r="D845" s="8"/>
      <c r="E845" s="8"/>
      <c r="F845" s="3"/>
      <c r="G845" s="3"/>
    </row>
    <row r="846" ht="12.75" spans="1:7">
      <c r="A846" s="5"/>
      <c r="B846" s="8"/>
      <c r="C846" s="8"/>
      <c r="D846" s="8"/>
      <c r="E846" s="8"/>
      <c r="F846" s="3"/>
      <c r="G846" s="3"/>
    </row>
    <row r="847" ht="12.75" spans="1:7">
      <c r="A847" s="5"/>
      <c r="B847" s="8"/>
      <c r="C847" s="8"/>
      <c r="D847" s="8"/>
      <c r="E847" s="8"/>
      <c r="F847" s="3"/>
      <c r="G847" s="3"/>
    </row>
    <row r="848" ht="12.75" spans="1:7">
      <c r="A848" s="5"/>
      <c r="B848" s="8"/>
      <c r="C848" s="8"/>
      <c r="D848" s="8"/>
      <c r="E848" s="8"/>
      <c r="F848" s="3"/>
      <c r="G848" s="3"/>
    </row>
    <row r="849" ht="12.75" spans="1:7">
      <c r="A849" s="5"/>
      <c r="B849" s="8"/>
      <c r="C849" s="8"/>
      <c r="D849" s="8"/>
      <c r="E849" s="8"/>
      <c r="F849" s="3"/>
      <c r="G849" s="3"/>
    </row>
    <row r="850" ht="12.75" spans="1:7">
      <c r="A850" s="5"/>
      <c r="B850" s="8"/>
      <c r="C850" s="8"/>
      <c r="D850" s="8"/>
      <c r="E850" s="8"/>
      <c r="F850" s="3"/>
      <c r="G850" s="3"/>
    </row>
    <row r="851" ht="12.75" spans="1:7">
      <c r="A851" s="5"/>
      <c r="B851" s="8"/>
      <c r="C851" s="8"/>
      <c r="D851" s="8"/>
      <c r="E851" s="8"/>
      <c r="F851" s="3"/>
      <c r="G851" s="3"/>
    </row>
    <row r="852" ht="12.75" spans="1:7">
      <c r="A852" s="5"/>
      <c r="B852" s="8"/>
      <c r="C852" s="8"/>
      <c r="D852" s="8"/>
      <c r="E852" s="8"/>
      <c r="F852" s="3"/>
      <c r="G852" s="3"/>
    </row>
    <row r="853" ht="12.75" spans="1:7">
      <c r="A853" s="5"/>
      <c r="B853" s="8"/>
      <c r="C853" s="8"/>
      <c r="D853" s="8"/>
      <c r="E853" s="8"/>
      <c r="F853" s="3"/>
      <c r="G853" s="3"/>
    </row>
    <row r="854" ht="12.75" spans="1:7">
      <c r="A854" s="5"/>
      <c r="B854" s="8"/>
      <c r="C854" s="8"/>
      <c r="D854" s="8"/>
      <c r="E854" s="8"/>
      <c r="F854" s="3"/>
      <c r="G854" s="3"/>
    </row>
    <row r="855" ht="12.75" spans="1:7">
      <c r="A855" s="5"/>
      <c r="B855" s="8"/>
      <c r="C855" s="8"/>
      <c r="D855" s="8"/>
      <c r="E855" s="8"/>
      <c r="F855" s="3"/>
      <c r="G855" s="3"/>
    </row>
    <row r="856" ht="12.75" spans="1:7">
      <c r="A856" s="5"/>
      <c r="B856" s="8"/>
      <c r="C856" s="8"/>
      <c r="D856" s="8"/>
      <c r="E856" s="8"/>
      <c r="F856" s="3"/>
      <c r="G856" s="3"/>
    </row>
    <row r="857" ht="12.75" spans="1:7">
      <c r="A857" s="5"/>
      <c r="B857" s="8"/>
      <c r="C857" s="8"/>
      <c r="D857" s="8"/>
      <c r="E857" s="8"/>
      <c r="F857" s="3"/>
      <c r="G857" s="3"/>
    </row>
    <row r="858" ht="12.75" spans="1:7">
      <c r="A858" s="5"/>
      <c r="B858" s="8"/>
      <c r="C858" s="8"/>
      <c r="D858" s="8"/>
      <c r="E858" s="8"/>
      <c r="F858" s="3"/>
      <c r="G858" s="3"/>
    </row>
    <row r="859" ht="12.75" spans="1:7">
      <c r="A859" s="5"/>
      <c r="B859" s="8"/>
      <c r="C859" s="8"/>
      <c r="D859" s="8"/>
      <c r="E859" s="8"/>
      <c r="F859" s="3"/>
      <c r="G859" s="3"/>
    </row>
    <row r="860" ht="12.75" spans="1:7">
      <c r="A860" s="5"/>
      <c r="B860" s="8"/>
      <c r="C860" s="8"/>
      <c r="D860" s="8"/>
      <c r="E860" s="8"/>
      <c r="F860" s="3"/>
      <c r="G860" s="3"/>
    </row>
    <row r="861" ht="12.75" spans="1:7">
      <c r="A861" s="5"/>
      <c r="B861" s="8"/>
      <c r="C861" s="8"/>
      <c r="D861" s="8"/>
      <c r="E861" s="8"/>
      <c r="F861" s="3"/>
      <c r="G861" s="3"/>
    </row>
    <row r="862" ht="12.75" spans="1:7">
      <c r="A862" s="5"/>
      <c r="B862" s="8"/>
      <c r="C862" s="8"/>
      <c r="D862" s="8"/>
      <c r="E862" s="8"/>
      <c r="F862" s="3"/>
      <c r="G862" s="3"/>
    </row>
    <row r="863" ht="12.75" spans="1:7">
      <c r="A863" s="5"/>
      <c r="B863" s="8"/>
      <c r="C863" s="8"/>
      <c r="D863" s="8"/>
      <c r="E863" s="8"/>
      <c r="F863" s="3"/>
      <c r="G863" s="3"/>
    </row>
    <row r="864" ht="12.75" spans="1:7">
      <c r="A864" s="5"/>
      <c r="B864" s="8"/>
      <c r="C864" s="8"/>
      <c r="D864" s="8"/>
      <c r="E864" s="8"/>
      <c r="F864" s="3"/>
      <c r="G864" s="3"/>
    </row>
    <row r="865" ht="12.75" spans="1:7">
      <c r="A865" s="5"/>
      <c r="B865" s="8"/>
      <c r="C865" s="8"/>
      <c r="D865" s="8"/>
      <c r="E865" s="8"/>
      <c r="F865" s="3"/>
      <c r="G865" s="3"/>
    </row>
    <row r="866" ht="12.75" spans="1:7">
      <c r="A866" s="5"/>
      <c r="B866" s="8"/>
      <c r="C866" s="8"/>
      <c r="D866" s="8"/>
      <c r="E866" s="8"/>
      <c r="F866" s="3"/>
      <c r="G866" s="3"/>
    </row>
    <row r="867" ht="12.75" spans="1:7">
      <c r="A867" s="5"/>
      <c r="B867" s="8"/>
      <c r="C867" s="8"/>
      <c r="D867" s="8"/>
      <c r="E867" s="8"/>
      <c r="F867" s="3"/>
      <c r="G867" s="3"/>
    </row>
    <row r="868" ht="12.75" spans="1:7">
      <c r="A868" s="5"/>
      <c r="B868" s="8"/>
      <c r="C868" s="8"/>
      <c r="D868" s="8"/>
      <c r="E868" s="8"/>
      <c r="F868" s="3"/>
      <c r="G868" s="3"/>
    </row>
    <row r="869" ht="12.75" spans="1:7">
      <c r="A869" s="5"/>
      <c r="B869" s="8"/>
      <c r="C869" s="8"/>
      <c r="D869" s="8"/>
      <c r="E869" s="8"/>
      <c r="F869" s="3"/>
      <c r="G869" s="3"/>
    </row>
    <row r="870" ht="12.75" spans="1:7">
      <c r="A870" s="5"/>
      <c r="B870" s="8"/>
      <c r="C870" s="8"/>
      <c r="D870" s="8"/>
      <c r="E870" s="8"/>
      <c r="F870" s="3"/>
      <c r="G870" s="3"/>
    </row>
    <row r="871" ht="12.75" spans="1:7">
      <c r="A871" s="5"/>
      <c r="B871" s="8"/>
      <c r="C871" s="8"/>
      <c r="D871" s="8"/>
      <c r="E871" s="8"/>
      <c r="F871" s="3"/>
      <c r="G871" s="3"/>
    </row>
    <row r="872" ht="12.75" spans="1:7">
      <c r="A872" s="5"/>
      <c r="B872" s="8"/>
      <c r="C872" s="8"/>
      <c r="D872" s="8"/>
      <c r="E872" s="8"/>
      <c r="F872" s="3"/>
      <c r="G872" s="3"/>
    </row>
    <row r="873" ht="12.75" spans="1:7">
      <c r="A873" s="5"/>
      <c r="B873" s="8"/>
      <c r="C873" s="8"/>
      <c r="D873" s="8"/>
      <c r="E873" s="8"/>
      <c r="F873" s="3"/>
      <c r="G873" s="3"/>
    </row>
    <row r="874" ht="12.75" spans="1:7">
      <c r="A874" s="5"/>
      <c r="B874" s="8"/>
      <c r="C874" s="8"/>
      <c r="D874" s="8"/>
      <c r="E874" s="8"/>
      <c r="F874" s="3"/>
      <c r="G874" s="3"/>
    </row>
    <row r="875" ht="12.75" spans="1:7">
      <c r="A875" s="5"/>
      <c r="B875" s="8"/>
      <c r="C875" s="8"/>
      <c r="D875" s="8"/>
      <c r="E875" s="8"/>
      <c r="F875" s="3"/>
      <c r="G875" s="3"/>
    </row>
    <row r="876" ht="12.75" spans="1:7">
      <c r="A876" s="5"/>
      <c r="B876" s="8"/>
      <c r="C876" s="8"/>
      <c r="D876" s="8"/>
      <c r="E876" s="8"/>
      <c r="F876" s="3"/>
      <c r="G876" s="3"/>
    </row>
    <row r="877" ht="12.75" spans="1:7">
      <c r="A877" s="5"/>
      <c r="B877" s="8"/>
      <c r="C877" s="8"/>
      <c r="D877" s="8"/>
      <c r="E877" s="8"/>
      <c r="F877" s="3"/>
      <c r="G877" s="3"/>
    </row>
    <row r="878" ht="12.75" spans="1:7">
      <c r="A878" s="5"/>
      <c r="B878" s="8"/>
      <c r="C878" s="8"/>
      <c r="D878" s="8"/>
      <c r="E878" s="8"/>
      <c r="F878" s="3"/>
      <c r="G878" s="3"/>
    </row>
    <row r="879" ht="12.75" spans="1:7">
      <c r="A879" s="5"/>
      <c r="B879" s="8"/>
      <c r="C879" s="8"/>
      <c r="D879" s="8"/>
      <c r="E879" s="8"/>
      <c r="F879" s="3"/>
      <c r="G879" s="3"/>
    </row>
    <row r="880" ht="12.75" spans="1:7">
      <c r="A880" s="5"/>
      <c r="B880" s="8"/>
      <c r="C880" s="8"/>
      <c r="D880" s="8"/>
      <c r="E880" s="8"/>
      <c r="F880" s="3"/>
      <c r="G880" s="3"/>
    </row>
    <row r="881" ht="12.75" spans="1:7">
      <c r="A881" s="5"/>
      <c r="B881" s="8"/>
      <c r="C881" s="8"/>
      <c r="D881" s="8"/>
      <c r="E881" s="8"/>
      <c r="F881" s="3"/>
      <c r="G881" s="3"/>
    </row>
    <row r="882" ht="12.75" spans="1:7">
      <c r="A882" s="5"/>
      <c r="B882" s="8"/>
      <c r="C882" s="8"/>
      <c r="D882" s="8"/>
      <c r="E882" s="8"/>
      <c r="F882" s="3"/>
      <c r="G882" s="3"/>
    </row>
    <row r="883" ht="12.75" spans="1:7">
      <c r="A883" s="5"/>
      <c r="B883" s="8"/>
      <c r="C883" s="8"/>
      <c r="D883" s="8"/>
      <c r="E883" s="8"/>
      <c r="F883" s="3"/>
      <c r="G883" s="3"/>
    </row>
    <row r="884" ht="12.75" spans="1:7">
      <c r="A884" s="5"/>
      <c r="B884" s="8"/>
      <c r="C884" s="8"/>
      <c r="D884" s="8"/>
      <c r="E884" s="8"/>
      <c r="F884" s="3"/>
      <c r="G884" s="3"/>
    </row>
    <row r="885" ht="12.75" spans="1:7">
      <c r="A885" s="5"/>
      <c r="B885" s="8"/>
      <c r="C885" s="8"/>
      <c r="D885" s="8"/>
      <c r="E885" s="8"/>
      <c r="F885" s="3"/>
      <c r="G885" s="3"/>
    </row>
    <row r="886" ht="12.75" spans="1:7">
      <c r="A886" s="5"/>
      <c r="B886" s="8"/>
      <c r="C886" s="8"/>
      <c r="D886" s="8"/>
      <c r="E886" s="8"/>
      <c r="F886" s="3"/>
      <c r="G886" s="3"/>
    </row>
    <row r="887" ht="12.75" spans="1:7">
      <c r="A887" s="5"/>
      <c r="B887" s="8"/>
      <c r="C887" s="8"/>
      <c r="D887" s="8"/>
      <c r="E887" s="8"/>
      <c r="F887" s="3"/>
      <c r="G887" s="3"/>
    </row>
    <row r="888" ht="12.75" spans="1:7">
      <c r="A888" s="5"/>
      <c r="B888" s="8"/>
      <c r="C888" s="8"/>
      <c r="D888" s="8"/>
      <c r="E888" s="8"/>
      <c r="F888" s="3"/>
      <c r="G888" s="3"/>
    </row>
    <row r="889" ht="12.75" spans="1:7">
      <c r="A889" s="5"/>
      <c r="B889" s="8"/>
      <c r="C889" s="8"/>
      <c r="D889" s="8"/>
      <c r="E889" s="8"/>
      <c r="F889" s="3"/>
      <c r="G889" s="3"/>
    </row>
    <row r="890" ht="12.75" spans="1:7">
      <c r="A890" s="5"/>
      <c r="B890" s="8"/>
      <c r="C890" s="8"/>
      <c r="D890" s="8"/>
      <c r="E890" s="8"/>
      <c r="F890" s="3"/>
      <c r="G890" s="3"/>
    </row>
    <row r="891" ht="12.75" spans="1:7">
      <c r="A891" s="5"/>
      <c r="B891" s="8"/>
      <c r="C891" s="8"/>
      <c r="D891" s="8"/>
      <c r="E891" s="8"/>
      <c r="F891" s="3"/>
      <c r="G891" s="3"/>
    </row>
    <row r="892" ht="12.75" spans="1:7">
      <c r="A892" s="5"/>
      <c r="B892" s="8"/>
      <c r="C892" s="8"/>
      <c r="D892" s="8"/>
      <c r="E892" s="8"/>
      <c r="F892" s="3"/>
      <c r="G892" s="3"/>
    </row>
    <row r="893" ht="12.75" spans="1:7">
      <c r="A893" s="5"/>
      <c r="B893" s="8"/>
      <c r="C893" s="8"/>
      <c r="D893" s="8"/>
      <c r="E893" s="8"/>
      <c r="F893" s="3"/>
      <c r="G893" s="3"/>
    </row>
    <row r="894" ht="12.75" spans="1:7">
      <c r="A894" s="5"/>
      <c r="B894" s="8"/>
      <c r="C894" s="8"/>
      <c r="D894" s="8"/>
      <c r="E894" s="8"/>
      <c r="F894" s="3"/>
      <c r="G894" s="3"/>
    </row>
    <row r="895" ht="12.75" spans="1:7">
      <c r="A895" s="5"/>
      <c r="B895" s="8"/>
      <c r="C895" s="8"/>
      <c r="D895" s="8"/>
      <c r="E895" s="8"/>
      <c r="F895" s="3"/>
      <c r="G895" s="3"/>
    </row>
    <row r="896" ht="12.75" spans="1:7">
      <c r="A896" s="5"/>
      <c r="B896" s="8"/>
      <c r="C896" s="8"/>
      <c r="D896" s="8"/>
      <c r="E896" s="8"/>
      <c r="F896" s="3"/>
      <c r="G896" s="3"/>
    </row>
    <row r="897" ht="12.75" spans="1:7">
      <c r="A897" s="5"/>
      <c r="B897" s="8"/>
      <c r="C897" s="8"/>
      <c r="D897" s="8"/>
      <c r="E897" s="8"/>
      <c r="F897" s="3"/>
      <c r="G897" s="3"/>
    </row>
    <row r="898" ht="12.75" spans="1:7">
      <c r="A898" s="5"/>
      <c r="B898" s="8"/>
      <c r="C898" s="8"/>
      <c r="D898" s="8"/>
      <c r="E898" s="8"/>
      <c r="F898" s="3"/>
      <c r="G898" s="3"/>
    </row>
    <row r="899" ht="12.75" spans="1:7">
      <c r="A899" s="5"/>
      <c r="B899" s="8"/>
      <c r="C899" s="8"/>
      <c r="D899" s="8"/>
      <c r="E899" s="8"/>
      <c r="F899" s="3"/>
      <c r="G899" s="3"/>
    </row>
    <row r="900" ht="12.75" spans="1:7">
      <c r="A900" s="5"/>
      <c r="B900" s="8"/>
      <c r="C900" s="8"/>
      <c r="D900" s="8"/>
      <c r="E900" s="8"/>
      <c r="F900" s="3"/>
      <c r="G900" s="3"/>
    </row>
    <row r="901" ht="12.75" spans="1:7">
      <c r="A901" s="5"/>
      <c r="B901" s="8"/>
      <c r="C901" s="8"/>
      <c r="D901" s="8"/>
      <c r="E901" s="8"/>
      <c r="F901" s="3"/>
      <c r="G901" s="3"/>
    </row>
    <row r="902" ht="12.75" spans="1:7">
      <c r="A902" s="5"/>
      <c r="B902" s="8"/>
      <c r="C902" s="8"/>
      <c r="D902" s="8"/>
      <c r="E902" s="8"/>
      <c r="F902" s="3"/>
      <c r="G902" s="3"/>
    </row>
    <row r="903" ht="12.75" spans="1:7">
      <c r="A903" s="5"/>
      <c r="B903" s="8"/>
      <c r="C903" s="8"/>
      <c r="D903" s="8"/>
      <c r="E903" s="8"/>
      <c r="F903" s="3"/>
      <c r="G903" s="3"/>
    </row>
    <row r="904" ht="12.75" spans="1:7">
      <c r="A904" s="5"/>
      <c r="B904" s="8"/>
      <c r="C904" s="8"/>
      <c r="D904" s="8"/>
      <c r="E904" s="8"/>
      <c r="F904" s="3"/>
      <c r="G904" s="3"/>
    </row>
    <row r="905" ht="12.75" spans="1:7">
      <c r="A905" s="5"/>
      <c r="B905" s="8"/>
      <c r="C905" s="8"/>
      <c r="D905" s="8"/>
      <c r="E905" s="8"/>
      <c r="F905" s="3"/>
      <c r="G905" s="3"/>
    </row>
    <row r="906" ht="12.75" spans="1:7">
      <c r="A906" s="5"/>
      <c r="B906" s="8"/>
      <c r="C906" s="8"/>
      <c r="D906" s="8"/>
      <c r="E906" s="8"/>
      <c r="F906" s="3"/>
      <c r="G906" s="3"/>
    </row>
    <row r="907" ht="12.75" spans="1:7">
      <c r="A907" s="5"/>
      <c r="B907" s="8"/>
      <c r="C907" s="8"/>
      <c r="D907" s="8"/>
      <c r="E907" s="8"/>
      <c r="F907" s="3"/>
      <c r="G907" s="3"/>
    </row>
    <row r="908" ht="12.75" spans="1:7">
      <c r="A908" s="5"/>
      <c r="B908" s="8"/>
      <c r="C908" s="8"/>
      <c r="D908" s="8"/>
      <c r="E908" s="8"/>
      <c r="F908" s="3"/>
      <c r="G908" s="3"/>
    </row>
    <row r="909" ht="12.75" spans="1:7">
      <c r="A909" s="5"/>
      <c r="B909" s="8"/>
      <c r="C909" s="8"/>
      <c r="D909" s="8"/>
      <c r="E909" s="8"/>
      <c r="F909" s="3"/>
      <c r="G909" s="3"/>
    </row>
    <row r="910" ht="12.75" spans="1:7">
      <c r="A910" s="5"/>
      <c r="B910" s="8"/>
      <c r="C910" s="8"/>
      <c r="D910" s="8"/>
      <c r="E910" s="8"/>
      <c r="F910" s="3"/>
      <c r="G910" s="3"/>
    </row>
    <row r="911" ht="12.75" spans="1:7">
      <c r="A911" s="5"/>
      <c r="B911" s="8"/>
      <c r="C911" s="8"/>
      <c r="D911" s="8"/>
      <c r="E911" s="8"/>
      <c r="F911" s="3"/>
      <c r="G911" s="3"/>
    </row>
    <row r="912" ht="12.75" spans="1:7">
      <c r="A912" s="5"/>
      <c r="B912" s="8"/>
      <c r="C912" s="8"/>
      <c r="D912" s="8"/>
      <c r="E912" s="8"/>
      <c r="F912" s="3"/>
      <c r="G912" s="3"/>
    </row>
    <row r="913" ht="12.75" spans="1:7">
      <c r="A913" s="5"/>
      <c r="B913" s="8"/>
      <c r="C913" s="8"/>
      <c r="D913" s="8"/>
      <c r="E913" s="8"/>
      <c r="F913" s="3"/>
      <c r="G913" s="3"/>
    </row>
    <row r="914" ht="12.75" spans="1:7">
      <c r="A914" s="5"/>
      <c r="B914" s="8"/>
      <c r="C914" s="8"/>
      <c r="D914" s="8"/>
      <c r="E914" s="8"/>
      <c r="F914" s="3"/>
      <c r="G914" s="3"/>
    </row>
    <row r="915" ht="12.75" spans="1:7">
      <c r="A915" s="5"/>
      <c r="B915" s="8"/>
      <c r="C915" s="8"/>
      <c r="D915" s="8"/>
      <c r="E915" s="8"/>
      <c r="F915" s="3"/>
      <c r="G915" s="3"/>
    </row>
    <row r="916" ht="12.75" spans="1:7">
      <c r="A916" s="5"/>
      <c r="B916" s="8"/>
      <c r="C916" s="8"/>
      <c r="D916" s="8"/>
      <c r="E916" s="8"/>
      <c r="F916" s="3"/>
      <c r="G916" s="3"/>
    </row>
    <row r="917" ht="12.75" spans="1:7">
      <c r="A917" s="5"/>
      <c r="B917" s="8"/>
      <c r="C917" s="8"/>
      <c r="D917" s="8"/>
      <c r="E917" s="8"/>
      <c r="F917" s="3"/>
      <c r="G917" s="3"/>
    </row>
    <row r="918" ht="12.75" spans="1:7">
      <c r="A918" s="5"/>
      <c r="B918" s="8"/>
      <c r="C918" s="8"/>
      <c r="D918" s="8"/>
      <c r="E918" s="8"/>
      <c r="F918" s="3"/>
      <c r="G918" s="3"/>
    </row>
    <row r="919" ht="12.75" spans="1:7">
      <c r="A919" s="5"/>
      <c r="B919" s="8"/>
      <c r="C919" s="8"/>
      <c r="D919" s="8"/>
      <c r="E919" s="8"/>
      <c r="F919" s="3"/>
      <c r="G919" s="3"/>
    </row>
    <row r="920" ht="12.75" spans="1:7">
      <c r="A920" s="5"/>
      <c r="B920" s="8"/>
      <c r="C920" s="8"/>
      <c r="D920" s="8"/>
      <c r="E920" s="8"/>
      <c r="F920" s="3"/>
      <c r="G920" s="3"/>
    </row>
    <row r="921" ht="12.75" spans="1:7">
      <c r="A921" s="5"/>
      <c r="B921" s="8"/>
      <c r="C921" s="8"/>
      <c r="D921" s="8"/>
      <c r="E921" s="8"/>
      <c r="F921" s="3"/>
      <c r="G921" s="3"/>
    </row>
    <row r="922" ht="12.75" spans="1:7">
      <c r="A922" s="5"/>
      <c r="B922" s="8"/>
      <c r="C922" s="8"/>
      <c r="D922" s="8"/>
      <c r="E922" s="8"/>
      <c r="F922" s="3"/>
      <c r="G922" s="3"/>
    </row>
    <row r="923" ht="12.75" spans="1:7">
      <c r="A923" s="5"/>
      <c r="B923" s="8"/>
      <c r="C923" s="8"/>
      <c r="D923" s="8"/>
      <c r="E923" s="8"/>
      <c r="F923" s="3"/>
      <c r="G923" s="3"/>
    </row>
    <row r="924" ht="12.75" spans="1:7">
      <c r="A924" s="5"/>
      <c r="B924" s="8"/>
      <c r="C924" s="8"/>
      <c r="D924" s="8"/>
      <c r="E924" s="8"/>
      <c r="F924" s="3"/>
      <c r="G924" s="3"/>
    </row>
    <row r="925" ht="12.75" spans="1:7">
      <c r="A925" s="5"/>
      <c r="B925" s="8"/>
      <c r="C925" s="8"/>
      <c r="D925" s="8"/>
      <c r="E925" s="8"/>
      <c r="F925" s="3"/>
      <c r="G925" s="3"/>
    </row>
    <row r="926" ht="12.75" spans="1:7">
      <c r="A926" s="5"/>
      <c r="B926" s="8"/>
      <c r="C926" s="8"/>
      <c r="D926" s="8"/>
      <c r="E926" s="8"/>
      <c r="F926" s="3"/>
      <c r="G926" s="3"/>
    </row>
    <row r="927" ht="12.75" spans="1:7">
      <c r="A927" s="5"/>
      <c r="B927" s="8"/>
      <c r="C927" s="8"/>
      <c r="D927" s="8"/>
      <c r="E927" s="8"/>
      <c r="F927" s="3"/>
      <c r="G927" s="3"/>
    </row>
    <row r="928" ht="12.75" spans="1:7">
      <c r="A928" s="5"/>
      <c r="B928" s="8"/>
      <c r="C928" s="8"/>
      <c r="D928" s="8"/>
      <c r="E928" s="8"/>
      <c r="F928" s="3"/>
      <c r="G928" s="3"/>
    </row>
    <row r="929" ht="12.75" spans="1:7">
      <c r="A929" s="5"/>
      <c r="B929" s="8"/>
      <c r="C929" s="8"/>
      <c r="D929" s="8"/>
      <c r="E929" s="8"/>
      <c r="F929" s="3"/>
      <c r="G929" s="3"/>
    </row>
    <row r="930" ht="12.75" spans="1:7">
      <c r="A930" s="5"/>
      <c r="B930" s="8"/>
      <c r="C930" s="8"/>
      <c r="D930" s="8"/>
      <c r="E930" s="8"/>
      <c r="F930" s="3"/>
      <c r="G930" s="3"/>
    </row>
    <row r="931" ht="12.75" spans="1:7">
      <c r="A931" s="5"/>
      <c r="B931" s="8"/>
      <c r="C931" s="8"/>
      <c r="D931" s="8"/>
      <c r="E931" s="8"/>
      <c r="F931" s="3"/>
      <c r="G931" s="3"/>
    </row>
    <row r="932" ht="12.75" spans="1:7">
      <c r="A932" s="5"/>
      <c r="B932" s="8"/>
      <c r="C932" s="8"/>
      <c r="D932" s="8"/>
      <c r="E932" s="8"/>
      <c r="F932" s="3"/>
      <c r="G932" s="3"/>
    </row>
    <row r="933" ht="12.75" spans="1:7">
      <c r="A933" s="5"/>
      <c r="B933" s="8"/>
      <c r="C933" s="8"/>
      <c r="D933" s="8"/>
      <c r="E933" s="8"/>
      <c r="F933" s="3"/>
      <c r="G933" s="3"/>
    </row>
    <row r="934" ht="12.75" spans="1:7">
      <c r="A934" s="5"/>
      <c r="B934" s="8"/>
      <c r="C934" s="8"/>
      <c r="D934" s="8"/>
      <c r="E934" s="8"/>
      <c r="F934" s="3"/>
      <c r="G934" s="3"/>
    </row>
    <row r="935" ht="12.75" spans="1:7">
      <c r="A935" s="5"/>
      <c r="B935" s="8"/>
      <c r="C935" s="8"/>
      <c r="D935" s="8"/>
      <c r="E935" s="8"/>
      <c r="F935" s="3"/>
      <c r="G935" s="3"/>
    </row>
    <row r="936" ht="12.75" spans="1:7">
      <c r="A936" s="5"/>
      <c r="B936" s="8"/>
      <c r="C936" s="8"/>
      <c r="D936" s="8"/>
      <c r="E936" s="8"/>
      <c r="F936" s="3"/>
      <c r="G936" s="3"/>
    </row>
    <row r="937" ht="12.75" spans="1:7">
      <c r="A937" s="5"/>
      <c r="B937" s="8"/>
      <c r="C937" s="8"/>
      <c r="D937" s="8"/>
      <c r="E937" s="8"/>
      <c r="F937" s="3"/>
      <c r="G937" s="3"/>
    </row>
    <row r="938" ht="12.75" spans="1:7">
      <c r="A938" s="5"/>
      <c r="B938" s="8"/>
      <c r="C938" s="8"/>
      <c r="D938" s="8"/>
      <c r="E938" s="8"/>
      <c r="F938" s="3"/>
      <c r="G938" s="3"/>
    </row>
    <row r="939" ht="12.75" spans="1:7">
      <c r="A939" s="5"/>
      <c r="B939" s="8"/>
      <c r="C939" s="8"/>
      <c r="D939" s="8"/>
      <c r="E939" s="8"/>
      <c r="F939" s="3"/>
      <c r="G939" s="3"/>
    </row>
    <row r="940" ht="12.75" spans="1:7">
      <c r="A940" s="5"/>
      <c r="B940" s="8"/>
      <c r="C940" s="8"/>
      <c r="D940" s="8"/>
      <c r="E940" s="8"/>
      <c r="F940" s="3"/>
      <c r="G940" s="3"/>
    </row>
    <row r="941" ht="12.75" spans="1:7">
      <c r="A941" s="5"/>
      <c r="B941" s="8"/>
      <c r="C941" s="8"/>
      <c r="D941" s="8"/>
      <c r="E941" s="8"/>
      <c r="F941" s="3"/>
      <c r="G941" s="3"/>
    </row>
    <row r="942" ht="12.75" spans="1:7">
      <c r="A942" s="5"/>
      <c r="B942" s="8"/>
      <c r="C942" s="8"/>
      <c r="D942" s="8"/>
      <c r="E942" s="8"/>
      <c r="F942" s="3"/>
      <c r="G942" s="3"/>
    </row>
    <row r="943" ht="12.75" spans="1:7">
      <c r="A943" s="5"/>
      <c r="B943" s="8"/>
      <c r="C943" s="8"/>
      <c r="D943" s="8"/>
      <c r="E943" s="8"/>
      <c r="F943" s="3"/>
      <c r="G943" s="3"/>
    </row>
    <row r="944" ht="12.75" spans="1:7">
      <c r="A944" s="5"/>
      <c r="B944" s="8"/>
      <c r="C944" s="8"/>
      <c r="D944" s="8"/>
      <c r="E944" s="8"/>
      <c r="F944" s="3"/>
      <c r="G944" s="3"/>
    </row>
    <row r="945" ht="12.75" spans="1:7">
      <c r="A945" s="5"/>
      <c r="B945" s="8"/>
      <c r="C945" s="8"/>
      <c r="D945" s="8"/>
      <c r="E945" s="8"/>
      <c r="F945" s="3"/>
      <c r="G945" s="3"/>
    </row>
    <row r="946" ht="12.75" spans="1:7">
      <c r="A946" s="5"/>
      <c r="B946" s="8"/>
      <c r="C946" s="8"/>
      <c r="D946" s="8"/>
      <c r="E946" s="8"/>
      <c r="F946" s="3"/>
      <c r="G946" s="3"/>
    </row>
    <row r="947" ht="12.75" spans="1:7">
      <c r="A947" s="5"/>
      <c r="B947" s="8"/>
      <c r="C947" s="8"/>
      <c r="D947" s="8"/>
      <c r="E947" s="8"/>
      <c r="F947" s="3"/>
      <c r="G947" s="3"/>
    </row>
    <row r="948" ht="12.75" spans="1:7">
      <c r="A948" s="5"/>
      <c r="B948" s="8"/>
      <c r="C948" s="8"/>
      <c r="D948" s="8"/>
      <c r="E948" s="8"/>
      <c r="F948" s="3"/>
      <c r="G948" s="3"/>
    </row>
    <row r="949" ht="12.75" spans="1:7">
      <c r="A949" s="5"/>
      <c r="B949" s="8"/>
      <c r="C949" s="8"/>
      <c r="D949" s="8"/>
      <c r="E949" s="8"/>
      <c r="F949" s="3"/>
      <c r="G949" s="3"/>
    </row>
    <row r="950" ht="12.75" spans="1:7">
      <c r="A950" s="5"/>
      <c r="B950" s="8"/>
      <c r="C950" s="8"/>
      <c r="D950" s="8"/>
      <c r="E950" s="8"/>
      <c r="F950" s="3"/>
      <c r="G950" s="3"/>
    </row>
    <row r="951" ht="12.75" spans="1:7">
      <c r="A951" s="5"/>
      <c r="B951" s="8"/>
      <c r="C951" s="8"/>
      <c r="D951" s="8"/>
      <c r="E951" s="8"/>
      <c r="F951" s="3"/>
      <c r="G951" s="3"/>
    </row>
    <row r="952" ht="12.75" spans="1:7">
      <c r="A952" s="5"/>
      <c r="B952" s="8"/>
      <c r="C952" s="8"/>
      <c r="D952" s="8"/>
      <c r="E952" s="8"/>
      <c r="F952" s="3"/>
      <c r="G952" s="3"/>
    </row>
    <row r="953" ht="12.75" spans="1:7">
      <c r="A953" s="5"/>
      <c r="B953" s="8"/>
      <c r="C953" s="8"/>
      <c r="D953" s="8"/>
      <c r="E953" s="8"/>
      <c r="F953" s="3"/>
      <c r="G953" s="3"/>
    </row>
    <row r="954" ht="12.75" spans="1:7">
      <c r="A954" s="5"/>
      <c r="B954" s="8"/>
      <c r="C954" s="8"/>
      <c r="D954" s="8"/>
      <c r="E954" s="8"/>
      <c r="F954" s="3"/>
      <c r="G954" s="3"/>
    </row>
    <row r="955" ht="12.75" spans="1:7">
      <c r="A955" s="5"/>
      <c r="B955" s="8"/>
      <c r="C955" s="8"/>
      <c r="D955" s="8"/>
      <c r="E955" s="8"/>
      <c r="F955" s="3"/>
      <c r="G955" s="3"/>
    </row>
    <row r="956" ht="12.75" spans="1:7">
      <c r="A956" s="5"/>
      <c r="B956" s="8"/>
      <c r="C956" s="8"/>
      <c r="D956" s="8"/>
      <c r="E956" s="8"/>
      <c r="F956" s="3"/>
      <c r="G956" s="3"/>
    </row>
    <row r="957" ht="12.75" spans="1:7">
      <c r="A957" s="5"/>
      <c r="B957" s="8"/>
      <c r="C957" s="8"/>
      <c r="D957" s="8"/>
      <c r="E957" s="8"/>
      <c r="F957" s="3"/>
      <c r="G957" s="3"/>
    </row>
    <row r="958" ht="12.75" spans="1:7">
      <c r="A958" s="5"/>
      <c r="B958" s="8"/>
      <c r="C958" s="8"/>
      <c r="D958" s="8"/>
      <c r="E958" s="8"/>
      <c r="F958" s="3"/>
      <c r="G958" s="3"/>
    </row>
    <row r="959" ht="12.75" spans="1:7">
      <c r="A959" s="5"/>
      <c r="B959" s="8"/>
      <c r="C959" s="8"/>
      <c r="D959" s="8"/>
      <c r="E959" s="8"/>
      <c r="F959" s="3"/>
      <c r="G959" s="3"/>
    </row>
    <row r="960" ht="12.75" spans="1:7">
      <c r="A960" s="5"/>
      <c r="B960" s="8"/>
      <c r="C960" s="8"/>
      <c r="D960" s="8"/>
      <c r="E960" s="8"/>
      <c r="F960" s="3"/>
      <c r="G960" s="3"/>
    </row>
    <row r="961" ht="12.75" spans="1:7">
      <c r="A961" s="5"/>
      <c r="B961" s="8"/>
      <c r="C961" s="8"/>
      <c r="D961" s="8"/>
      <c r="E961" s="8"/>
      <c r="F961" s="3"/>
      <c r="G961" s="3"/>
    </row>
    <row r="962" ht="12.75" spans="1:7">
      <c r="A962" s="5"/>
      <c r="B962" s="8"/>
      <c r="C962" s="8"/>
      <c r="D962" s="8"/>
      <c r="E962" s="8"/>
      <c r="F962" s="3"/>
      <c r="G962" s="3"/>
    </row>
    <row r="963" ht="12.75" spans="1:7">
      <c r="A963" s="5"/>
      <c r="B963" s="8"/>
      <c r="C963" s="8"/>
      <c r="D963" s="8"/>
      <c r="E963" s="8"/>
      <c r="F963" s="3"/>
      <c r="G963" s="3"/>
    </row>
    <row r="964" ht="12.75" spans="1:7">
      <c r="A964" s="5"/>
      <c r="B964" s="8"/>
      <c r="C964" s="8"/>
      <c r="D964" s="8"/>
      <c r="E964" s="8"/>
      <c r="F964" s="3"/>
      <c r="G964" s="3"/>
    </row>
    <row r="965" ht="12.75" spans="1:7">
      <c r="A965" s="5"/>
      <c r="B965" s="8"/>
      <c r="C965" s="8"/>
      <c r="D965" s="8"/>
      <c r="E965" s="8"/>
      <c r="F965" s="3"/>
      <c r="G965" s="3"/>
    </row>
    <row r="966" ht="12.75" spans="1:7">
      <c r="A966" s="5"/>
      <c r="B966" s="8"/>
      <c r="C966" s="8"/>
      <c r="D966" s="8"/>
      <c r="E966" s="8"/>
      <c r="F966" s="3"/>
      <c r="G966" s="3"/>
    </row>
    <row r="967" ht="12.75" spans="1:7">
      <c r="A967" s="5"/>
      <c r="B967" s="8"/>
      <c r="C967" s="8"/>
      <c r="D967" s="8"/>
      <c r="E967" s="8"/>
      <c r="F967" s="3"/>
      <c r="G967" s="3"/>
    </row>
    <row r="968" ht="12.75" spans="1:7">
      <c r="A968" s="5"/>
      <c r="B968" s="8"/>
      <c r="C968" s="8"/>
      <c r="D968" s="8"/>
      <c r="E968" s="8"/>
      <c r="F968" s="3"/>
      <c r="G968" s="3"/>
    </row>
    <row r="969" ht="12.75" spans="1:7">
      <c r="A969" s="5"/>
      <c r="B969" s="8"/>
      <c r="C969" s="8"/>
      <c r="D969" s="8"/>
      <c r="E969" s="8"/>
      <c r="F969" s="3"/>
      <c r="G969" s="3"/>
    </row>
    <row r="970" ht="12.75" spans="1:7">
      <c r="A970" s="5"/>
      <c r="B970" s="8"/>
      <c r="C970" s="8"/>
      <c r="D970" s="8"/>
      <c r="E970" s="8"/>
      <c r="F970" s="3"/>
      <c r="G970" s="3"/>
    </row>
    <row r="971" ht="12.75" spans="1:7">
      <c r="A971" s="5"/>
      <c r="B971" s="8"/>
      <c r="C971" s="8"/>
      <c r="D971" s="8"/>
      <c r="E971" s="8"/>
      <c r="F971" s="3"/>
      <c r="G971" s="3"/>
    </row>
    <row r="972" ht="12.75" spans="1:7">
      <c r="A972" s="5"/>
      <c r="B972" s="8"/>
      <c r="C972" s="8"/>
      <c r="D972" s="8"/>
      <c r="E972" s="8"/>
      <c r="F972" s="3"/>
      <c r="G972" s="3"/>
    </row>
    <row r="973" ht="12.75" spans="1:7">
      <c r="A973" s="5"/>
      <c r="B973" s="8"/>
      <c r="C973" s="8"/>
      <c r="D973" s="8"/>
      <c r="E973" s="8"/>
      <c r="F973" s="3"/>
      <c r="G973" s="3"/>
    </row>
    <row r="974" ht="12.75" spans="1:7">
      <c r="A974" s="5"/>
      <c r="B974" s="8"/>
      <c r="C974" s="8"/>
      <c r="D974" s="8"/>
      <c r="E974" s="8"/>
      <c r="F974" s="3"/>
      <c r="G974" s="3"/>
    </row>
    <row r="975" ht="12.75" spans="1:7">
      <c r="A975" s="5"/>
      <c r="B975" s="8"/>
      <c r="C975" s="8"/>
      <c r="D975" s="8"/>
      <c r="E975" s="8"/>
      <c r="F975" s="3"/>
      <c r="G975" s="3"/>
    </row>
    <row r="976" ht="12.75" spans="1:7">
      <c r="A976" s="5"/>
      <c r="B976" s="8"/>
      <c r="C976" s="8"/>
      <c r="D976" s="8"/>
      <c r="E976" s="8"/>
      <c r="F976" s="3"/>
      <c r="G976" s="3"/>
    </row>
    <row r="977" ht="12.75" spans="1:7">
      <c r="A977" s="5"/>
      <c r="B977" s="8"/>
      <c r="C977" s="8"/>
      <c r="D977" s="8"/>
      <c r="E977" s="8"/>
      <c r="F977" s="3"/>
      <c r="G977" s="3"/>
    </row>
    <row r="978" ht="12.75" spans="1:7">
      <c r="A978" s="5"/>
      <c r="B978" s="8"/>
      <c r="C978" s="8"/>
      <c r="D978" s="8"/>
      <c r="E978" s="8"/>
      <c r="F978" s="3"/>
      <c r="G978" s="3"/>
    </row>
    <row r="979" ht="12.75" spans="1:7">
      <c r="A979" s="5"/>
      <c r="B979" s="8"/>
      <c r="C979" s="8"/>
      <c r="D979" s="8"/>
      <c r="E979" s="8"/>
      <c r="F979" s="3"/>
      <c r="G979" s="3"/>
    </row>
    <row r="980" ht="12.75" spans="1:7">
      <c r="A980" s="5"/>
      <c r="B980" s="8"/>
      <c r="C980" s="8"/>
      <c r="D980" s="8"/>
      <c r="E980" s="8"/>
      <c r="F980" s="3"/>
      <c r="G980" s="3"/>
    </row>
    <row r="981" ht="12.75" spans="1:7">
      <c r="A981" s="5"/>
      <c r="B981" s="8"/>
      <c r="C981" s="8"/>
      <c r="D981" s="8"/>
      <c r="E981" s="8"/>
      <c r="F981" s="3"/>
      <c r="G981" s="3"/>
    </row>
    <row r="982" ht="12.75" spans="1:7">
      <c r="A982" s="5"/>
      <c r="B982" s="8"/>
      <c r="C982" s="8"/>
      <c r="D982" s="8"/>
      <c r="E982" s="8"/>
      <c r="F982" s="3"/>
      <c r="G982" s="3"/>
    </row>
    <row r="983" ht="12.75" spans="1:7">
      <c r="A983" s="5"/>
      <c r="B983" s="8"/>
      <c r="C983" s="8"/>
      <c r="D983" s="8"/>
      <c r="E983" s="8"/>
      <c r="F983" s="3"/>
      <c r="G983" s="3"/>
    </row>
    <row r="984" ht="12.75" spans="1:7">
      <c r="A984" s="5"/>
      <c r="B984" s="8"/>
      <c r="C984" s="8"/>
      <c r="D984" s="8"/>
      <c r="E984" s="8"/>
      <c r="F984" s="3"/>
      <c r="G984" s="3"/>
    </row>
    <row r="985" ht="12.75" spans="1:7">
      <c r="A985" s="5"/>
      <c r="B985" s="8"/>
      <c r="C985" s="8"/>
      <c r="D985" s="8"/>
      <c r="E985" s="8"/>
      <c r="F985" s="3"/>
      <c r="G985" s="3"/>
    </row>
    <row r="986" ht="12.75" spans="1:7">
      <c r="A986" s="5"/>
      <c r="B986" s="8"/>
      <c r="C986" s="8"/>
      <c r="D986" s="8"/>
      <c r="E986" s="8"/>
      <c r="F986" s="3"/>
      <c r="G986" s="3"/>
    </row>
    <row r="987" ht="12.75" spans="1:7">
      <c r="A987" s="5"/>
      <c r="B987" s="8"/>
      <c r="C987" s="8"/>
      <c r="D987" s="8"/>
      <c r="E987" s="8"/>
      <c r="F987" s="3"/>
      <c r="G987" s="3"/>
    </row>
    <row r="988" ht="12.75" spans="1:7">
      <c r="A988" s="5"/>
      <c r="B988" s="8"/>
      <c r="C988" s="8"/>
      <c r="D988" s="8"/>
      <c r="E988" s="8"/>
      <c r="F988" s="3"/>
      <c r="G988" s="3"/>
    </row>
    <row r="989" ht="12.75" spans="1:7">
      <c r="A989" s="5"/>
      <c r="B989" s="8"/>
      <c r="C989" s="8"/>
      <c r="D989" s="8"/>
      <c r="E989" s="8"/>
      <c r="F989" s="3"/>
      <c r="G989" s="3"/>
    </row>
    <row r="990" ht="12.75" spans="1:7">
      <c r="A990" s="5"/>
      <c r="B990" s="8"/>
      <c r="C990" s="8"/>
      <c r="D990" s="8"/>
      <c r="E990" s="8"/>
      <c r="F990" s="3"/>
      <c r="G990" s="3"/>
    </row>
    <row r="991" ht="12.75" spans="1:7">
      <c r="A991" s="5"/>
      <c r="B991" s="8"/>
      <c r="C991" s="8"/>
      <c r="D991" s="8"/>
      <c r="E991" s="8"/>
      <c r="F991" s="3"/>
      <c r="G991" s="3"/>
    </row>
    <row r="992" ht="12.75" spans="1:7">
      <c r="A992" s="5"/>
      <c r="B992" s="8"/>
      <c r="C992" s="8"/>
      <c r="D992" s="8"/>
      <c r="E992" s="8"/>
      <c r="F992" s="3"/>
      <c r="G992" s="3"/>
    </row>
    <row r="993" ht="12.75" spans="1:7">
      <c r="A993" s="5"/>
      <c r="B993" s="8"/>
      <c r="C993" s="8"/>
      <c r="D993" s="8"/>
      <c r="E993" s="8"/>
      <c r="F993" s="3"/>
      <c r="G993" s="3"/>
    </row>
    <row r="994" ht="12.75" spans="1:7">
      <c r="A994" s="5"/>
      <c r="B994" s="8"/>
      <c r="C994" s="8"/>
      <c r="D994" s="8"/>
      <c r="E994" s="8"/>
      <c r="F994" s="3"/>
      <c r="G994" s="3"/>
    </row>
    <row r="995" ht="12.75" spans="1:7">
      <c r="A995" s="5"/>
      <c r="B995" s="8"/>
      <c r="C995" s="8"/>
      <c r="D995" s="8"/>
      <c r="E995" s="8"/>
      <c r="F995" s="3"/>
      <c r="G995" s="3"/>
    </row>
    <row r="996" ht="12.75" spans="1:7">
      <c r="A996" s="5"/>
      <c r="B996" s="8"/>
      <c r="C996" s="8"/>
      <c r="D996" s="8"/>
      <c r="E996" s="8"/>
      <c r="F996" s="3"/>
      <c r="G996" s="3"/>
    </row>
    <row r="997" ht="12.75" spans="1:7">
      <c r="A997" s="5"/>
      <c r="B997" s="8"/>
      <c r="C997" s="8"/>
      <c r="D997" s="8"/>
      <c r="E997" s="8"/>
      <c r="F997" s="3"/>
      <c r="G997" s="3"/>
    </row>
    <row r="998" ht="12.75" spans="1:7">
      <c r="A998" s="5"/>
      <c r="B998" s="8"/>
      <c r="C998" s="8"/>
      <c r="D998" s="8"/>
      <c r="E998" s="8"/>
      <c r="F998" s="3"/>
      <c r="G998" s="3"/>
    </row>
    <row r="999" ht="12.75" spans="1:7">
      <c r="A999" s="5"/>
      <c r="B999" s="8"/>
      <c r="C999" s="8"/>
      <c r="D999" s="8"/>
      <c r="E999" s="8"/>
      <c r="F999" s="3"/>
      <c r="G999" s="3"/>
    </row>
    <row r="1000" ht="12.75" spans="1:7">
      <c r="A1000" s="5"/>
      <c r="B1000" s="8"/>
      <c r="C1000" s="8"/>
      <c r="D1000" s="8"/>
      <c r="E1000" s="8"/>
      <c r="F1000" s="3"/>
      <c r="G1000" s="3"/>
    </row>
  </sheetData>
  <hyperlinks>
    <hyperlink ref="C2" r:id="rId1" display="=IFERROR(@__xludf.DUMMYFUNCTION(&quot;&quot;&quot;COMPUTED_VALUE&quot;&quot;&quot;),&quot;https://vt.tiktok.com/ZSHcFvn9aseTv-8UpR1/&quot;)"/>
    <hyperlink ref="C3" r:id="rId2" display="=IFERROR(@__xludf.DUMMYFUNCTION(&quot;&quot;&quot;COMPUTED_VALUE&quot;&quot;&quot;),&quot;https://vt.tiktok.com/ZSHcFcePgjEPP-Y7WGa/&quot;)"/>
    <hyperlink ref="C4" r:id="rId3" display="=IFERROR(@__xludf.DUMMYFUNCTION(&quot;&quot;&quot;COMPUTED_VALUE&quot;&quot;&quot;),&quot;https://vt.tiktok.com/ZSHvoDqRUkG7G-g2hHZ/&quot;)"/>
    <hyperlink ref="C5" r:id="rId4" display="=IFERROR(@__xludf.DUMMYFUNCTION(&quot;&quot;&quot;COMPUTED_VALUE&quot;&quot;&quot;),&quot;https://vt.tiktok.com/ZSHvoaN92Rdft-XwtNm/&quot;)"/>
    <hyperlink ref="C6" r:id="rId5" display="=IFERROR(@__xludf.DUMMYFUNCTION(&quot;&quot;&quot;COMPUTED_VALUE&quot;&quot;&quot;),&quot;https://vt.tiktok.com/ZSHcghp41VJEo-vHtEW/&quot;)"/>
    <hyperlink ref="C7" r:id="rId6" display="=IFERROR(@__xludf.DUMMYFUNCTION(&quot;&quot;&quot;COMPUTED_VALUE&quot;&quot;&quot;),&quot;https://vt.tiktok.com/ZSHcgBMHhYXqy-Ulq70/&quot;)"/>
    <hyperlink ref="C8" r:id="rId7" display="=IFERROR(@__xludf.DUMMYFUNCTION(&quot;&quot;&quot;COMPUTED_VALUE&quot;&quot;&quot;),&quot;https://vt.tiktok.com/ZSHTyADPwvxCQ-owpTt/&quot;)"/>
    <hyperlink ref="C9" r:id="rId8" display="=IFERROR(@__xludf.DUMMYFUNCTION(&quot;&quot;&quot;COMPUTED_VALUE&quot;&quot;&quot;),&quot;https://vt.tiktok.com/ZSHwJgCqjNkdt-3sTEv/&quot;)"/>
    <hyperlink ref="C10" r:id="rId9" display="=IFERROR(@__xludf.DUMMYFUNCTION(&quot;&quot;&quot;COMPUTED_VALUE&quot;&quot;&quot;),&quot;vt.tiktok.com/ZSHwuRY3xvy9L-8M7P7/&quot;)"/>
    <hyperlink ref="C11" r:id="rId10" display="=IFERROR(@__xludf.DUMMYFUNCTION(&quot;&quot;&quot;COMPUTED_VALUE&quot;&quot;&quot;),&quot;https://vt.tiktok.com/ZSHvQCKtFb9xE-uDXUk/&quot;)"/>
    <hyperlink ref="C12" r:id="rId11" display="=IFERROR(@__xludf.DUMMYFUNCTION(&quot;&quot;&quot;COMPUTED_VALUE&quot;&quot;&quot;),&quot;https://vt.tiktok.com/ZSHcCPwYLcYcJ-4exsN/&quot;)"/>
    <hyperlink ref="C13" r:id="rId12" display="=IFERROR(@__xludf.DUMMYFUNCTION(&quot;&quot;&quot;COMPUTED_VALUE&quot;&quot;&quot;),&quot;https://vt.tiktok.com/ZSHcbMchpHN3G-RQHSv/&quot;)"/>
    <hyperlink ref="C14" r:id="rId13" display="=IFERROR(@__xludf.DUMMYFUNCTION(&quot;&quot;&quot;COMPUTED_VALUE&quot;&quot;&quot;),&quot;https://vt.tiktok.com/ZSHcbrRPqDAN7-NPh6e/&quot;)"/>
    <hyperlink ref="C15" r:id="rId14" display="=IFERROR(@__xludf.DUMMYFUNCTION(&quot;&quot;&quot;COMPUTED_VALUE&quot;&quot;&quot;),&quot;https://vt.tiktok.com/ZSHcbrB7uGhqR-QwOle/&quot;)"/>
    <hyperlink ref="C16" r:id="rId15" display="=IFERROR(@__xludf.DUMMYFUNCTION(&quot;&quot;&quot;COMPUTED_VALUE&quot;&quot;&quot;),&quot;https://vt.tiktok.com/ZSHcbrfsmSoJh-47Zyk/&quot;)"/>
    <hyperlink ref="C17" r:id="rId16" display="=IFERROR(@__xludf.DUMMYFUNCTION(&quot;&quot;&quot;COMPUTED_VALUE&quot;&quot;&quot;),&quot;https://vt.tiktok.com/ZSHcbhA2G7sTQ-wtigp/&quot;)"/>
    <hyperlink ref="C18" r:id="rId17" display="=IFERROR(@__xludf.DUMMYFUNCTION(&quot;&quot;&quot;COMPUTED_VALUE&quot;&quot;&quot;),&quot;https://vt.tiktok.com/ZSHcbkudBBae6-ibhns/&quot;)"/>
    <hyperlink ref="C19" r:id="rId18" display="=IFERROR(@__xludf.DUMMYFUNCTION(&quot;&quot;&quot;COMPUTED_VALUE&quot;&quot;&quot;),&quot;https://vt.tiktok.com/ZSHcbBUHaxyCa-OIsDD/&quot;)"/>
    <hyperlink ref="C20" r:id="rId19" display="=IFERROR(@__xludf.DUMMYFUNCTION(&quot;&quot;&quot;COMPUTED_VALUE&quot;&quot;&quot;),&quot;https://vt.tiktok.com/ZSHcbSfkEjuJf-H9Blf/&quot;)"/>
    <hyperlink ref="C21" r:id="rId20" display="=IFERROR(@__xludf.DUMMYFUNCTION(&quot;&quot;&quot;COMPUTED_VALUE&quot;&quot;&quot;),&quot;https://vt.tiktok.com/ZSHcbDHcDuUdT-rwKVG/&quot;)"/>
    <hyperlink ref="C22" r:id="rId21" display="=IFERROR(@__xludf.DUMMYFUNCTION(&quot;&quot;&quot;COMPUTED_VALUE&quot;&quot;&quot;),&quot;https://vt.tiktok.com/ZSHcbDpVqPGmC-8SVEj/&quot;)"/>
    <hyperlink ref="C23" r:id="rId22" display="=IFERROR(@__xludf.DUMMYFUNCTION(&quot;&quot;&quot;COMPUTED_VALUE&quot;&quot;&quot;),&quot;https://vt.tiktok.com/ZSHcbyJgNCKeY-vO8oy/&quot;)"/>
    <hyperlink ref="C24" r:id="rId23" display="=IFERROR(@__xludf.DUMMYFUNCTION(&quot;&quot;&quot;COMPUTED_VALUE&quot;&quot;&quot;),&quot;vt.tiktok.com/ZSH3qdmRcS8Rc-Xu3Kt/&quot;)"/>
    <hyperlink ref="C25" r:id="rId24" display="=IFERROR(@__xludf.DUMMYFUNCTION(&quot;&quot;&quot;COMPUTED_VALUE&quot;&quot;&quot;),&quot;https://vt.tiktok.com/ZSHcbyP9XwnX6-JWIYn/&quot;)"/>
    <hyperlink ref="C26" r:id="rId25" display="=IFERROR(@__xludf.DUMMYFUNCTION(&quot;&quot;&quot;COMPUTED_VALUE&quot;&quot;&quot;),&quot;https://vt.tiktok.com/ZSH3LDWMXKH9W-HWSMC/&quot;)"/>
    <hyperlink ref="C27" r:id="rId26" display="=IFERROR(@__xludf.DUMMYFUNCTION(&quot;&quot;&quot;COMPUTED_VALUE&quot;&quot;&quot;),&quot;https://vt.tiktok.com/ZSHcFw5SC6djS-E3jnT/&quot;)"/>
    <hyperlink ref="C28" r:id="rId27" display="=IFERROR(@__xludf.DUMMYFUNCTION(&quot;&quot;&quot;COMPUTED_VALUE&quot;&quot;&quot;),&quot;vt.tiktok.com/ZSHTF6vvMRDKP-ZW9hy/&quot;)"/>
    <hyperlink ref="C29" r:id="rId28" display="=IFERROR(@__xludf.DUMMYFUNCTION(&quot;&quot;&quot;COMPUTED_VALUE&quot;&quot;&quot;),&quot;https://vt.tiktok.com/ZSHcjq5HYBFbw-Lhdu4/&quot;)"/>
    <hyperlink ref="C30" r:id="rId29" display="=IFERROR(@__xludf.DUMMYFUNCTION(&quot;&quot;&quot;COMPUTED_VALUE&quot;&quot;&quot;),&quot;https://vt.tiktok.com/ZSHcgXc4sKN5r-zsOIT/&quot;)"/>
    <hyperlink ref="C31" r:id="rId30" display="=IFERROR(@__xludf.DUMMYFUNCTION(&quot;&quot;&quot;COMPUTED_VALUE&quot;&quot;&quot;),&quot;https://vt.tiktok.com/ZSHcg4LKEt8Xp-4s9lb/&quot;)"/>
    <hyperlink ref="C32" r:id="rId31" display="=IFERROR(@__xludf.DUMMYFUNCTION(&quot;&quot;&quot;COMPUTED_VALUE&quot;&quot;&quot;),&quot;vt.tiktok.com/ZSHTFM84h9eRH-i4StD/&quot;)"/>
    <hyperlink ref="C33" r:id="rId32" display="=IFERROR(@__xludf.DUMMYFUNCTION(&quot;&quot;&quot;COMPUTED_VALUE&quot;&quot;&quot;),&quot;https://vt.tiktok.com/ZSHTFMrYCBCG7-TLNBE/&quot;)"/>
    <hyperlink ref="C34" r:id="rId33" display="=IFERROR(@__xludf.DUMMYFUNCTION(&quot;&quot;&quot;COMPUTED_VALUE&quot;&quot;&quot;),&quot;https://vt.tiktok.com/ZSHcF7F9sRbgj-LKqDW/&quot;)"/>
    <hyperlink ref="C35" r:id="rId34" display="=IFERROR(@__xludf.DUMMYFUNCTION(&quot;&quot;&quot;COMPUTED_VALUE&quot;&quot;&quot;),&quot;https://vt.tiktok.com/ZSHcFvktST8Hq-GoVps/&quot;)"/>
    <hyperlink ref="C36" r:id="rId35" display="=IFERROR(@__xludf.DUMMYFUNCTION(&quot;&quot;&quot;COMPUTED_VALUE&quot;&quot;&quot;),&quot;https://vt.tiktok.com/ZSHc9dChxmegm-yHTAZ/&quot;)"/>
    <hyperlink ref="C37" r:id="rId36" display="=IFERROR(@__xludf.DUMMYFUNCTION(&quot;&quot;&quot;COMPUTED_VALUE&quot;&quot;&quot;),&quot;https://vt.tiktok.com/ZSHc98NE8L4S1-6iSk4/&quot;)"/>
    <hyperlink ref="C38" r:id="rId37" display="=IFERROR(@__xludf.DUMMYFUNCTION(&quot;&quot;&quot;COMPUTED_VALUE&quot;&quot;&quot;),&quot;vt.tiktok.com/ZSHc98sFKKwTK-s3lOJ/&quot;)"/>
    <hyperlink ref="C39" r:id="rId38" display="=IFERROR(@__xludf.DUMMYFUNCTION(&quot;&quot;&quot;COMPUTED_VALUE&quot;&quot;&quot;),&quot;https://vt.tiktok.com/ZSHcbUF6EFE3M-Wxlmv/&quot;)"/>
    <hyperlink ref="C40" r:id="rId39" display="=IFERROR(@__xludf.DUMMYFUNCTION(&quot;&quot;&quot;COMPUTED_VALUE&quot;&quot;&quot;),&quot;vt.tiktok.com/ZSH3fNVHmwtDL-fBVTp/&quot;)"/>
    <hyperlink ref="C41" r:id="rId40" display="=IFERROR(@__xludf.DUMMYFUNCTION(&quot;&quot;&quot;COMPUTED_VALUE&quot;&quot;&quot;),&quot;vt.tiktok.com/ZSH38Bv8koQH8-DWiYU/&quot;)"/>
    <hyperlink ref="C42" r:id="rId41" display="=IFERROR(@__xludf.DUMMYFUNCTION(&quot;&quot;&quot;COMPUTED_VALUE&quot;&quot;&quot;),&quot;https://vt.tiktok.com/ZSH37rcdnneGA-VTBwE/&quot;)"/>
    <hyperlink ref="C43" r:id="rId42" display="=IFERROR(@__xludf.DUMMYFUNCTION(&quot;&quot;&quot;COMPUTED_VALUE&quot;&quot;&quot;),&quot;https://vt.tiktok.com/ZSHT4KHfWtMeh-dUPIR/&quot;)"/>
    <hyperlink ref="C44" r:id="rId43" display="=IFERROR(@__xludf.DUMMYFUNCTION(&quot;&quot;&quot;COMPUTED_VALUE&quot;&quot;&quot;),&quot;https://vt.tiktok.com/ZSHT4EELbuLhj-skV2h/&quot;)"/>
    <hyperlink ref="C45" r:id="rId44" display="=IFERROR(@__xludf.DUMMYFUNCTION(&quot;&quot;&quot;COMPUTED_VALUE&quot;&quot;&quot;),&quot;https://vt.tiktok.com/ZSHT4oj5HU35T-jV046/&quot;)"/>
    <hyperlink ref="C46" r:id="rId45" display="=IFERROR(@__xludf.DUMMYFUNCTION(&quot;&quot;&quot;COMPUTED_VALUE&quot;&quot;&quot;),&quot;vt.tiktok.com/ZSHTcKW45yJeU-ygV3C/&quot;)"/>
    <hyperlink ref="C47" r:id="rId46" display="=IFERROR(@__xludf.DUMMYFUNCTION(&quot;&quot;&quot;COMPUTED_VALUE&quot;&quot;&quot;),&quot;vt.tiktok.com/ZSHT3y6vGj25E-4tZqq/&quot;)"/>
    <hyperlink ref="C48" r:id="rId47" display="=IFERROR(@__xludf.DUMMYFUNCTION(&quot;&quot;&quot;COMPUTED_VALUE&quot;&quot;&quot;),&quot;https://vt.tiktok.com/ZSHwJ4Xeu8w8t-qytbI/&quot;)"/>
    <hyperlink ref="C49" r:id="rId48" display="=IFERROR(@__xludf.DUMMYFUNCTION(&quot;&quot;&quot;COMPUTED_VALUE&quot;&quot;&quot;),&quot;https://vt.tiktok.com/ZSHwJVt8XpXXw-YV575/&quot;)"/>
    <hyperlink ref="C50" r:id="rId49" display="=IFERROR(@__xludf.DUMMYFUNCTION(&quot;&quot;&quot;COMPUTED_VALUE&quot;&quot;&quot;),&quot;vt.tiktok.com/ZSHwJb2ktqMAM-f04lc/&quot;)"/>
    <hyperlink ref="C51" r:id="rId50" display="=IFERROR(@__xludf.DUMMYFUNCTION(&quot;&quot;&quot;COMPUTED_VALUE&quot;&quot;&quot;),&quot;vt.tiktok.com/ZSHwJGPmHhxF8-rPPPa/&quot;)"/>
    <hyperlink ref="C52" r:id="rId51" display="=IFERROR(@__xludf.DUMMYFUNCTION(&quot;&quot;&quot;COMPUTED_VALUE&quot;&quot;&quot;),&quot;vt.tiktok.com/ZSHwJndacuUbW-00ayg/&quot;)"/>
    <hyperlink ref="C53" r:id="rId52" display="=IFERROR(@__xludf.DUMMYFUNCTION(&quot;&quot;&quot;COMPUTED_VALUE&quot;&quot;&quot;),&quot;https://vt.tiktok.com/ZSHwJnUxWNMqM-P9xhO/&quot;)"/>
    <hyperlink ref="C54" r:id="rId53" display="=IFERROR(@__xludf.DUMMYFUNCTION(&quot;&quot;&quot;COMPUTED_VALUE&quot;&quot;&quot;),&quot;vt.tiktok.com/ZSHwJnbAFKkVX-gd281/&quot;)"/>
    <hyperlink ref="C55" r:id="rId54" display="=IFERROR(@__xludf.DUMMYFUNCTION(&quot;&quot;&quot;COMPUTED_VALUE&quot;&quot;&quot;),&quot;vt.tiktok.com/ZSHwJWdJm4ywU-2wV4b/&quot;)"/>
    <hyperlink ref="C56" r:id="rId55" display="=IFERROR(@__xludf.DUMMYFUNCTION(&quot;&quot;&quot;COMPUTED_VALUE&quot;&quot;&quot;),&quot;vt.tiktok.com/ZSHTmhkKESGh8-Ojpqq/&quot;)"/>
    <hyperlink ref="C57" r:id="rId56" display="=IFERROR(@__xludf.DUMMYFUNCTION(&quot;&quot;&quot;COMPUTED_VALUE&quot;&quot;&quot;),&quot;https://vt.tiktok.com/ZSHcgQP8PF6m6-Tunpb/&quot;)"/>
    <hyperlink ref="C58" r:id="rId57" display="=IFERROR(@__xludf.DUMMYFUNCTION(&quot;&quot;&quot;COMPUTED_VALUE&quot;&quot;&quot;),&quot;https://vt.tiktok.com/ZSHcgCkeeLTVC-zgZzP/&quot;)"/>
    <hyperlink ref="C59" r:id="rId58" display="=IFERROR(@__xludf.DUMMYFUNCTION(&quot;&quot;&quot;COMPUTED_VALUE&quot;&quot;&quot;),&quot;vt.tiktok.com/ZSHTmrEGU2YK8-gKfRB/&quot;)"/>
    <hyperlink ref="C60" r:id="rId59" display="=IFERROR(@__xludf.DUMMYFUNCTION(&quot;&quot;&quot;COMPUTED_VALUE&quot;&quot;&quot;),&quot;vt.tiktok.com/ZSH3mVoEJx32x-juqho/&quot;)"/>
    <hyperlink ref="C61" r:id="rId60" display="=IFERROR(@__xludf.DUMMYFUNCTION(&quot;&quot;&quot;COMPUTED_VALUE&quot;&quot;&quot;),&quot;vt.tiktok.com/ZSH3mVTanoAar-CIvA6/&quot;)"/>
    <hyperlink ref="C62" r:id="rId61" display="=IFERROR(@__xludf.DUMMYFUNCTION(&quot;&quot;&quot;COMPUTED_VALUE&quot;&quot;&quot;),&quot;https://vt.tiktok.com/ZSHTmhGSD2gEq-JYkXO/&quot;)"/>
    <hyperlink ref="C63" r:id="rId62" display="=IFERROR(@__xludf.DUMMYFUNCTION(&quot;&quot;&quot;COMPUTED_VALUE&quot;&quot;&quot;),&quot;vt.tiktok.com/ZSHTmh3TH3EHe-V5Jea/&quot;)"/>
    <hyperlink ref="C64" r:id="rId63" display="=IFERROR(@__xludf.DUMMYFUNCTION(&quot;&quot;&quot;COMPUTED_VALUE&quot;&quot;&quot;),&quot;https://vt.tiktok.com/ZSHTmhufKxVbW-R9U60/&quot;)"/>
    <hyperlink ref="C65" r:id="rId64" display="=IFERROR(@__xludf.DUMMYFUNCTION(&quot;&quot;&quot;COMPUTED_VALUE&quot;&quot;&quot;),&quot;https://vt.tiktok.com/ZSHTmkbQggLNM-XJfaf/&quot;)"/>
    <hyperlink ref="C66" r:id="rId65" display="=IFERROR(@__xludf.DUMMYFUNCTION(&quot;&quot;&quot;COMPUTED_VALUE&quot;&quot;&quot;),&quot;vt.tiktok.com/ZSH3uTAKmanms-wW2St/&quot;)"/>
    <hyperlink ref="C67" r:id="rId66" display="=IFERROR(@__xludf.DUMMYFUNCTION(&quot;&quot;&quot;COMPUTED_VALUE&quot;&quot;&quot;),&quot;vt.tiktok.com/ZSHTmBf9mwWGh-Vu47O/&quot;)"/>
    <hyperlink ref="C68" r:id="rId67" display="=IFERROR(@__xludf.DUMMYFUNCTION(&quot;&quot;&quot;COMPUTED_VALUE&quot;&quot;&quot;),&quot;vt.tiktok.com/ZSHT4CKfVeUyJ-7Ti9g/&quot;)"/>
    <hyperlink ref="C69" r:id="rId68" display="=IFERROR(@__xludf.DUMMYFUNCTION(&quot;&quot;&quot;COMPUTED_VALUE&quot;&quot;&quot;),&quot;https://vt.tiktok.com/ZSHwfvjHuxYVX-4ntVg/&quot;)"/>
    <hyperlink ref="C70" r:id="rId69" display="=IFERROR(@__xludf.DUMMYFUNCTION(&quot;&quot;&quot;COMPUTED_VALUE&quot;&quot;&quot;),&quot;https://vt.tiktok.com/ZSHvQHFYyY2ah-KuQXY/&quot;)"/>
    <hyperlink ref="C71" r:id="rId70" display="=IFERROR(@__xludf.DUMMYFUNCTION(&quot;&quot;&quot;COMPUTED_VALUE&quot;&quot;&quot;),&quot;https://vt.tiktok.com/ZSHc9Hqh68tfC-3Gm9E/&quot;)"/>
    <hyperlink ref="C72" r:id="rId71" display="=IFERROR(@__xludf.DUMMYFUNCTION(&quot;&quot;&quot;COMPUTED_VALUE&quot;&quot;&quot;),&quot;https://vt.tiktok.com/ZSHcgykUDjBeA-gBY8B/&quot;)"/>
    <hyperlink ref="C73" r:id="rId72" display="=IFERROR(@__xludf.DUMMYFUNCTION(&quot;&quot;&quot;COMPUTED_VALUE&quot;&quot;&quot;),&quot;https://vt.tiktok.com/ZSHcgfWSev2fT-F7QpS/&quot;)"/>
    <hyperlink ref="C74" r:id="rId73" display="=IFERROR(@__xludf.DUMMYFUNCTION(&quot;&quot;&quot;COMPUTED_VALUE&quot;&quot;&quot;),&quot;vt.tiktok.com/ZSHcgPJP6fYns-qpTtH/&quot;)"/>
    <hyperlink ref="C75" r:id="rId74" display="=IFERROR(@__xludf.DUMMYFUNCTION(&quot;&quot;&quot;COMPUTED_VALUE&quot;&quot;&quot;),&quot;vt.tiktok.com/ZSHcg5fKyP1k6-o4Rrn/&quot;)"/>
    <hyperlink ref="C76" r:id="rId75" display="=IFERROR(@__xludf.DUMMYFUNCTION(&quot;&quot;&quot;COMPUTED_VALUE&quot;&quot;&quot;),&quot;https://vt.tiktok.com/ZSHcgmAy63dNt-5TRGb/&quot;)"/>
    <hyperlink ref="C77" r:id="rId76" display="=IFERROR(@__xludf.DUMMYFUNCTION(&quot;&quot;&quot;COMPUTED_VALUE&quot;&quot;&quot;),&quot;vt.tiktok.com/ZSHcgmgp53rqv-IVRh9/&quot;)"/>
    <hyperlink ref="C78" r:id="rId77" display="=IFERROR(@__xludf.DUMMYFUNCTION(&quot;&quot;&quot;COMPUTED_VALUE&quot;&quot;&quot;),&quot;https://vt.tiktok.com/ZSHcbNJVcgj8P-gutUn/&quot;)"/>
    <hyperlink ref="C79" r:id="rId78" display="=IFERROR(@__xludf.DUMMYFUNCTION(&quot;&quot;&quot;COMPUTED_VALUE&quot;&quot;&quot;),&quot;vt.tiktok.com/ZSHcgHM9616G6-mTXgo/&quot;)"/>
    <hyperlink ref="C80" r:id="rId79" display="=IFERROR(@__xludf.DUMMYFUNCTION(&quot;&quot;&quot;COMPUTED_VALUE&quot;&quot;&quot;),&quot;https://vt.tiktok.com/ZSHcg9qkTL5ob-Qv0gv/&quot;)"/>
    <hyperlink ref="C81" r:id="rId80" display="=IFERROR(@__xludf.DUMMYFUNCTION(&quot;&quot;&quot;COMPUTED_VALUE&quot;&quot;&quot;),&quot;https://vt.tiktok.com/ZSHcgxDF6Kvgj-upwhT/&quot;)"/>
    <hyperlink ref="C82" r:id="rId81" display="=IFERROR(@__xludf.DUMMYFUNCTION(&quot;&quot;&quot;COMPUTED_VALUE&quot;&quot;&quot;),&quot;vt.tiktok.com/ZSHcg5ECDgvyj-UNgLY/&quot;)"/>
    <hyperlink ref="C83" r:id="rId82" display="=IFERROR(@__xludf.DUMMYFUNCTION(&quot;&quot;&quot;COMPUTED_VALUE&quot;&quot;&quot;),&quot;https://vt.tiktok.com/ZSHcggCNW4MjW-qVqm2/&quot;)"/>
    <hyperlink ref="C84" r:id="rId83" display="=IFERROR(@__xludf.DUMMYFUNCTION(&quot;&quot;&quot;COMPUTED_VALUE&quot;&quot;&quot;),&quot;https://vt.tiktok.com/ZSHcggTkUPnhj-cFd70/&quot;)"/>
    <hyperlink ref="C85" r:id="rId84" display="=IFERROR(@__xludf.DUMMYFUNCTION(&quot;&quot;&quot;COMPUTED_VALUE&quot;&quot;&quot;),&quot;vt.tiktok.com/ZSH3DYxg4o3Bc-p3O7H/&quot;)"/>
    <hyperlink ref="C86" r:id="rId85" display="=IFERROR(@__xludf.DUMMYFUNCTION(&quot;&quot;&quot;COMPUTED_VALUE&quot;&quot;&quot;),&quot;vt.tiktok.com/ZSH3fdFTLhpRh-dNnei/&quot;)"/>
    <hyperlink ref="C87" r:id="rId86" display="=IFERROR(@__xludf.DUMMYFUNCTION(&quot;&quot;&quot;COMPUTED_VALUE&quot;&quot;&quot;),&quot;vt.tiktok.com/ZSH3fdfMJrjwg-B5FKc/&quot;)"/>
    <hyperlink ref="C88" r:id="rId87" display="=IFERROR(@__xludf.DUMMYFUNCTION(&quot;&quot;&quot;COMPUTED_VALUE&quot;&quot;&quot;),&quot;vt.tiktok.com/ZSH3fRjfjoR5M-Y9R26/&quot;)"/>
    <hyperlink ref="C89" r:id="rId88" display="=IFERROR(@__xludf.DUMMYFUNCTION(&quot;&quot;&quot;COMPUTED_VALUE&quot;&quot;&quot;),&quot;vt.tiktok.com/ZSH3fRn9QUwyt-ahEvI/&quot;)"/>
    <hyperlink ref="C90" r:id="rId89" display="=IFERROR(@__xludf.DUMMYFUNCTION(&quot;&quot;&quot;COMPUTED_VALUE&quot;&quot;&quot;),&quot;vt.tiktok.com/ZSH3fLQMXwfWj-AhrLT/&quot;)"/>
    <hyperlink ref="C91" r:id="rId90" display="=IFERROR(@__xludf.DUMMYFUNCTION(&quot;&quot;&quot;COMPUTED_VALUE&quot;&quot;&quot;),&quot;vt.tiktok.com/ZSH3fLErkcT26-fFXoC/&quot;)"/>
    <hyperlink ref="C92" r:id="rId91" display="=IFERROR(@__xludf.DUMMYFUNCTION(&quot;&quot;&quot;COMPUTED_VALUE&quot;&quot;&quot;),&quot;https://vt.tiktok.com/ZSH3fNyJbAFvj-GOYGH/&quot;)"/>
    <hyperlink ref="C93" r:id="rId92" display="=IFERROR(@__xludf.DUMMYFUNCTION(&quot;&quot;&quot;COMPUTED_VALUE&quot;&quot;&quot;),&quot;https://vt.tiktok.com/ZSH3sFRmof8At-lqpa3/&quot;)"/>
    <hyperlink ref="C94" r:id="rId93" display="=IFERROR(@__xludf.DUMMYFUNCTION(&quot;&quot;&quot;COMPUTED_VALUE&quot;&quot;&quot;),&quot;https://vt.tiktok.com/ZSHwfwE3jAXHU-NzLcG/&quot;)"/>
    <hyperlink ref="C95" r:id="rId94" display="=IFERROR(@__xludf.DUMMYFUNCTION(&quot;&quot;&quot;COMPUTED_VALUE&quot;&quot;&quot;),&quot;vt.tiktok.com/ZSH3AQbDc7tCj-RCjP7/&quot;)"/>
    <hyperlink ref="C96" r:id="rId95" display="=IFERROR(@__xludf.DUMMYFUNCTION(&quot;&quot;&quot;COMPUTED_VALUE&quot;&quot;&quot;),&quot;https://vt.tiktok.com/ZSH3AopsaaoSK-H75qh/&quot;)"/>
    <hyperlink ref="C97" r:id="rId96" display="=IFERROR(@__xludf.DUMMYFUNCTION(&quot;&quot;&quot;COMPUTED_VALUE&quot;&quot;&quot;),&quot;vt.tiktok.com/ZSH3D1S8DACat-1VtIQ/&quot;)"/>
    <hyperlink ref="C98" r:id="rId97" display="=IFERROR(@__xludf.DUMMYFUNCTION(&quot;&quot;&quot;COMPUTED_VALUE&quot;&quot;&quot;),&quot;vt.tiktok.com/ZSH3DJDfYNofh-DjTy6/&quot;)"/>
    <hyperlink ref="C99" r:id="rId98" display="=IFERROR(@__xludf.DUMMYFUNCTION(&quot;&quot;&quot;COMPUTED_VALUE&quot;&quot;&quot;),&quot;vt.tiktok.com/ZSH3GL9a8osdv-Il2kq/&quot;)"/>
    <hyperlink ref="C100" r:id="rId99" display="=IFERROR(@__xludf.DUMMYFUNCTION(&quot;&quot;&quot;COMPUTED_VALUE&quot;&quot;&quot;),&quot;vt.tiktok.com/ZSH3D8D4ysoSm-pN74Z/&quot;)"/>
    <hyperlink ref="C101" r:id="rId100" display="=IFERROR(@__xludf.DUMMYFUNCTION(&quot;&quot;&quot;COMPUTED_VALUE&quot;&quot;&quot;),&quot;vt.tiktok.com/ZSH3AEm8LTN8S-kY0Q1/&quot;)"/>
    <hyperlink ref="C102" r:id="rId101" display="=IFERROR(@__xludf.DUMMYFUNCTION(&quot;&quot;&quot;COMPUTED_VALUE&quot;&quot;&quot;),&quot;vt.tiktok.com/ZSH3qFebWrguq-sy365/&quot;)"/>
    <hyperlink ref="C103" r:id="rId102" display="=IFERROR(@__xludf.DUMMYFUNCTION(&quot;&quot;&quot;COMPUTED_VALUE&quot;&quot;&quot;),&quot;https://vt.tiktok.com/ZSH3qFx8GmA9C-3m5tO/&quot;)"/>
    <hyperlink ref="C104" r:id="rId103" display="=IFERROR(@__xludf.DUMMYFUNCTION(&quot;&quot;&quot;COMPUTED_VALUE&quot;&quot;&quot;),&quot;vt.tiktok.com/ZSHwJpkC1LfA6-PTzmO/&quot;)"/>
    <hyperlink ref="C105" r:id="rId104" display="=IFERROR(@__xludf.DUMMYFUNCTION(&quot;&quot;&quot;COMPUTED_VALUE&quot;&quot;&quot;),&quot;vt.tiktok.com/ZSHK8514U3JXh-QXxP8/&quot;)"/>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 topLeftCell="A2" activePane="bottomLeft" state="frozen"/>
      <selection/>
      <selection pane="bottomLeft" activeCell="B3" sqref="B3"/>
    </sheetView>
  </sheetViews>
  <sheetFormatPr defaultColWidth="12.6285714285714" defaultRowHeight="15.75" customHeight="1"/>
  <cols>
    <col min="1" max="1" width="12.247619047619" customWidth="1"/>
    <col min="2" max="2" width="23.5047619047619" customWidth="1"/>
    <col min="3" max="3" width="14.8761904761905" customWidth="1"/>
    <col min="4" max="4" width="18" customWidth="1"/>
    <col min="5" max="5" width="19.1333333333333" customWidth="1"/>
    <col min="6" max="6" width="18.247619047619" customWidth="1"/>
    <col min="7" max="7" width="17.752380952381" customWidth="1"/>
  </cols>
  <sheetData>
    <row r="1" ht="12.75" spans="1:6">
      <c r="A1" s="1" t="str">
        <f>IFERROR(__xludf.DUMMYFUNCTION("QUERY(
  IMPORTRANGE(""https://docs.google.com/spreadsheets/d/1ph2ExgxUfUdLokb_BEDUt750iOhgTQbyXVsbbRzNSXE/edit?usp=sharing"",""'Tổng'!A:Z""),
  ""select Col1, Col3, Col5, Col18, Col19 where Col14='Đã có hàng'order by Col18 asc"",
  1
)"),"Ngày")</f>
        <v>Ngày</v>
      </c>
      <c r="B1" s="1" t="str">
        <f>IFERROR(__xludf.DUMMYFUNCTION("""COMPUTED_VALUE"""),"Tên sản phẩm")</f>
        <v>Tên sản phẩm</v>
      </c>
      <c r="C1" s="1" t="str">
        <f>IFERROR(__xludf.DUMMYFUNCTION("""COMPUTED_VALUE"""),"Link sp")</f>
        <v>Link sp</v>
      </c>
      <c r="D1" s="1" t="str">
        <f>IFERROR(__xludf.DUMMYFUNCTION("""COMPUTED_VALUE"""),"Mã sản phẩm")</f>
        <v>Mã sản phẩm</v>
      </c>
      <c r="E1" s="1" t="str">
        <f>IFERROR(__xludf.DUMMYFUNCTION("""COMPUTED_VALUE"""),"Content")</f>
        <v>Content</v>
      </c>
      <c r="F1" s="2"/>
    </row>
    <row r="2" ht="126" customHeight="1" spans="1:26">
      <c r="A2" s="9">
        <f>IFERROR(__xludf.DUMMYFUNCTION("""COMPUTED_VALUE"""),45988)</f>
        <v>45988</v>
      </c>
      <c r="B2" s="5" t="str">
        <f>IFERROR(__xludf.DUMMYFUNCTION("""COMPUTED_VALUE"""),"Headphones For Apple iPhone 14 15Wired
Bluetooth Earphones 13 12 11 Pro Max XR 7 8 6 6s
Plus Type-c In-Ear Stereo Earbuds")</f>
        <v>Headphones For Apple iPhone 14 15Wired
Bluetooth Earphones 13 12 11 Pro Max XR 7 8 6 6s
Plus Type-c In-Ear Stereo Earbuds</v>
      </c>
      <c r="C2" s="6" t="str">
        <f>IFERROR(__xludf.DUMMYFUNCTION("""COMPUTED_VALUE"""),"https://vt.tiktok.com/ZSHTSGF1RdBMR-aBJvV/")</f>
        <v>https://vt.tiktok.com/ZSHTSGF1RdBMR-aBJvV/</v>
      </c>
      <c r="D2" s="5" t="str">
        <f>IFERROR(__xludf.DUMMYFUNCTION("""COMPUTED_VALUE"""),"TCH_AV_EB_001")</f>
        <v>TCH_AV_EB_001</v>
      </c>
      <c r="E2" s="5" t="str">
        <f>IFERROR(__xludf.DUMMYFUNCTION("""COMPUTED_VALUE"""),"Headphone #headphones #earphones")</f>
        <v>Headphone #headphones #earphones</v>
      </c>
      <c r="F2" s="4"/>
      <c r="G2" s="4"/>
      <c r="H2" s="4"/>
      <c r="I2" s="4"/>
      <c r="J2" s="4"/>
      <c r="K2" s="4"/>
      <c r="L2" s="4"/>
      <c r="M2" s="4"/>
      <c r="N2" s="4"/>
      <c r="O2" s="4"/>
      <c r="P2" s="4"/>
      <c r="Q2" s="4"/>
      <c r="R2" s="4"/>
      <c r="S2" s="4"/>
      <c r="T2" s="4"/>
      <c r="U2" s="4"/>
      <c r="V2" s="4"/>
      <c r="W2" s="4"/>
      <c r="X2" s="4"/>
      <c r="Y2" s="4"/>
      <c r="Z2" s="4"/>
    </row>
    <row r="3" ht="102" spans="1:6">
      <c r="A3" s="9">
        <f>IFERROR(__xludf.DUMMYFUNCTION("""COMPUTED_VALUE"""),45995)</f>
        <v>45995</v>
      </c>
      <c r="B3" s="5" t="str">
        <f>IFERROR(__xludf.DUMMYFUNCTION("""COMPUTED_VALUE"""),"HQAI H12 Earbuds Build-in MIC Waterproof Earphones for iPhones For Andriod Touch Conter Noise Cancelling Hi-Fi Stereo Sound 3 Freebies
(Lanyar+stickers+game finger cots)")</f>
        <v>HQAI H12 Earbuds Build-in MIC Waterproof Earphones for iPhones For Andriod Touch Conter Noise Cancelling Hi-Fi Stereo Sound 3 Freebies
(Lanyar+stickers+game finger cots)</v>
      </c>
      <c r="C3" s="6" t="str">
        <f>IFERROR(__xludf.DUMMYFUNCTION("""COMPUTED_VALUE"""),"vt.tiktok.com/ZSHTWhTXFW3Cn-WEHFT/")</f>
        <v>vt.tiktok.com/ZSHTWhTXFW3Cn-WEHFT/</v>
      </c>
      <c r="D3" s="5" t="str">
        <f>IFERROR(__xludf.DUMMYFUNCTION("""COMPUTED_VALUE"""),"TCH_AV_EB_002")</f>
        <v>TCH_AV_EB_002</v>
      </c>
      <c r="E3" s="5" t="str">
        <f>IFERROR(__xludf.DUMMYFUNCTION("""COMPUTED_VALUE"""),"Earbuds #Hqai #earbuds")</f>
        <v>Earbuds #Hqai #earbuds</v>
      </c>
      <c r="F3" s="4"/>
    </row>
    <row r="4" ht="165.75" spans="1:6">
      <c r="A4" s="9">
        <f>IFERROR(__xludf.DUMMYFUNCTION("""COMPUTED_VALUE"""),45995)</f>
        <v>45995</v>
      </c>
      <c r="B4" s="5" t="str">
        <f>IFERROR(__xludf.DUMMYFUNCTION("""COMPUTED_VALUE"""),"Greatwall gw5s (2 Freebies:1 Cartoon stickers+1 Game sleeve)True Wireless 5.3 In-Ear Couples Mini Headset Music TWS Video Earbuds HIFI
Dolby Bass Stereo HD Calling Earphones For
Android Compatible With Iphone Cellphone
Gaming Earpieces Smart Headphones")</f>
        <v>Greatwall gw5s (2 Freebies:1 Cartoon stickers+1 Game sleeve)True Wireless 5.3 In-Ear Couples Mini Headset Music TWS Video Earbuds HIFI
Dolby Bass Stereo HD Calling Earphones For
Android Compatible With Iphone Cellphone
Gaming Earpieces Smart Headphones</v>
      </c>
      <c r="C4" s="6" t="str">
        <f>IFERROR(__xludf.DUMMYFUNCTION("""COMPUTED_VALUE"""),"vt.tiktok.com/ZSHTWkBuCmPM2-3DRXM/")</f>
        <v>vt.tiktok.com/ZSHTWkBuCmPM2-3DRXM/</v>
      </c>
      <c r="D4" s="5" t="str">
        <f>IFERROR(__xludf.DUMMYFUNCTION("""COMPUTED_VALUE"""),"TCH_AV_EB_003")</f>
        <v>TCH_AV_EB_003</v>
      </c>
      <c r="E4" s="5" t="str">
        <f>IFERROR(__xludf.DUMMYFUNCTION("""COMPUTED_VALUE"""),"Headphone #headphones #earphones")</f>
        <v>Headphone #headphones #earphones</v>
      </c>
      <c r="F4" s="4"/>
    </row>
    <row r="5" ht="102" spans="1:6">
      <c r="A5" s="9">
        <f>IFERROR(__xludf.DUMMYFUNCTION("""COMPUTED_VALUE"""),45995)</f>
        <v>45995</v>
      </c>
      <c r="B5" s="5" t="str">
        <f>IFERROR(__xludf.DUMMYFUNCTION("""COMPUTED_VALUE"""),"KY J11 Sleepbuds (3) Freebies:1 Cartoon stickers+1 Game sleeve+1 Silicon lanyard) HiFi Level Stereo Sound, iPX5 Waterproof, ENC Noise Reduction, Touch Control Earphones Build-in Mic")</f>
        <v>KY J11 Sleepbuds (3) Freebies:1 Cartoon stickers+1 Game sleeve+1 Silicon lanyard) HiFi Level Stereo Sound, iPX5 Waterproof, ENC Noise Reduction, Touch Control Earphones Build-in Mic</v>
      </c>
      <c r="C5" s="6" t="str">
        <f>IFERROR(__xludf.DUMMYFUNCTION("""COMPUTED_VALUE"""),"vt.tiktok.com/ZSHTWBBV8D8Eh-a50RB/")</f>
        <v>vt.tiktok.com/ZSHTWBBV8D8Eh-a50RB/</v>
      </c>
      <c r="D5" s="5" t="str">
        <f>IFERROR(__xludf.DUMMYFUNCTION("""COMPUTED_VALUE"""),"TCH_AV_EB_004")</f>
        <v>TCH_AV_EB_004</v>
      </c>
      <c r="E5" s="5" t="str">
        <f>IFERROR(__xludf.DUMMYFUNCTION("""COMPUTED_VALUE"""),"Headphone #headphones #KYTech")</f>
        <v>Headphone #headphones #KYTech</v>
      </c>
      <c r="F5" s="4"/>
    </row>
    <row r="6" ht="114.75" spans="1:6">
      <c r="A6" s="9">
        <f>IFERROR(__xludf.DUMMYFUNCTION("""COMPUTED_VALUE"""),45995)</f>
        <v>45995</v>
      </c>
      <c r="B6" s="5" t="str">
        <f>IFERROR(__xludf.DUMMYFUNCTION("""COMPUTED_VALUE"""),"KY5 Newest Light Earbuds (3 Freebies:1 Cartoon stickers+1 Game sleeve+1 Lanyard) HiFi Level Stereo Sound iPX5 Waterproof Build-in Mic, ENC Noise Reduction for iPhone and Andriod Touch Control Earphones")</f>
        <v>KY5 Newest Light Earbuds (3 Freebies:1 Cartoon stickers+1 Game sleeve+1 Lanyard) HiFi Level Stereo Sound iPX5 Waterproof Build-in Mic, ENC Noise Reduction for iPhone and Andriod Touch Control Earphones</v>
      </c>
      <c r="C6" s="6" t="str">
        <f>IFERROR(__xludf.DUMMYFUNCTION("""COMPUTED_VALUE"""),"vt.tiktok.com/ZSHTWB75PKJKv-R4yyx/")</f>
        <v>vt.tiktok.com/ZSHTWB75PKJKv-R4yyx/</v>
      </c>
      <c r="D6" s="5" t="str">
        <f>IFERROR(__xludf.DUMMYFUNCTION("""COMPUTED_VALUE"""),"TCH_AV_EB_005")</f>
        <v>TCH_AV_EB_005</v>
      </c>
      <c r="E6" s="5" t="str">
        <f>IFERROR(__xludf.DUMMYFUNCTION("""COMPUTED_VALUE"""),"Headphone #headphones #KYTech")</f>
        <v>Headphone #headphones #KYTech</v>
      </c>
      <c r="F6" s="4"/>
    </row>
    <row r="7" ht="102" spans="1:6">
      <c r="A7" s="9">
        <f>IFERROR(__xludf.DUMMYFUNCTION("""COMPUTED_VALUE"""),45996)</f>
        <v>45996</v>
      </c>
      <c r="B7" s="5" t="str">
        <f>IFERROR(__xludf.DUMMYFUNCTION("""COMPUTED_VALUE"""),"HQAI H7 Earbuds Build-in Mic Hi-Fi Sound
Waterproof Bluetooth Earphones For iPhone and Andriod Noise Cancelling Touch Control(4freebies
1 Lanyard+2 ear caps+1 Game sleeve+1 stickers)")</f>
        <v>HQAI H7 Earbuds Build-in Mic Hi-Fi Sound
Waterproof Bluetooth Earphones For iPhone and Andriod Noise Cancelling Touch Control(4freebies
1 Lanyard+2 ear caps+1 Game sleeve+1 stickers)</v>
      </c>
      <c r="C7" s="6" t="str">
        <f>IFERROR(__xludf.DUMMYFUNCTION("""COMPUTED_VALUE"""),"https://vt.tiktok.com/ZSHTKjEU54H9x-JykWj/")</f>
        <v>https://vt.tiktok.com/ZSHTKjEU54H9x-JykWj/</v>
      </c>
      <c r="D7" s="5" t="str">
        <f>IFERROR(__xludf.DUMMYFUNCTION("""COMPUTED_VALUE"""),"TCH_AV_EB_009")</f>
        <v>TCH_AV_EB_009</v>
      </c>
      <c r="E7" s="5" t="str">
        <f>IFERROR(__xludf.DUMMYFUNCTION("""COMPUTED_VALUE"""),"HQAI H7 Earbuds #bluetoothheadset #earphones")</f>
        <v>HQAI H7 Earbuds #bluetoothheadset #earphones</v>
      </c>
      <c r="F7" s="4"/>
    </row>
    <row r="8" ht="63.75" spans="1:6">
      <c r="A8" s="9">
        <f>IFERROR(__xludf.DUMMYFUNCTION("""COMPUTED_VALUE"""),45996)</f>
        <v>45996</v>
      </c>
      <c r="B8" s="5" t="str">
        <f>IFERROR(__xludf.DUMMYFUNCTION("""COMPUTED_VALUE"""),"HQAI X55 Earbuds Case Protective silicone Cases Covers Solid Color for X55 Sleeping Earbuds (No Earbuds)")</f>
        <v>HQAI X55 Earbuds Case Protective silicone Cases Covers Solid Color for X55 Sleeping Earbuds (No Earbuds)</v>
      </c>
      <c r="C8" s="6" t="str">
        <f>IFERROR(__xludf.DUMMYFUNCTION("""COMPUTED_VALUE"""),"vt.tiktok.com/ZSHTK6M3bAhdr-cZFF3/")</f>
        <v>vt.tiktok.com/ZSHTK6M3bAhdr-cZFF3/</v>
      </c>
      <c r="D8" s="5" t="str">
        <f>IFERROR(__xludf.DUMMYFUNCTION("""COMPUTED_VALUE"""),"TCH_AV_EB_010")</f>
        <v>TCH_AV_EB_010</v>
      </c>
      <c r="E8" s="5" t="str">
        <f>IFERROR(__xludf.DUMMYFUNCTION("""COMPUTED_VALUE"""),"X55 Earbuds Case #earbudcase #siliconecase")</f>
        <v>X55 Earbuds Case #earbudcase #siliconecase</v>
      </c>
      <c r="F8" s="4"/>
    </row>
    <row r="9" ht="51" spans="1:6">
      <c r="A9" s="9">
        <f>IFERROR(__xludf.DUMMYFUNCTION("""COMPUTED_VALUE"""),45995)</f>
        <v>45995</v>
      </c>
      <c r="B9" s="5" t="str">
        <f>IFERROR(__xludf.DUMMYFUNCTION("""COMPUTED_VALUE"""),"SH-309 Wireless Bluetooth Speaker Portable Subwoofer with Colorful RGB Lights")</f>
        <v>SH-309 Wireless Bluetooth Speaker Portable Subwoofer with Colorful RGB Lights</v>
      </c>
      <c r="C9" s="6" t="str">
        <f>IFERROR(__xludf.DUMMYFUNCTION("""COMPUTED_VALUE"""),"vt.tiktok.com/ZSHTWDeV9Rqtb-5539m/")</f>
        <v>vt.tiktok.com/ZSHTWDeV9Rqtb-5539m/</v>
      </c>
      <c r="D9" s="5" t="str">
        <f>IFERROR(__xludf.DUMMYFUNCTION("""COMPUTED_VALUE"""),"TCH_AV_SP_001")</f>
        <v>TCH_AV_SP_001</v>
      </c>
      <c r="E9" s="5" t="str">
        <f>IFERROR(__xludf.DUMMYFUNCTION("""COMPUTED_VALUE"""),"SH-309 Bluetooth Speaker #bluetoothspeaker #speaker")</f>
        <v>SH-309 Bluetooth Speaker #bluetoothspeaker #speaker</v>
      </c>
      <c r="F9" s="4"/>
    </row>
    <row r="10" ht="127.5" spans="1:6">
      <c r="A10" s="9">
        <f>IFERROR(__xludf.DUMMYFUNCTION("""COMPUTED_VALUE"""),45995)</f>
        <v>45995</v>
      </c>
      <c r="B10" s="5" t="str">
        <f>IFERROR(__xludf.DUMMYFUNCTION("""COMPUTED_VALUE"""),"Zeus EXCHANGE GIFT FOR CHIRSTMAS Portable
Mini Bluetooth Speaker Wireless One Microphone
Karaoke Speaker 3DStereo Amplifier Audio
Button Device Memory Card Mobile Charging
Noise Smartphone Space Chargeable Pink")</f>
        <v>Zeus EXCHANGE GIFT FOR CHIRSTMAS Portable
Mini Bluetooth Speaker Wireless One Microphone
Karaoke Speaker 3DStereo Amplifier Audio
Button Device Memory Card Mobile Charging
Noise Smartphone Space Chargeable Pink</v>
      </c>
      <c r="C10" s="6" t="str">
        <f>IFERROR(__xludf.DUMMYFUNCTION("""COMPUTED_VALUE"""),"vt.tiktok.com/ZSHTWUeg6UmJC-uucHo/")</f>
        <v>vt.tiktok.com/ZSHTWUeg6UmJC-uucHo/</v>
      </c>
      <c r="D10" s="5" t="str">
        <f>IFERROR(__xludf.DUMMYFUNCTION("""COMPUTED_VALUE"""),"TCH_AV_SP_002")</f>
        <v>TCH_AV_SP_002</v>
      </c>
      <c r="E10" s="5" t="str">
        <f>IFERROR(__xludf.DUMMYFUNCTION("""COMPUTED_VALUE"""),"Zeus Mini Bluetooth Speaker #bluetoothspeaker #minispeaker")</f>
        <v>Zeus Mini Bluetooth Speaker #bluetoothspeaker #minispeaker</v>
      </c>
      <c r="F10" s="4"/>
    </row>
    <row r="11" ht="102" spans="1:6">
      <c r="A11" s="9">
        <f>IFERROR(__xludf.DUMMYFUNCTION("""COMPUTED_VALUE"""),45988)</f>
        <v>45988</v>
      </c>
      <c r="B11" s="5" t="str">
        <f>IFERROR(__xludf.DUMMYFUNCTION("""COMPUTED_VALUE""")," 20W Fast Charging Cable For X XR XS 8714 Plus SE Phone Accessories For Apple iPhone 14 13 12 11 Pro Max 12 Mini USB C to ios Quick Cable Cellphone Mobile Smartphone Charger Electronic")</f>
        <v> 20W Fast Charging Cable For X XR XS 8714 Plus SE Phone Accessories For Apple iPhone 14 13 12 11 Pro Max 12 Mini USB C to ios Quick Cable Cellphone Mobile Smartphone Charger Electronic</v>
      </c>
      <c r="C11" s="6" t="str">
        <f>IFERROR(__xludf.DUMMYFUNCTION("""COMPUTED_VALUE"""),"vt.tiktok.com/ZSHKfmxmn3dkU-lM2va/")</f>
        <v>vt.tiktok.com/ZSHKfmxmn3dkU-lM2va/</v>
      </c>
      <c r="D11" s="5" t="str">
        <f>IFERROR(__xludf.DUMMYFUNCTION("""COMPUTED_VALUE"""),"TCH_PH_CP_003")</f>
        <v>TCH_PH_CP_003</v>
      </c>
      <c r="E11" s="5" t="str">
        <f>IFERROR(__xludf.DUMMYFUNCTION("""COMPUTED_VALUE"""),"Fast Charger Cable #chargercable #fastcharger")</f>
        <v>Fast Charger Cable #chargercable #fastcharger</v>
      </c>
      <c r="F11" s="4"/>
    </row>
    <row r="12" ht="140.25" spans="1:6">
      <c r="A12" s="9">
        <f>IFERROR(__xludf.DUMMYFUNCTION("""COMPUTED_VALUE"""),45995)</f>
        <v>45995</v>
      </c>
      <c r="B12" s="5" t="str">
        <f>IFERROR(__xludf.DUMMYFUNCTION("""COMPUTED_VALUE"""),"YASE K557 Super Fast Charger 480W MAX 8A Adapter USB-C Super Fast C to Type C Cable for Samsung Galaxy S20 S21 S22 Ultra S23 S24 S25 S26 S10 Plus S10E Note 10 A81 A70 Compatible with iPhone 15 16 Huawei Vivo Oppo Redmi
Xiaomi - Charging")</f>
        <v>YASE K557 Super Fast Charger 480W MAX 8A Adapter USB-C Super Fast C to Type C Cable for Samsung Galaxy S20 S21 S22 Ultra S23 S24 S25 S26 S10 Plus S10E Note 10 A81 A70 Compatible with iPhone 15 16 Huawei Vivo Oppo Redmi
Xiaomi - Charging</v>
      </c>
      <c r="C12" s="6" t="str">
        <f>IFERROR(__xludf.DUMMYFUNCTION("""COMPUTED_VALUE"""),"vt.tiktok.com/ZSHTWDHFAr154-r2Wt0/")</f>
        <v>vt.tiktok.com/ZSHTWDHFAr154-r2Wt0/</v>
      </c>
      <c r="D12" s="5" t="str">
        <f>IFERROR(__xludf.DUMMYFUNCTION("""COMPUTED_VALUE"""),"TCH_PH_CP_004")</f>
        <v>TCH_PH_CP_004</v>
      </c>
      <c r="E12" s="5" t="str">
        <f>IFERROR(__xludf.DUMMYFUNCTION("""COMPUTED_VALUE"""),"Fast Charger #chargercable #fastcharger")</f>
        <v>Fast Charger #chargercable #fastcharger</v>
      </c>
      <c r="F12" s="4"/>
    </row>
    <row r="13" ht="63.75" spans="1:6">
      <c r="A13" s="9">
        <f>IFERROR(__xludf.DUMMYFUNCTION("""COMPUTED_VALUE"""),45995)</f>
        <v>45995</v>
      </c>
      <c r="B13" s="5" t="str">
        <f>IFERROR(__xludf.DUMMYFUNCTION("""COMPUTED_VALUE"""),"120W USB Super Fast Charging Adapter with 6A USB Cable For Android Type-C Micro for Android phones")</f>
        <v>120W USB Super Fast Charging Adapter with 6A USB Cable For Android Type-C Micro for Android phones</v>
      </c>
      <c r="C13" s="6" t="str">
        <f>IFERROR(__xludf.DUMMYFUNCTION("""COMPUTED_VALUE"""),"vt.tiktok.com/ZSHTWDG6S7MnY-rXqCx/")</f>
        <v>vt.tiktok.com/ZSHTWDG6S7MnY-rXqCx/</v>
      </c>
      <c r="D13" s="5" t="str">
        <f>IFERROR(__xludf.DUMMYFUNCTION("""COMPUTED_VALUE"""),"TCH_PH_CP_005")</f>
        <v>TCH_PH_CP_005</v>
      </c>
      <c r="E13" s="5" t="str">
        <f>IFERROR(__xludf.DUMMYFUNCTION("""COMPUTED_VALUE"""),"Fast Charger #chargercable #fastcharger")</f>
        <v>Fast Charger #chargercable #fastcharger</v>
      </c>
      <c r="F13" s="4"/>
    </row>
    <row r="14" ht="76.5" spans="1:6">
      <c r="A14" s="9">
        <f>IFERROR(__xludf.DUMMYFUNCTION("""COMPUTED_VALUE"""),45996)</f>
        <v>45996</v>
      </c>
      <c r="B14" s="5" t="str">
        <f>IFERROR(__xludf.DUMMYFUNCTION("""COMPUTED_VALUE"""),"New Arrive 3 In 1 LED Flowing USB Cable 1.2M Fast Charging Car Streamer Charging Cable 5A
Luminous LED Glowing")</f>
        <v>New Arrive 3 In 1 LED Flowing USB Cable 1.2M Fast Charging Car Streamer Charging Cable 5A
Luminous LED Glowing</v>
      </c>
      <c r="C14" s="6" t="str">
        <f>IFERROR(__xludf.DUMMYFUNCTION("""COMPUTED_VALUE"""),"vt.tiktok.com/ZSHTKYQC5FvNT-HS5bB/")</f>
        <v>vt.tiktok.com/ZSHTKYQC5FvNT-HS5bB/</v>
      </c>
      <c r="D14" s="5" t="str">
        <f>IFERROR(__xludf.DUMMYFUNCTION("""COMPUTED_VALUE"""),"TCH_PH_CP_006")</f>
        <v>TCH_PH_CP_006</v>
      </c>
      <c r="E14" s="5" t="str">
        <f>IFERROR(__xludf.DUMMYFUNCTION("""COMPUTED_VALUE"""),"Fast Charger Cable #chargercable #fastcharger")</f>
        <v>Fast Charger Cable #chargercable #fastcharger</v>
      </c>
      <c r="F14" s="4"/>
    </row>
    <row r="15" ht="63.75" spans="1:6">
      <c r="A15" s="9">
        <f>IFERROR(__xludf.DUMMYFUNCTION("""COMPUTED_VALUE"""),46000)</f>
        <v>46000</v>
      </c>
      <c r="B15" s="5" t="str">
        <f>IFERROR(__xludf.DUMMYFUNCTION("""COMPUTED_VALUE"""),"Macaron Candy Powerbank c313 high speed 10000mah light weight Trend front universal mobile phone Fully compa")</f>
        <v>Macaron Candy Powerbank c313 high speed 10000mah light weight Trend front universal mobile phone Fully compa</v>
      </c>
      <c r="C15" s="6" t="str">
        <f>IFERROR(__xludf.DUMMYFUNCTION("""COMPUTED_VALUE"""),"vt.tiktok.com/ZSHwkecXmVAdA-x6ZoT/")</f>
        <v>vt.tiktok.com/ZSHwkecXmVAdA-x6ZoT/</v>
      </c>
      <c r="D15" s="5" t="str">
        <f>IFERROR(__xludf.DUMMYFUNCTION("""COMPUTED_VALUE"""),"TCH_PH_CP_007")</f>
        <v>TCH_PH_CP_007</v>
      </c>
      <c r="E15" s="5" t="str">
        <f>IFERROR(__xludf.DUMMYFUNCTION("""COMPUTED_VALUE"""),"Macaron Candy Powerbank 10000mAh #powerbank #charger")</f>
        <v>Macaron Candy Powerbank 10000mAh #powerbank #charger</v>
      </c>
      <c r="F15" s="4"/>
    </row>
    <row r="16" ht="102" spans="1:6">
      <c r="A16" s="9">
        <f>IFERROR(__xludf.DUMMYFUNCTION("""COMPUTED_VALUE"""),46000)</f>
        <v>46000</v>
      </c>
      <c r="B16" s="5" t="str">
        <f>IFERROR(__xludf.DUMMYFUNCTION("""COMPUTED_VALUE"""),"MiSpeed - 4 in 1 Charging Cable, 4-in-1 USB Charging Cable Fast Charging Max 240w, 4 in 1 USB Charging Cable with Case and Breathing Light, Universal Charger for iPhone and for Android")</f>
        <v>MiSpeed - 4 in 1 Charging Cable, 4-in-1 USB Charging Cable Fast Charging Max 240w, 4 in 1 USB Charging Cable with Case and Breathing Light, Universal Charger for iPhone and for Android</v>
      </c>
      <c r="C16" s="6" t="str">
        <f>IFERROR(__xludf.DUMMYFUNCTION("""COMPUTED_VALUE"""),"vt.tiktok.com/ZSHwk8uuQFVwG-q1Ijb/")</f>
        <v>vt.tiktok.com/ZSHwk8uuQFVwG-q1Ijb/</v>
      </c>
      <c r="D16" s="5" t="str">
        <f>IFERROR(__xludf.DUMMYFUNCTION("""COMPUTED_VALUE"""),"TCH_PH_CP_008")</f>
        <v>TCH_PH_CP_008</v>
      </c>
      <c r="E16" s="5" t="str">
        <f>IFERROR(__xludf.DUMMYFUNCTION("""COMPUTED_VALUE"""),"MiSpeed - 4 in 1 Charging Cable
#chargercable #fastcharging")</f>
        <v>MiSpeed - 4 in 1 Charging Cable
#chargercable #fastcharging</v>
      </c>
      <c r="F16" s="4"/>
    </row>
    <row r="17" ht="114.75" spans="1:6">
      <c r="A17" s="9">
        <f>IFERROR(__xludf.DUMMYFUNCTION("""COMPUTED_VALUE"""),46000)</f>
        <v>46000</v>
      </c>
      <c r="B17" s="5" t="str">
        <f>IFERROR(__xludf.DUMMYFUNCTION("""COMPUTED_VALUE"""),"【GOOJODOQ】 5000mAh Mini Fast Charge
Portable Powerbank for IOS iPad iPhone Airpod |
Lightning Connector Type C Plug |
Power Bank
Accessories Cable Compact FOR SCHOOL")</f>
        <v>【GOOJODOQ】 5000mAh Mini Fast Charge
Portable Powerbank for IOS iPad iPhone Airpod |
Lightning Connector Type C Plug |
Power Bank
Accessories Cable Compact FOR SCHOOL</v>
      </c>
      <c r="C17" s="6" t="str">
        <f>IFERROR(__xludf.DUMMYFUNCTION("""COMPUTED_VALUE"""),"vt.tiktok.com/ZSHwkLD9csaD5-g5bo7/")</f>
        <v>vt.tiktok.com/ZSHwkLD9csaD5-g5bo7/</v>
      </c>
      <c r="D17" s="5" t="str">
        <f>IFERROR(__xludf.DUMMYFUNCTION("""COMPUTED_VALUE"""),"TCH_PH_CP_010")</f>
        <v>TCH_PH_CP_010</v>
      </c>
      <c r="E17" s="5" t="str">
        <f>IFERROR(__xludf.DUMMYFUNCTION("""COMPUTED_VALUE"""),"GOOJODOQ Mini Powerbank 5000mAh
#powerbank #fastcharging")</f>
        <v>GOOJODOQ Mini Powerbank 5000mAh
#powerbank #fastcharging</v>
      </c>
      <c r="F17" s="4"/>
    </row>
    <row r="18" ht="76.5" spans="1:6">
      <c r="A18" s="9">
        <f>IFERROR(__xludf.DUMMYFUNCTION("""COMPUTED_VALUE"""),45988)</f>
        <v>45988</v>
      </c>
      <c r="B18" s="5" t="str">
        <f>IFERROR(__xludf.DUMMYFUNCTION("""COMPUTED_VALUE"""),"Yase K61 360° Rotating Metal Desk Cellphone Holder Foldable Universal Stand for Mobile Phone &amp; Tablet - Frost Silver/Space Black")</f>
        <v>Yase K61 360° Rotating Metal Desk Cellphone Holder Foldable Universal Stand for Mobile Phone &amp; Tablet - Frost Silver/Space Black</v>
      </c>
      <c r="C18" s="6" t="str">
        <f>IFERROR(__xludf.DUMMYFUNCTION("""COMPUTED_VALUE"""),"https://vt.tiktok.com/ZSHTSpYf1fD5W-4BheX/")</f>
        <v>https://vt.tiktok.com/ZSHTSpYf1fD5W-4BheX/</v>
      </c>
      <c r="D18" s="5" t="str">
        <f>IFERROR(__xludf.DUMMYFUNCTION("""COMPUTED_VALUE"""),"TCH_PH_HS_001")</f>
        <v>TCH_PH_HS_001</v>
      </c>
      <c r="E18" s="5" t="str">
        <f>IFERROR(__xludf.DUMMYFUNCTION("""COMPUTED_VALUE"""),"Phone holder #phoneholder #phonestand")</f>
        <v>Phone holder #phoneholder #phonestand</v>
      </c>
      <c r="F18" s="4"/>
    </row>
    <row r="19" ht="63.75" spans="1:6">
      <c r="A19" s="9">
        <f>IFERROR(__xludf.DUMMYFUNCTION("""COMPUTED_VALUE"""),45988)</f>
        <v>45988</v>
      </c>
      <c r="B19" s="5" t="str">
        <f>IFERROR(__xludf.DUMMYFUNCTION("""COMPUTED_VALUE"""),"Valentinesday valentinesgift Good Quality Multifunctional Stand Cellphone Holder Accessory Smartphone")</f>
        <v>Valentinesday valentinesgift Good Quality Multifunctional Stand Cellphone Holder Accessory Smartphone</v>
      </c>
      <c r="C19" s="6" t="str">
        <f>IFERROR(__xludf.DUMMYFUNCTION("""COMPUTED_VALUE"""),"https://vt.tiktok.com/ZSHTSsyobELAK-ZCmPp/")</f>
        <v>https://vt.tiktok.com/ZSHTSsyobELAK-ZCmPp/</v>
      </c>
      <c r="D19" s="5" t="str">
        <f>IFERROR(__xludf.DUMMYFUNCTION("""COMPUTED_VALUE"""),"TCH_PH_HS_002")</f>
        <v>TCH_PH_HS_002</v>
      </c>
      <c r="E19" s="5" t="str">
        <f>IFERROR(__xludf.DUMMYFUNCTION("""COMPUTED_VALUE"""),"Phone holder #phoneholder #phonestand")</f>
        <v>Phone holder #phoneholder #phonestand</v>
      </c>
      <c r="F19" s="4"/>
    </row>
    <row r="20" ht="63.75" spans="1:6">
      <c r="A20" s="9">
        <f>IFERROR(__xludf.DUMMYFUNCTION("""COMPUTED_VALUE"""),45988)</f>
        <v>45988</v>
      </c>
      <c r="B20" s="5" t="str">
        <f>IFERROR(__xludf.DUMMYFUNCTION("""COMPUTED_VALUE"""),"Home Mobile Wall Mount Stand Adhesive Durable Socket Phone Charging Holder Bracket Shelf Practical")</f>
        <v>Home Mobile Wall Mount Stand Adhesive Durable Socket Phone Charging Holder Bracket Shelf Practical</v>
      </c>
      <c r="C20" s="6" t="str">
        <f>IFERROR(__xludf.DUMMYFUNCTION("""COMPUTED_VALUE"""),"https://vt.tiktok.com/ZSHTSsooRAd11-SFFl5/")</f>
        <v>https://vt.tiktok.com/ZSHTSsooRAd11-SFFl5/</v>
      </c>
      <c r="D20" s="5" t="str">
        <f>IFERROR(__xludf.DUMMYFUNCTION("""COMPUTED_VALUE"""),"TCH_PH_HS_003")</f>
        <v>TCH_PH_HS_003</v>
      </c>
      <c r="E20" s="5" t="str">
        <f>IFERROR(__xludf.DUMMYFUNCTION("""COMPUTED_VALUE"""),"Phone holder #phoneholder #phonestand")</f>
        <v>Phone holder #phoneholder #phonestand</v>
      </c>
      <c r="F20" s="4"/>
    </row>
    <row r="21" ht="63.75" spans="1:5">
      <c r="A21" s="9">
        <f>IFERROR(__xludf.DUMMYFUNCTION("""COMPUTED_VALUE"""),45988)</f>
        <v>45988</v>
      </c>
      <c r="B21" s="5" t="str">
        <f>IFERROR(__xludf.DUMMYFUNCTION("""COMPUTED_VALUE"""),"Macaron Rabbit Phone Holder Telescopic Adjustable Height Stand Universal Desk Phone Holder")</f>
        <v>Macaron Rabbit Phone Holder Telescopic Adjustable Height Stand Universal Desk Phone Holder</v>
      </c>
      <c r="C21" s="6" t="str">
        <f>IFERROR(__xludf.DUMMYFUNCTION("""COMPUTED_VALUE"""),"https://vt.tiktok.com/ZSHTStj4VAGph-l6qu8/")</f>
        <v>https://vt.tiktok.com/ZSHTStj4VAGph-l6qu8/</v>
      </c>
      <c r="D21" s="5" t="str">
        <f>IFERROR(__xludf.DUMMYFUNCTION("""COMPUTED_VALUE"""),"TCH_PH_HS_004")</f>
        <v>TCH_PH_HS_004</v>
      </c>
      <c r="E21" s="5" t="str">
        <f>IFERROR(__xludf.DUMMYFUNCTION("""COMPUTED_VALUE"""),"Phone holder #phoneholder #phonestand")</f>
        <v>Phone holder #phoneholder #phonestand</v>
      </c>
    </row>
    <row r="22" ht="51" spans="1:5">
      <c r="A22" s="9">
        <f>IFERROR(__xludf.DUMMYFUNCTION("""COMPUTED_VALUE"""),45988)</f>
        <v>45988</v>
      </c>
      <c r="B22" s="5" t="str">
        <f>IFERROR(__xludf.DUMMYFUNCTION("""COMPUTED_VALUE"""),"Selfie Stick Tripod Mount Phone Holder Bluetooth Wireless Remote Shutter Stick")</f>
        <v>Selfie Stick Tripod Mount Phone Holder Bluetooth Wireless Remote Shutter Stick</v>
      </c>
      <c r="C22" s="6" t="str">
        <f>IFERROR(__xludf.DUMMYFUNCTION("""COMPUTED_VALUE"""),"https://vt.tiktok.com/ZSHTStkAQqV8j-c9SWi/")</f>
        <v>https://vt.tiktok.com/ZSHTStkAQqV8j-c9SWi/</v>
      </c>
      <c r="D22" s="5" t="str">
        <f>IFERROR(__xludf.DUMMYFUNCTION("""COMPUTED_VALUE"""),"TCH_PH_HS_005")</f>
        <v>TCH_PH_HS_005</v>
      </c>
      <c r="E22" s="5" t="str">
        <f>IFERROR(__xludf.DUMMYFUNCTION("""COMPUTED_VALUE"""),"Tripod #phoneholder #tripod")</f>
        <v>Tripod #phoneholder #tripod</v>
      </c>
    </row>
    <row r="23" ht="63.75" spans="1:5">
      <c r="A23" s="9">
        <f>IFERROR(__xludf.DUMMYFUNCTION("""COMPUTED_VALUE"""),45988)</f>
        <v>45988</v>
      </c>
      <c r="B23" s="5" t="str">
        <f>IFERROR(__xludf.DUMMYFUNCTION("""COMPUTED_VALUE"""),"Shower Phone Holder - Wall Mounted Cellphone Holder Stand Waterproof Box Anti-fog High-sensitivity 360°rotation")</f>
        <v>Shower Phone Holder - Wall Mounted Cellphone Holder Stand Waterproof Box Anti-fog High-sensitivity 360°rotation</v>
      </c>
      <c r="C23" s="6" t="str">
        <f>IFERROR(__xludf.DUMMYFUNCTION("""COMPUTED_VALUE"""),"https://vt.tiktok.com/ZSHTSnoGPqVEs-OoAQl/")</f>
        <v>https://vt.tiktok.com/ZSHTSnoGPqVEs-OoAQl/</v>
      </c>
      <c r="D23" s="5" t="str">
        <f>IFERROR(__xludf.DUMMYFUNCTION("""COMPUTED_VALUE"""),"TCH_PH_HS_006")</f>
        <v>TCH_PH_HS_006</v>
      </c>
      <c r="E23" s="5" t="str">
        <f>IFERROR(__xludf.DUMMYFUNCTION("""COMPUTED_VALUE"""),"Phone holder #phoneholder #phonestand")</f>
        <v>Phone holder #phoneholder #phonestand</v>
      </c>
    </row>
    <row r="24" ht="76.5" spans="1:5">
      <c r="A24" s="9">
        <f>IFERROR(__xludf.DUMMYFUNCTION("""COMPUTED_VALUE"""),45988)</f>
        <v>45988</v>
      </c>
      <c r="B24" s="5" t="str">
        <f>IFERROR(__xludf.DUMMYFUNCTION("""COMPUTED_VALUE"""),"GOOJODOQ Selfie Stick Tripod 360 Degree
Rotatable with Built-in Remote Control
Retractable Length Steady for Vlogging &amp; Travel")</f>
        <v>GOOJODOQ Selfie Stick Tripod 360 Degree
Rotatable with Built-in Remote Control
Retractable Length Steady for Vlogging &amp; Travel</v>
      </c>
      <c r="C24" s="6" t="str">
        <f>IFERROR(__xludf.DUMMYFUNCTION("""COMPUTED_VALUE"""),"https://vt.tiktok.com/ZSHTg76Jx53na-o7qtm/")</f>
        <v>https://vt.tiktok.com/ZSHTg76Jx53na-o7qtm/</v>
      </c>
      <c r="D24" s="5" t="str">
        <f>IFERROR(__xludf.DUMMYFUNCTION("""COMPUTED_VALUE"""),"TCH_PH_HS_007")</f>
        <v>TCH_PH_HS_007</v>
      </c>
      <c r="E24" s="5" t="str">
        <f>IFERROR(__xludf.DUMMYFUNCTION("""COMPUTED_VALUE"""),"Tripod #goojodoq #tripod")</f>
        <v>Tripod #goojodoq #tripod</v>
      </c>
    </row>
    <row r="25" ht="89.25" spans="1:5">
      <c r="A25" s="9">
        <f>IFERROR(__xludf.DUMMYFUNCTION("""COMPUTED_VALUE"""),46001)</f>
        <v>46001</v>
      </c>
      <c r="B25" s="5" t="str">
        <f>IFERROR(__xludf.DUMMYFUNCTION("""COMPUTED_VALUE"""),"Manila 24 hours delivery Long Arm Tablet Stand Holder for Phones And Tablets 4.7-7 Inch Clip Mount Bed Tablet Phone Holder Accessory Adjustable")</f>
        <v>Manila 24 hours delivery Long Arm Tablet Stand Holder for Phones And Tablets 4.7-7 Inch Clip Mount Bed Tablet Phone Holder Accessory Adjustable</v>
      </c>
      <c r="C25" s="6" t="str">
        <f>IFERROR(__xludf.DUMMYFUNCTION("""COMPUTED_VALUE"""),"https://vt.tiktok.com/ZSHwAMDtA8jhH-OLzm6/")</f>
        <v>https://vt.tiktok.com/ZSHwAMDtA8jhH-OLzm6/</v>
      </c>
      <c r="D25" s="5" t="str">
        <f>IFERROR(__xludf.DUMMYFUNCTION("""COMPUTED_VALUE"""),"TCH_PH_HS_008")</f>
        <v>TCH_PH_HS_008</v>
      </c>
      <c r="E25" s="5" t="str">
        <f>IFERROR(__xludf.DUMMYFUNCTION("""COMPUTED_VALUE"""),"Adjustable Long Arm Tablet Stand
#tabletstand #phoneholder")</f>
        <v>Adjustable Long Arm Tablet Stand
#tabletstand #phoneholder</v>
      </c>
    </row>
    <row r="26" ht="63.75" spans="1:5">
      <c r="A26" s="9">
        <f>IFERROR(__xludf.DUMMYFUNCTION("""COMPUTED_VALUE"""),45988)</f>
        <v>45988</v>
      </c>
      <c r="B26" s="5" t="str">
        <f>IFERROR(__xludf.DUMMYFUNCTION("""COMPUTED_VALUE"""),"(BUY 4 TAKE 1) Tempered Glass For iPhone 11 12 13 14 15 16 Pro Max 6 7 8 Plus XR X XS Max SE
2020 Screen Protector Film")</f>
        <v>(BUY 4 TAKE 1) Tempered Glass For iPhone 11 12 13 14 15 16 Pro Max 6 7 8 Plus XR X XS Max SE
2020 Screen Protector Film</v>
      </c>
      <c r="C26" s="6" t="str">
        <f>IFERROR(__xludf.DUMMYFUNCTION("""COMPUTED_VALUE"""),"https://vt.tiktok.com/ZSHTSbo3w6mXD-cozI2/")</f>
        <v>https://vt.tiktok.com/ZSHTSbo3w6mXD-cozI2/</v>
      </c>
      <c r="D26" s="5" t="str">
        <f>IFERROR(__xludf.DUMMYFUNCTION("""COMPUTED_VALUE"""),"TCH_PH_PP_001")</f>
        <v>TCH_PH_PP_001</v>
      </c>
      <c r="E26" s="5" t="str">
        <f>IFERROR(__xludf.DUMMYFUNCTION("""COMPUTED_VALUE"""),"Phone cover #phoneprotection #phonecover")</f>
        <v>Phone cover #phoneprotection #phonecover</v>
      </c>
    </row>
    <row r="27" ht="153" spans="1:5">
      <c r="A27" s="9">
        <f>IFERROR(__xludf.DUMMYFUNCTION("""COMPUTED_VALUE"""),45988)</f>
        <v>45988</v>
      </c>
      <c r="B27" s="5" t="str">
        <f>IFERROR(__xludf.DUMMYFUNCTION("""COMPUTED_VALUE"""),"On Trend Clear Shockproof Soft Phone Case
Compatible For INFINIX Hot9 Hot10S Hot10i Hot11 Hot11S NFC Hot12 Hot12i Hot20 Hot20S Hot30 Play Hot30i Hot40 Hot50 Hot60 Pro Plus Smart 4 5 Smart 6/6HD 6Plus 78 Smart 9 10 ZERO 30 40 5G Note12 Note30 VIP Note40 N"&amp;"ote50 Pro")</f>
        <v>On Trend Clear Shockproof Soft Phone Case
Compatible For INFINIX Hot9 Hot10S Hot10i Hot11 Hot11S NFC Hot12 Hot12i Hot20 Hot20S Hot30 Play Hot30i Hot40 Hot50 Hot60 Pro Plus Smart 4 5 Smart 6/6HD 6Plus 78 Smart 9 10 ZERO 30 40 5G Note12 Note30 VIP Note40 Note50 Pro</v>
      </c>
      <c r="C27" s="6" t="str">
        <f>IFERROR(__xludf.DUMMYFUNCTION("""COMPUTED_VALUE"""),"https://vt.tiktok.com/ZSHTSneAsfaEs-TqgvN/")</f>
        <v>https://vt.tiktok.com/ZSHTSneAsfaEs-TqgvN/</v>
      </c>
      <c r="D27" s="5" t="str">
        <f>IFERROR(__xludf.DUMMYFUNCTION("""COMPUTED_VALUE"""),"TCH_PH_PP_002")</f>
        <v>TCH_PH_PP_002</v>
      </c>
      <c r="E27" s="5" t="str">
        <f>IFERROR(__xludf.DUMMYFUNCTION("""COMPUTED_VALUE"""),"Phone case #phoneprotection #phonecase")</f>
        <v>Phone case #phoneprotection #phonecase</v>
      </c>
    </row>
    <row r="28" ht="102" spans="1:5">
      <c r="A28" s="9">
        <f>IFERROR(__xludf.DUMMYFUNCTION("""COMPUTED_VALUE"""),45995)</f>
        <v>45995</v>
      </c>
      <c r="B28" s="5" t="str">
        <f>IFERROR(__xludf.DUMMYFUNCTION("""COMPUTED_VALUE"""),"【Instantly transform into iPhone 17 phone case 】 Made of soft material and magnetic design, suitable for iPhone 11-iPhone 17 phone cases, the new 2025 iPhone phone case, outer shell")</f>
        <v>【Instantly transform into iPhone 17 phone case 】 Made of soft material and magnetic design, suitable for iPhone 11-iPhone 17 phone cases, the new 2025 iPhone phone case, outer shell</v>
      </c>
      <c r="C28" s="6" t="str">
        <f>IFERROR(__xludf.DUMMYFUNCTION("""COMPUTED_VALUE"""),"vt.tiktok.com/ZSHTWSmTnRXo8-XlASB/")</f>
        <v>vt.tiktok.com/ZSHTWSmTnRXo8-XlASB/</v>
      </c>
      <c r="D28" s="5" t="str">
        <f>IFERROR(__xludf.DUMMYFUNCTION("""COMPUTED_VALUE"""),"TCH_PH_PP_003")</f>
        <v>TCH_PH_PP_003</v>
      </c>
      <c r="E28" s="5" t="str">
        <f>IFERROR(__xludf.DUMMYFUNCTION("""COMPUTED_VALUE"""),"Phone case #phoneprotection #phonecase")</f>
        <v>Phone case #phoneprotection #phonecase</v>
      </c>
    </row>
    <row r="29" ht="127.5" spans="1:5">
      <c r="A29" s="9">
        <f>IFERROR(__xludf.DUMMYFUNCTION("""COMPUTED_VALUE"""),45995)</f>
        <v>45995</v>
      </c>
      <c r="B29" s="5" t="str">
        <f>IFERROR(__xludf.DUMMYFUNCTION("""COMPUTED_VALUE"""),"JISU luxury wristband Magsafe transparent phone case, suitable for iPhone 17 16, 15, 14, 13, 12,mini 11 Pro Max X XR XS Max 8, 7 Plus Air phone protective case back cover accessories with thick braided rope+metal anti slip")</f>
        <v>JISU luxury wristband Magsafe transparent phone case, suitable for iPhone 17 16, 15, 14, 13, 12,mini 11 Pro Max X XR XS Max 8, 7 Plus Air phone protective case back cover accessories with thick braided rope+metal anti slip</v>
      </c>
      <c r="C29" s="6" t="str">
        <f>IFERROR(__xludf.DUMMYFUNCTION("""COMPUTED_VALUE"""),"https://vt.tiktok.com/ZSHTWSw5PFFtU-MpYVp/")</f>
        <v>https://vt.tiktok.com/ZSHTWSw5PFFtU-MpYVp/</v>
      </c>
      <c r="D29" s="5" t="str">
        <f>IFERROR(__xludf.DUMMYFUNCTION("""COMPUTED_VALUE"""),"TCH_PH_PP_004")</f>
        <v>TCH_PH_PP_004</v>
      </c>
      <c r="E29" s="5" t="str">
        <f>IFERROR(__xludf.DUMMYFUNCTION("""COMPUTED_VALUE"""),"Phone case #phoneprotection #phonecase")</f>
        <v>Phone case #phoneprotection #phonecase</v>
      </c>
    </row>
    <row r="30" ht="127.5" spans="1:5">
      <c r="A30" s="9">
        <f>IFERROR(__xludf.DUMMYFUNCTION("""COMPUTED_VALUE"""),45995)</f>
        <v>45995</v>
      </c>
      <c r="B30" s="5" t="str">
        <f>IFERROR(__xludf.DUMMYFUNCTION("""COMPUTED_VALUE"""),"Compatible for IPhone 17 IPhone 11 16 15 14 13 12
Pro Max IPhone 16E 78 7Plus 8Plus X Xr Xs Max
IPhone 17 Air Transparent Wireless Charging
Magnetic Suction Anti-fingerprint Phone Case with Shock Protection and Back Cover")</f>
        <v>Compatible for IPhone 17 IPhone 11 16 15 14 13 12
Pro Max IPhone 16E 78 7Plus 8Plus X Xr Xs Max
IPhone 17 Air Transparent Wireless Charging
Magnetic Suction Anti-fingerprint Phone Case with Shock Protection and Back Cover</v>
      </c>
      <c r="C30" s="6" t="str">
        <f>IFERROR(__xludf.DUMMYFUNCTION("""COMPUTED_VALUE"""),"vt.tiktok.com/ZSHTWANfKajGR-tAF94/")</f>
        <v>vt.tiktok.com/ZSHTWANfKajGR-tAF94/</v>
      </c>
      <c r="D30" s="5" t="str">
        <f>IFERROR(__xludf.DUMMYFUNCTION("""COMPUTED_VALUE"""),"TCH_PH_PP_005")</f>
        <v>TCH_PH_PP_005</v>
      </c>
      <c r="E30" s="5" t="str">
        <f>IFERROR(__xludf.DUMMYFUNCTION("""COMPUTED_VALUE"""),"Phone case #phoneprotection #phonecase")</f>
        <v>Phone case #phoneprotection #phonecase</v>
      </c>
    </row>
    <row r="31" ht="51" spans="1:5">
      <c r="A31" s="9">
        <f>IFERROR(__xludf.DUMMYFUNCTION("""COMPUTED_VALUE"""),45988)</f>
        <v>45988</v>
      </c>
      <c r="B31" s="5" t="str">
        <f>IFERROR(__xludf.DUMMYFUNCTION("""COMPUTED_VALUE"""),"PROJECTION SUN LAMP WITH 1 TO 8 FILTERS ROMANTIC LIGHT WITH RAINBOW, SUNSET ETC")</f>
        <v>PROJECTION SUN LAMP WITH 1 TO 8 FILTERS ROMANTIC LIGHT WITH RAINBOW, SUNSET ETC</v>
      </c>
      <c r="C31" s="6" t="str">
        <f>IFERROR(__xludf.DUMMYFUNCTION("""COMPUTED_VALUE"""),"https://vt.tiktok.com/ZSHTStVC6km29-Sn06N/")</f>
        <v>https://vt.tiktok.com/ZSHTStVC6km29-Sn06N/</v>
      </c>
      <c r="D31" s="5" t="str">
        <f>IFERROR(__xludf.DUMMYFUNCTION("""COMPUTED_VALUE"""),"TCH_UA_PPD_001")</f>
        <v>TCH_UA_PPD_001</v>
      </c>
      <c r="E31" s="5" t="str">
        <f>IFERROR(__xludf.DUMMYFUNCTION("""COMPUTED_VALUE"""),"Projection Sun Lamp #sunsetlamp #lamp")</f>
        <v>Projection Sun Lamp #sunsetlamp #lamp</v>
      </c>
    </row>
    <row r="32" ht="51" spans="1:5">
      <c r="A32" s="9">
        <f>IFERROR(__xludf.DUMMYFUNCTION("""COMPUTED_VALUE"""),45991)</f>
        <v>45991</v>
      </c>
      <c r="B32" s="5" t="str">
        <f>IFERROR(__xludf.DUMMYFUNCTION("""COMPUTED_VALUE"""),"USB night light LED universal full USB interface, not dazzling With Color, Mobile Smartphones")</f>
        <v>USB night light LED universal full USB interface, not dazzling With Color, Mobile Smartphones</v>
      </c>
      <c r="C32" s="6" t="str">
        <f>IFERROR(__xludf.DUMMYFUNCTION("""COMPUTED_VALUE"""),"https://vt.tiktok.com/ZSHTaUJ9eHPUJ-Dbwim/")</f>
        <v>https://vt.tiktok.com/ZSHTaUJ9eHPUJ-Dbwim/</v>
      </c>
      <c r="D32" s="5" t="str">
        <f>IFERROR(__xludf.DUMMYFUNCTION("""COMPUTED_VALUE"""),"TCH_UA_PPD_002")</f>
        <v>TCH_UA_PPD_002</v>
      </c>
      <c r="E32" s="5" t="str">
        <f>IFERROR(__xludf.DUMMYFUNCTION("""COMPUTED_VALUE"""),"USB Night Light #nightlight #usblight")</f>
        <v>USB Night Light #nightlight #usblight</v>
      </c>
    </row>
    <row r="33" ht="89.25" spans="1:5">
      <c r="A33" s="9">
        <f>IFERROR(__xludf.DUMMYFUNCTION("""COMPUTED_VALUE"""),45991)</f>
        <v>45991</v>
      </c>
      <c r="B33" s="5" t="str">
        <f>IFERROR(__xludf.DUMMYFUNCTION("""COMPUTED_VALUE"""),"【GOOJODOQ freebie goojodoq long lanyard】 Compact Portable Handheld Fan with 3-Speed Modes - Sleek Design for Powerful Airflow and Style 1200Mah. FOR SCHOOL")</f>
        <v>【GOOJODOQ freebie goojodoq long lanyard】 Compact Portable Handheld Fan with 3-Speed Modes - Sleek Design for Powerful Airflow and Style 1200Mah. FOR SCHOOL</v>
      </c>
      <c r="C33" s="6" t="str">
        <f>IFERROR(__xludf.DUMMYFUNCTION("""COMPUTED_VALUE"""),"https://vt.tiktok.com/ZSHTaUwUdXXYF-bt7Ie/")</f>
        <v>https://vt.tiktok.com/ZSHTaUwUdXXYF-bt7Ie/</v>
      </c>
      <c r="D33" s="5" t="str">
        <f>IFERROR(__xludf.DUMMYFUNCTION("""COMPUTED_VALUE"""),"TCH_UA_PPD_003")</f>
        <v>TCH_UA_PPD_003</v>
      </c>
      <c r="E33" s="5" t="str">
        <f>IFERROR(__xludf.DUMMYFUNCTION("""COMPUTED_VALUE"""),"Goojodoq Handheld Fan #handheldfan #portablefan")</f>
        <v>Goojodoq Handheld Fan #handheldfan #portablefan</v>
      </c>
    </row>
    <row r="34" ht="63.75" spans="1:5">
      <c r="A34" s="9">
        <f>IFERROR(__xludf.DUMMYFUNCTION("""COMPUTED_VALUE"""),45993)</f>
        <v>45993</v>
      </c>
      <c r="B34" s="5" t="str">
        <f>IFERROR(__xludf.DUMMYFUNCTION("""COMPUTED_VALUE"""),"HCparty Top Selling 3D LED Night Light Three-Color With USB Switch Bedroom Night Lamp Best Gift Souvenir")</f>
        <v>HCparty Top Selling 3D LED Night Light Three-Color With USB Switch Bedroom Night Lamp Best Gift Souvenir</v>
      </c>
      <c r="C34" s="6" t="str">
        <f>IFERROR(__xludf.DUMMYFUNCTION("""COMPUTED_VALUE"""),"https://vt.tiktok.com/ZSHTVL8T2jEMq-8MFbs/")</f>
        <v>https://vt.tiktok.com/ZSHTVL8T2jEMq-8MFbs/</v>
      </c>
      <c r="D34" s="5" t="str">
        <f>IFERROR(__xludf.DUMMYFUNCTION("""COMPUTED_VALUE"""),"TCH_UA_PPD_004")</f>
        <v>TCH_UA_PPD_004</v>
      </c>
      <c r="E34" s="5" t="str">
        <f>IFERROR(__xludf.DUMMYFUNCTION("""COMPUTED_VALUE"""),"3D LED Night Light #nightlight #ledlamp")</f>
        <v>3D LED Night Light #nightlight #ledlamp</v>
      </c>
    </row>
    <row r="35" ht="76.5" spans="1:5">
      <c r="A35" s="9">
        <f>IFERROR(__xludf.DUMMYFUNCTION("""COMPUTED_VALUE"""),45993)</f>
        <v>45993</v>
      </c>
      <c r="B35" s="5" t="str">
        <f>IFERROR(__xludf.DUMMYFUNCTION("""COMPUTED_VALUE"""),"Tulip night light flower sea magic cube night light desktop atmosphere light diy creative gift handmade materials Christmas gift Halloween")</f>
        <v>Tulip night light flower sea magic cube night light desktop atmosphere light diy creative gift handmade materials Christmas gift Halloween</v>
      </c>
      <c r="C35" s="6" t="str">
        <f>IFERROR(__xludf.DUMMYFUNCTION("""COMPUTED_VALUE"""),"vt.tiktok.com/ZSHEeAJw5MB8d-klbLb/")</f>
        <v>vt.tiktok.com/ZSHEeAJw5MB8d-klbLb/</v>
      </c>
      <c r="D35" s="5" t="str">
        <f>IFERROR(__xludf.DUMMYFUNCTION("""COMPUTED_VALUE"""),"TCH_UA_PPD_005")</f>
        <v>TCH_UA_PPD_005</v>
      </c>
      <c r="E35" s="5" t="str">
        <f>IFERROR(__xludf.DUMMYFUNCTION("""COMPUTED_VALUE"""),"Tulip Night Light #nightlight #handmade")</f>
        <v>Tulip Night Light #nightlight #handmade</v>
      </c>
    </row>
    <row r="36" ht="63.75" spans="1:5">
      <c r="A36" s="9">
        <f>IFERROR(__xludf.DUMMYFUNCTION("""COMPUTED_VALUE"""),45993)</f>
        <v>45993</v>
      </c>
      <c r="B36" s="5" t="str">
        <f>IFERROR(__xludf.DUMMYFUNCTION("""COMPUTED_VALUE"""),"3d moon lamp crystal ball night lamp USB table light with wooden base birthday gift home decor 3color adjustable light")</f>
        <v>3d moon lamp crystal ball night lamp USB table light with wooden base birthday gift home decor 3color adjustable light</v>
      </c>
      <c r="C36" s="6" t="str">
        <f>IFERROR(__xludf.DUMMYFUNCTION("""COMPUTED_VALUE"""),"https://vt.tiktok.com/ZSHTVeKpb6R9w-gaMbK/")</f>
        <v>https://vt.tiktok.com/ZSHTVeKpb6R9w-gaMbK/</v>
      </c>
      <c r="D36" s="5" t="str">
        <f>IFERROR(__xludf.DUMMYFUNCTION("""COMPUTED_VALUE"""),"TCH_UA_PPD_006")</f>
        <v>TCH_UA_PPD_006</v>
      </c>
      <c r="E36" s="5" t="str">
        <f>IFERROR(__xludf.DUMMYFUNCTION("""COMPUTED_VALUE"""),"3D Moon Lamp #lamp #nightlight")</f>
        <v>3D Moon Lamp #lamp #nightlight</v>
      </c>
    </row>
    <row r="37" ht="127.5" spans="1:5">
      <c r="A37" s="9">
        <f>IFERROR(__xludf.DUMMYFUNCTION("""COMPUTED_VALUE"""),45993)</f>
        <v>45993</v>
      </c>
      <c r="B37" s="5" t="str">
        <f>IFERROR(__xludf.DUMMYFUNCTION("""COMPUTED_VALUE"""),"【NEW arrived GOOJODOQ】 New Style High
Speed Pocket Fan Outdoor Portable 100 Speed Turbine Mini Digital Display Battery Quantity 4000Mah Rechargable FOR SCHOOL With Free Long Lanyard")</f>
        <v>【NEW arrived GOOJODOQ】 New Style High
Speed Pocket Fan Outdoor Portable 100 Speed Turbine Mini Digital Display Battery Quantity 4000Mah Rechargable FOR SCHOOL With Free Long Lanyard</v>
      </c>
      <c r="C37" s="6" t="str">
        <f>IFERROR(__xludf.DUMMYFUNCTION("""COMPUTED_VALUE"""),"https://vt.tiktok.com/ZSHTgnmkLBUbw-WKVcU/")</f>
        <v>https://vt.tiktok.com/ZSHTgnmkLBUbw-WKVcU/</v>
      </c>
      <c r="D37" s="5" t="str">
        <f>IFERROR(__xludf.DUMMYFUNCTION("""COMPUTED_VALUE"""),"TCH_UA_PPD_007")</f>
        <v>TCH_UA_PPD_007</v>
      </c>
      <c r="E37" s="5" t="str">
        <f>IFERROR(__xludf.DUMMYFUNCTION("""COMPUTED_VALUE"""),"Goojodoq Pocket Fan #minifan #portablefan")</f>
        <v>Goojodoq Pocket Fan #minifan #portablefan</v>
      </c>
    </row>
    <row r="38" ht="63.75" spans="1:5">
      <c r="A38" s="9">
        <f>IFERROR(__xludf.DUMMYFUNCTION("""COMPUTED_VALUE"""),45993)</f>
        <v>45993</v>
      </c>
      <c r="B38" s="5" t="str">
        <f>IFERROR(__xludf.DUMMYFUNCTION("""COMPUTED_VALUE"""),"Lamp Night Light USB Rechargeable Stick-on Push Light Wireless Cabinet Counter LED U-263")</f>
        <v>Lamp Night Light USB Rechargeable Stick-on Push Light Wireless Cabinet Counter LED U-263</v>
      </c>
      <c r="C38" s="6" t="str">
        <f>IFERROR(__xludf.DUMMYFUNCTION("""COMPUTED_VALUE"""),"https://vt.tiktok.com/ZSHTWAXnq6cE5-Y32lO/")</f>
        <v>https://vt.tiktok.com/ZSHTWAXnq6cE5-Y32lO/</v>
      </c>
      <c r="D38" s="5" t="str">
        <f>IFERROR(__xludf.DUMMYFUNCTION("""COMPUTED_VALUE"""),"TCH_UA_PPD_008")</f>
        <v>TCH_UA_PPD_008</v>
      </c>
      <c r="E38" s="5" t="str">
        <f>IFERROR(__xludf.DUMMYFUNCTION("""COMPUTED_VALUE"""),"USB Stick-on Light #ledlight #nightlight")</f>
        <v>USB Stick-on Light #ledlight #nightlight</v>
      </c>
    </row>
    <row r="39" ht="89.25" spans="1:5">
      <c r="A39" s="9">
        <f>IFERROR(__xludf.DUMMYFUNCTION("""COMPUTED_VALUE"""),46001)</f>
        <v>46001</v>
      </c>
      <c r="B39" s="5" t="str">
        <f>IFERROR(__xludf.DUMMYFUNCTION("""COMPUTED_VALUE"""),"NIUMO Mobile phone fill light, brightness and color temperature can be adjusted, and there are also seven colors that can be controlled Built-in 50 mAh battery")</f>
        <v>NIUMO Mobile phone fill light, brightness and color temperature can be adjusted, and there are also seven colors that can be controlled Built-in 50 mAh battery</v>
      </c>
      <c r="C39" s="6" t="str">
        <f>IFERROR(__xludf.DUMMYFUNCTION("""COMPUTED_VALUE"""),"vt.tiktok.com/ZSHwAMcMKPLHu-fBC1g/")</f>
        <v>vt.tiktok.com/ZSHwAMcMKPLHu-fBC1g/</v>
      </c>
      <c r="D39" s="5" t="str">
        <f>IFERROR(__xludf.DUMMYFUNCTION("""COMPUTED_VALUE"""),"TCH_UA_PPD_009")</f>
        <v>TCH_UA_PPD_009</v>
      </c>
      <c r="E39" s="5"/>
    </row>
    <row r="40" ht="63.75" spans="1:5">
      <c r="A40" s="9">
        <f>IFERROR(__xludf.DUMMYFUNCTION("""COMPUTED_VALUE"""),45958)</f>
        <v>45958</v>
      </c>
      <c r="B40" s="5" t="str">
        <f>IFERROR(__xludf.DUMMYFUNCTION("""COMPUTED_VALUE"""),"7 in 1 Cleaning Soft Bruch Keyboard Headphone Cleaner/Computer Cleaning Tool Corner Crack Duster Gift Brush")</f>
        <v>7 in 1 Cleaning Soft Bruch Keyboard Headphone Cleaner/Computer Cleaning Tool Corner Crack Duster Gift Brush</v>
      </c>
      <c r="C40" s="6" t="str">
        <f>IFERROR(__xludf.DUMMYFUNCTION("""COMPUTED_VALUE"""),"https://vt.tiktok.com/ZSHcFWcWBFpcP-xt8MJ/")</f>
        <v>https://vt.tiktok.com/ZSHcFWcWBFpcP-xt8MJ/</v>
      </c>
      <c r="D40" s="5" t="str">
        <f>IFERROR(__xludf.DUMMYFUNCTION("""COMPUTED_VALUE"""),"TP_TEST_001")</f>
        <v>TP_TEST_001</v>
      </c>
      <c r="E40" s="5" t="str">
        <f>IFERROR(__xludf.DUMMYFUNCTION("""COMPUTED_VALUE"""),"7-in-1 Cleaning Brush #cleaning #keyboardcleaner")</f>
        <v>7-in-1 Cleaning Brush #cleaning #keyboardcleaner</v>
      </c>
    </row>
    <row r="41" ht="51" spans="1:5">
      <c r="A41" s="9">
        <f>IFERROR(__xludf.DUMMYFUNCTION("""COMPUTED_VALUE"""),45958)</f>
        <v>45958</v>
      </c>
      <c r="B41" s="5" t="str">
        <f>IFERROR(__xludf.DUMMYFUNCTION("""COMPUTED_VALUE"""),"120 Wind Speed Turbo Fan M11 with LED Display High Speed Handheld USB Rechargeable Fan")</f>
        <v>120 Wind Speed Turbo Fan M11 with LED Display High Speed Handheld USB Rechargeable Fan</v>
      </c>
      <c r="C41" s="6" t="str">
        <f>IFERROR(__xludf.DUMMYFUNCTION("""COMPUTED_VALUE"""),"https://vt.tiktok.com/ZSHcF38gMMbuK-BTlQT/")</f>
        <v>https://vt.tiktok.com/ZSHcF38gMMbuK-BTlQT/</v>
      </c>
      <c r="D41" s="5" t="str">
        <f>IFERROR(__xludf.DUMMYFUNCTION("""COMPUTED_VALUE"""),"TP_TEST_003")</f>
        <v>TP_TEST_003</v>
      </c>
      <c r="E41" s="5" t="str">
        <f>IFERROR(__xludf.DUMMYFUNCTION("""COMPUTED_VALUE"""),"M11 Turbo Fan #minifan #portablefan")</f>
        <v>M11 Turbo Fan #minifan #portablefan</v>
      </c>
    </row>
    <row r="42" ht="63.75" spans="1:5">
      <c r="A42" s="9">
        <f>IFERROR(__xludf.DUMMYFUNCTION("""COMPUTED_VALUE"""),45967)</f>
        <v>45967</v>
      </c>
      <c r="B42" s="5" t="str">
        <f>IFERROR(__xludf.DUMMYFUNCTION("""COMPUTED_VALUE"""),"Orashare PNC03 3000mAh Capsule Mini Powerbank With TYPE-C/iPh Port Portable Handy Power Bank iP")</f>
        <v>Orashare PNC03 3000mAh Capsule Mini Powerbank With TYPE-C/iPh Port Portable Handy Power Bank iP</v>
      </c>
      <c r="C42" s="6" t="str">
        <f>IFERROR(__xludf.DUMMYFUNCTION("""COMPUTED_VALUE"""),"https://vt.tiktok.com/ZSHcgSLA5fd3x-npGIG/")</f>
        <v>https://vt.tiktok.com/ZSHcgSLA5fd3x-npGIG/</v>
      </c>
      <c r="D42" s="5" t="str">
        <f>IFERROR(__xludf.DUMMYFUNCTION("""COMPUTED_VALUE"""),"TP_TEST_004")</f>
        <v>TP_TEST_004</v>
      </c>
      <c r="E42" s="5" t="str">
        <f>IFERROR(__xludf.DUMMYFUNCTION("""COMPUTED_VALUE"""),"Orashare Mini Powerbank #powerbank #orasharepowerbank")</f>
        <v>Orashare Mini Powerbank #powerbank #orasharepowerbank</v>
      </c>
    </row>
    <row r="43" ht="76.5" spans="1:5">
      <c r="A43" s="9">
        <f>IFERROR(__xludf.DUMMYFUNCTION("""COMPUTED_VALUE"""),45967)</f>
        <v>45967</v>
      </c>
      <c r="B43" s="5" t="str">
        <f>IFERROR(__xludf.DUMMYFUNCTION("""COMPUTED_VALUE"""),"NEW Silent Desktop Fan with
Dynamic Ambient Lightning Effect and 10X Powerful Hurricane Wind - 100-Level Speed OR SCHOOL")</f>
        <v>NEW Silent Desktop Fan with
Dynamic Ambient Lightning Effect and 10X Powerful Hurricane Wind - 100-Level Speed OR SCHOOL</v>
      </c>
      <c r="C43" s="6" t="str">
        <f>IFERROR(__xludf.DUMMYFUNCTION("""COMPUTED_VALUE"""),"https://vt.tiktok.com/ZSHcgD4bSj2wY-GCMUR/")</f>
        <v>https://vt.tiktok.com/ZSHcgD4bSj2wY-GCMUR/</v>
      </c>
      <c r="D43" s="5" t="str">
        <f>IFERROR(__xludf.DUMMYFUNCTION("""COMPUTED_VALUE"""),"TP_TEST_005")</f>
        <v>TP_TEST_005</v>
      </c>
      <c r="E43" s="5" t="str">
        <f>IFERROR(__xludf.DUMMYFUNCTION("""COMPUTED_VALUE"""),"GoojoDoq Desktop Fan #desktopfan #goojodoq")</f>
        <v>GoojoDoq Desktop Fan #desktopfan #goojodoq</v>
      </c>
    </row>
    <row r="44" ht="89.25" spans="1:5">
      <c r="A44" s="9">
        <f>IFERROR(__xludf.DUMMYFUNCTION("""COMPUTED_VALUE"""),45988)</f>
        <v>45988</v>
      </c>
      <c r="B44" s="5" t="str">
        <f>IFERROR(__xludf.DUMMYFUNCTION("""COMPUTED_VALUE"""),"Original 12000mAh Power Bank with Type-C &amp; USB Outputs Portable Fast Charging for Android iOS Devices LED Indicator Handy Mobile Phone Charger")</f>
        <v>Original 12000mAh Power Bank with Type-C &amp; USB Outputs Portable Fast Charging for Android iOS Devices LED Indicator Handy Mobile Phone Charger</v>
      </c>
      <c r="C44" s="6" t="str">
        <f>IFERROR(__xludf.DUMMYFUNCTION("""COMPUTED_VALUE"""),"https://vt.tiktok.com/ZSHTSsJxuqWCj-YJUuj/")</f>
        <v>https://vt.tiktok.com/ZSHTSsJxuqWCj-YJUuj/</v>
      </c>
      <c r="D44" s="5" t="str">
        <f>IFERROR(__xludf.DUMMYFUNCTION("""COMPUTED_VALUE"""),"TP_TEST_006")</f>
        <v>TP_TEST_006</v>
      </c>
      <c r="E44" s="5" t="str">
        <f>IFERROR(__xludf.DUMMYFUNCTION("""COMPUTED_VALUE"""),"Power bank #powerbank #powerbankviral")</f>
        <v>Power bank #powerbank #powerbankviral</v>
      </c>
    </row>
    <row r="45" ht="63.75" spans="1:5">
      <c r="A45" s="9">
        <f>IFERROR(__xludf.DUMMYFUNCTION("""COMPUTED_VALUE"""),45967)</f>
        <v>45967</v>
      </c>
      <c r="B45" s="5" t="str">
        <f>IFERROR(__xludf.DUMMYFUNCTION("""COMPUTED_VALUE"""),"NEW goojodoq 4000mAh Portable Versatile Mini Fan Quiet and High-speed Airflow 100-level Stepless Speed")</f>
        <v>NEW goojodoq 4000mAh Portable Versatile Mini Fan Quiet and High-speed Airflow 100-level Stepless Speed</v>
      </c>
      <c r="C45" s="6" t="str">
        <f>IFERROR(__xludf.DUMMYFUNCTION("""COMPUTED_VALUE"""),"https://vt.tiktok.com/ZSHcgUeYGdLXC-bf6a2/")</f>
        <v>https://vt.tiktok.com/ZSHcgUeYGdLXC-bf6a2/</v>
      </c>
      <c r="D45" s="5" t="str">
        <f>IFERROR(__xludf.DUMMYFUNCTION("""COMPUTED_VALUE"""),"TP_TEST_008")</f>
        <v>TP_TEST_008</v>
      </c>
      <c r="E45" s="5" t="str">
        <f>IFERROR(__xludf.DUMMYFUNCTION("""COMPUTED_VALUE"""),"Goojodoq Mini Fan #minifan #portablefan")</f>
        <v>Goojodoq Mini Fan #minifan #portablefan</v>
      </c>
    </row>
    <row r="46" ht="76.5" spans="1:5">
      <c r="A46" s="9">
        <f>IFERROR(__xludf.DUMMYFUNCTION("""COMPUTED_VALUE"""),45973)</f>
        <v>45973</v>
      </c>
      <c r="B46" s="5" t="str">
        <f>IFERROR(__xludf.DUMMYFUNCTION("""COMPUTED_VALUE"""),"HQAI X55 Sleeping Earbuds with Hi-Fi Stereo
Sound Waterproof Build-in Mic Noise Cancelling
For iPhone For Andriod Touch Control")</f>
        <v>HQAI X55 Sleeping Earbuds with Hi-Fi Stereo
Sound Waterproof Build-in Mic Noise Cancelling
For iPhone For Andriod Touch Control</v>
      </c>
      <c r="C46" s="6" t="str">
        <f>IFERROR(__xludf.DUMMYFUNCTION("""COMPUTED_VALUE"""),"vt.tiktok.com/ZSH3AQ9SW7NED-RxqPB/")</f>
        <v>vt.tiktok.com/ZSH3AQ9SW7NED-RxqPB/</v>
      </c>
      <c r="D46" s="5" t="str">
        <f>IFERROR(__xludf.DUMMYFUNCTION("""COMPUTED_VALUE"""),"TP_TEST_011")</f>
        <v>TP_TEST_011</v>
      </c>
      <c r="E46" s="5" t="str">
        <f>IFERROR(__xludf.DUMMYFUNCTION("""COMPUTED_VALUE"""),"Earbuds #Hqai #earbuds")</f>
        <v>Earbuds #Hqai #earbuds</v>
      </c>
    </row>
    <row r="47" ht="76.5" spans="1:5">
      <c r="A47" s="9">
        <f>IFERROR(__xludf.DUMMYFUNCTION("""COMPUTED_VALUE"""),45973)</f>
        <v>45973</v>
      </c>
      <c r="B47" s="5" t="str">
        <f>IFERROR(__xludf.DUMMYFUNCTION("""COMPUTED_VALUE"""),"phone holders and ring holders for Tecno, Oppo, vivo, realme, itel, Infinix, Xiaomi, Redmi, Samsung and other series of mobile phones Smartphone Stand")</f>
        <v>phone holders and ring holders for Tecno, Oppo, vivo, realme, itel, Infinix, Xiaomi, Redmi, Samsung and other series of mobile phones Smartphone Stand</v>
      </c>
      <c r="C47" s="6" t="str">
        <f>IFERROR(__xludf.DUMMYFUNCTION("""COMPUTED_VALUE"""),"https://vt.tiktok.com/ZSH3DeEGCuEcH-IOEQC/")</f>
        <v>https://vt.tiktok.com/ZSH3DeEGCuEcH-IOEQC/</v>
      </c>
      <c r="D47" s="5" t="str">
        <f>IFERROR(__xludf.DUMMYFUNCTION("""COMPUTED_VALUE"""),"TP_TEST_019")</f>
        <v>TP_TEST_019</v>
      </c>
      <c r="E47" s="5" t="str">
        <f>IFERROR(__xludf.DUMMYFUNCTION("""COMPUTED_VALUE"""),"Phone holder #phoneholder #ringholder")</f>
        <v>Phone holder #phoneholder #ringholder</v>
      </c>
    </row>
    <row r="48" ht="89.25" spans="1:5">
      <c r="A48" s="9">
        <f>IFERROR(__xludf.DUMMYFUNCTION("""COMPUTED_VALUE"""),45973)</f>
        <v>45973</v>
      </c>
      <c r="B48" s="5" t="str">
        <f>IFERROR(__xludf.DUMMYFUNCTION("""COMPUTED_VALUE"""),"PD 20Watts Power Adapter charger Fast Charging with Charging Cable Compatible with iphone 6/7/8/X/XR/11/12/13/14 Pro Max/14 Pro ")</f>
        <v>PD 20Watts Power Adapter charger Fast Charging with Charging Cable Compatible with iphone 6/7/8/X/XR/11/12/13/14 Pro Max/14 Pro </v>
      </c>
      <c r="C48" s="6" t="str">
        <f>IFERROR(__xludf.DUMMYFUNCTION("""COMPUTED_VALUE"""),"https://vt.tiktok.com/ZSH3DdteawToA-c6kVT/")</f>
        <v>https://vt.tiktok.com/ZSH3DdteawToA-c6kVT/</v>
      </c>
      <c r="D48" s="5" t="str">
        <f>IFERROR(__xludf.DUMMYFUNCTION("""COMPUTED_VALUE"""),"TP_TEST_020")</f>
        <v>TP_TEST_020</v>
      </c>
      <c r="E48" s="5" t="str">
        <f>IFERROR(__xludf.DUMMYFUNCTION("""COMPUTED_VALUE"""),"Power Adapater Charger #phonecharge #fastcharger")</f>
        <v>Power Adapater Charger #phonecharge #fastcharger</v>
      </c>
    </row>
    <row r="49" ht="76.5" spans="1:5">
      <c r="A49" s="9">
        <f>IFERROR(__xludf.DUMMYFUNCTION("""COMPUTED_VALUE"""),45973)</f>
        <v>45973</v>
      </c>
      <c r="B49" s="5" t="str">
        <f>IFERROR(__xludf.DUMMYFUNCTION("""COMPUTED_VALUE"""),"Bluetooth
headset 6th generation high quality noise reduction sports semi-in-ear wireless headset with super long battery life of 8 hours ")</f>
        <v>Bluetooth
headset 6th generation high quality noise reduction sports semi-in-ear wireless headset with super long battery life of 8 hours </v>
      </c>
      <c r="C49" s="6" t="str">
        <f>IFERROR(__xludf.DUMMYFUNCTION("""COMPUTED_VALUE"""),"vt.tiktok.com/ZSH3DLu92enht-KPJ71/")</f>
        <v>vt.tiktok.com/ZSH3DLu92enht-KPJ71/</v>
      </c>
      <c r="D49" s="5" t="str">
        <f>IFERROR(__xludf.DUMMYFUNCTION("""COMPUTED_VALUE"""),"TP_TEST_024")</f>
        <v>TP_TEST_024</v>
      </c>
      <c r="E49" s="5" t="str">
        <f>IFERROR(__xludf.DUMMYFUNCTION("""COMPUTED_VALUE"""),"Bluetooth Headset #bluetoothheadset #goojodoq")</f>
        <v>Bluetooth Headset #bluetoothheadset #goojodoq</v>
      </c>
    </row>
    <row r="50" ht="76.5" spans="1:5">
      <c r="A50" s="9">
        <f>IFERROR(__xludf.DUMMYFUNCTION("""COMPUTED_VALUE"""),45976)</f>
        <v>45976</v>
      </c>
      <c r="B50" s="5" t="str">
        <f>IFERROR(__xludf.DUMMYFUNCTION("""COMPUTED_VALUE"""),"HINAR ZJ07 ZJ08 4 IN 1 Wireless Induction Audio
Bluetooth Speaker Mobile phone holder, 360° Rotation Stand with LED, Universal Speaker ")</f>
        <v>HINAR ZJ07 ZJ08 4 IN 1 Wireless Induction Audio
Bluetooth Speaker Mobile phone holder, 360° Rotation Stand with LED, Universal Speaker </v>
      </c>
      <c r="C50" s="6" t="str">
        <f>IFERROR(__xludf.DUMMYFUNCTION("""COMPUTED_VALUE"""),"vt.tiktok.com/ZSH3DeNgvWVNA-EFYfC/")</f>
        <v>vt.tiktok.com/ZSH3DeNgvWVNA-EFYfC/</v>
      </c>
      <c r="D50" s="5" t="str">
        <f>IFERROR(__xludf.DUMMYFUNCTION("""COMPUTED_VALUE"""),"TP_TEST_027")</f>
        <v>TP_TEST_027</v>
      </c>
      <c r="E50" s="5" t="str">
        <f>IFERROR(__xludf.DUMMYFUNCTION("""COMPUTED_VALUE"""),"HINAR 4-in-1 Bluetooth Speaker #bluetoothspeaker #mobileholder")</f>
        <v>HINAR 4-in-1 Bluetooth Speaker #bluetoothspeaker #mobileholder</v>
      </c>
    </row>
    <row r="51" ht="12.75" spans="1:5">
      <c r="A51" s="5"/>
      <c r="B51" s="5"/>
      <c r="C51" s="5"/>
      <c r="D51" s="5"/>
      <c r="E51" s="5"/>
    </row>
    <row r="52" ht="12.75" spans="1:5">
      <c r="A52" s="5"/>
      <c r="B52" s="5"/>
      <c r="C52" s="5"/>
      <c r="D52" s="5"/>
      <c r="E52" s="5"/>
    </row>
    <row r="53" ht="12.75" spans="1:5">
      <c r="A53" s="5"/>
      <c r="B53" s="5"/>
      <c r="C53" s="5"/>
      <c r="D53" s="5"/>
      <c r="E53" s="5"/>
    </row>
    <row r="54" ht="12.75" spans="1:5">
      <c r="A54" s="5"/>
      <c r="B54" s="5"/>
      <c r="C54" s="5"/>
      <c r="D54" s="5"/>
      <c r="E54" s="5"/>
    </row>
    <row r="55" ht="12.75" spans="1:5">
      <c r="A55" s="5"/>
      <c r="B55" s="5"/>
      <c r="C55" s="5"/>
      <c r="D55" s="5"/>
      <c r="E55" s="5"/>
    </row>
    <row r="56" ht="12.75" spans="1:5">
      <c r="A56" s="5"/>
      <c r="B56" s="5"/>
      <c r="C56" s="5"/>
      <c r="D56" s="5"/>
      <c r="E56" s="5"/>
    </row>
    <row r="57" ht="12.75" spans="1:5">
      <c r="A57" s="5"/>
      <c r="B57" s="5"/>
      <c r="C57" s="5"/>
      <c r="D57" s="5"/>
      <c r="E57" s="5"/>
    </row>
    <row r="58" ht="12.75" spans="1:5">
      <c r="A58" s="5"/>
      <c r="B58" s="5"/>
      <c r="C58" s="5"/>
      <c r="D58" s="5"/>
      <c r="E58" s="5"/>
    </row>
    <row r="59" ht="12.75" spans="1:5">
      <c r="A59" s="5"/>
      <c r="B59" s="5"/>
      <c r="C59" s="5"/>
      <c r="D59" s="5"/>
      <c r="E59" s="5"/>
    </row>
    <row r="60" ht="12.75" spans="1:5">
      <c r="A60" s="5"/>
      <c r="B60" s="5"/>
      <c r="C60" s="5"/>
      <c r="D60" s="5"/>
      <c r="E60" s="5"/>
    </row>
    <row r="61" ht="12.75" spans="1:5">
      <c r="A61" s="5"/>
      <c r="B61" s="5"/>
      <c r="C61" s="5"/>
      <c r="D61" s="5"/>
      <c r="E61" s="5"/>
    </row>
    <row r="62" ht="12.75" spans="1:5">
      <c r="A62" s="5"/>
      <c r="B62" s="5"/>
      <c r="C62" s="5"/>
      <c r="D62" s="5"/>
      <c r="E62" s="5"/>
    </row>
    <row r="63" ht="12.75" spans="1:5">
      <c r="A63" s="5"/>
      <c r="B63" s="5"/>
      <c r="C63" s="5"/>
      <c r="D63" s="5"/>
      <c r="E63" s="5"/>
    </row>
    <row r="64" ht="12.75" spans="1:5">
      <c r="A64" s="5"/>
      <c r="B64" s="5"/>
      <c r="C64" s="5"/>
      <c r="D64" s="5"/>
      <c r="E64" s="5"/>
    </row>
    <row r="65" ht="12.75" spans="1:5">
      <c r="A65" s="5"/>
      <c r="B65" s="5"/>
      <c r="C65" s="5"/>
      <c r="D65" s="5"/>
      <c r="E65" s="5"/>
    </row>
    <row r="66" ht="12.75" spans="1:5">
      <c r="A66" s="5"/>
      <c r="B66" s="5"/>
      <c r="C66" s="5"/>
      <c r="D66" s="5"/>
      <c r="E66" s="5"/>
    </row>
    <row r="67" ht="12.75" spans="1:5">
      <c r="A67" s="5"/>
      <c r="B67" s="5"/>
      <c r="C67" s="5"/>
      <c r="D67" s="5"/>
      <c r="E67" s="5"/>
    </row>
    <row r="68" ht="12.75" spans="1:5">
      <c r="A68" s="5"/>
      <c r="B68" s="5"/>
      <c r="C68" s="5"/>
      <c r="D68" s="5"/>
      <c r="E68" s="5"/>
    </row>
    <row r="69" ht="12.75" spans="1:5">
      <c r="A69" s="5"/>
      <c r="B69" s="5"/>
      <c r="C69" s="5"/>
      <c r="D69" s="5"/>
      <c r="E69" s="5"/>
    </row>
    <row r="70" ht="12.75" spans="1:5">
      <c r="A70" s="5"/>
      <c r="B70" s="5"/>
      <c r="C70" s="5"/>
      <c r="D70" s="5"/>
      <c r="E70" s="5"/>
    </row>
    <row r="71" ht="12.75" spans="1:5">
      <c r="A71" s="5"/>
      <c r="B71" s="5"/>
      <c r="C71" s="5"/>
      <c r="D71" s="5"/>
      <c r="E71" s="5"/>
    </row>
    <row r="72" ht="12.75" spans="1:5">
      <c r="A72" s="5"/>
      <c r="B72" s="5"/>
      <c r="C72" s="5"/>
      <c r="D72" s="5"/>
      <c r="E72" s="5"/>
    </row>
    <row r="73" ht="12.75" spans="1:5">
      <c r="A73" s="5"/>
      <c r="B73" s="5"/>
      <c r="C73" s="5"/>
      <c r="D73" s="5"/>
      <c r="E73" s="5"/>
    </row>
    <row r="74" ht="12.75" spans="1:5">
      <c r="A74" s="5"/>
      <c r="B74" s="5"/>
      <c r="C74" s="5"/>
      <c r="D74" s="5"/>
      <c r="E74" s="5"/>
    </row>
    <row r="75" ht="12.75" spans="1:5">
      <c r="A75" s="5"/>
      <c r="B75" s="5"/>
      <c r="C75" s="5"/>
      <c r="D75" s="5"/>
      <c r="E75" s="5"/>
    </row>
    <row r="76" ht="12.75" spans="1:5">
      <c r="A76" s="5"/>
      <c r="B76" s="5"/>
      <c r="C76" s="5"/>
      <c r="D76" s="5"/>
      <c r="E76" s="5"/>
    </row>
    <row r="77" ht="12.75" spans="1:5">
      <c r="A77" s="5"/>
      <c r="B77" s="5"/>
      <c r="C77" s="5"/>
      <c r="D77" s="5"/>
      <c r="E77" s="5"/>
    </row>
    <row r="78" ht="12.75" spans="1:5">
      <c r="A78" s="5"/>
      <c r="B78" s="5"/>
      <c r="C78" s="5"/>
      <c r="D78" s="5"/>
      <c r="E78" s="5"/>
    </row>
    <row r="79" ht="12.75" spans="1:5">
      <c r="A79" s="5"/>
      <c r="B79" s="5"/>
      <c r="C79" s="5"/>
      <c r="D79" s="5"/>
      <c r="E79" s="5"/>
    </row>
    <row r="80" ht="12.75" spans="1:5">
      <c r="A80" s="5"/>
      <c r="B80" s="5"/>
      <c r="C80" s="5"/>
      <c r="D80" s="5"/>
      <c r="E80" s="5"/>
    </row>
    <row r="81" ht="12.75" spans="1:5">
      <c r="A81" s="5"/>
      <c r="B81" s="5"/>
      <c r="C81" s="5"/>
      <c r="D81" s="5"/>
      <c r="E81" s="5"/>
    </row>
    <row r="82" ht="12.75" spans="1:5">
      <c r="A82" s="5"/>
      <c r="B82" s="5"/>
      <c r="C82" s="5"/>
      <c r="D82" s="5"/>
      <c r="E82" s="5"/>
    </row>
    <row r="83" ht="12.75" spans="1:5">
      <c r="A83" s="5"/>
      <c r="B83" s="5"/>
      <c r="C83" s="5"/>
      <c r="D83" s="5"/>
      <c r="E83" s="5"/>
    </row>
    <row r="84" ht="12.75" spans="1:5">
      <c r="A84" s="5"/>
      <c r="B84" s="5"/>
      <c r="C84" s="5"/>
      <c r="D84" s="5"/>
      <c r="E84" s="5"/>
    </row>
    <row r="85" ht="12.75" spans="1:5">
      <c r="A85" s="5"/>
      <c r="B85" s="5"/>
      <c r="C85" s="5"/>
      <c r="D85" s="5"/>
      <c r="E85" s="5"/>
    </row>
    <row r="86" ht="12.75" spans="1:5">
      <c r="A86" s="5"/>
      <c r="B86" s="5"/>
      <c r="C86" s="5"/>
      <c r="D86" s="5"/>
      <c r="E86" s="5"/>
    </row>
    <row r="87" ht="12.75" spans="1:5">
      <c r="A87" s="5"/>
      <c r="B87" s="5"/>
      <c r="C87" s="5"/>
      <c r="D87" s="5"/>
      <c r="E87" s="5"/>
    </row>
    <row r="88" ht="12.75" spans="1:5">
      <c r="A88" s="5"/>
      <c r="B88" s="5"/>
      <c r="C88" s="5"/>
      <c r="D88" s="5"/>
      <c r="E88" s="5"/>
    </row>
    <row r="89" ht="12.75" spans="1:5">
      <c r="A89" s="5"/>
      <c r="B89" s="5"/>
      <c r="C89" s="5"/>
      <c r="D89" s="5"/>
      <c r="E89" s="5"/>
    </row>
    <row r="90" ht="12.75" spans="1:5">
      <c r="A90" s="5"/>
      <c r="B90" s="5"/>
      <c r="C90" s="5"/>
      <c r="D90" s="5"/>
      <c r="E90" s="5"/>
    </row>
    <row r="91" ht="12.75" spans="1:5">
      <c r="A91" s="5"/>
      <c r="B91" s="5"/>
      <c r="C91" s="5"/>
      <c r="D91" s="5"/>
      <c r="E91" s="5"/>
    </row>
    <row r="92" ht="12.75" spans="1:5">
      <c r="A92" s="5"/>
      <c r="B92" s="5"/>
      <c r="C92" s="5"/>
      <c r="D92" s="5"/>
      <c r="E92" s="5"/>
    </row>
    <row r="93" ht="12.75" spans="1:5">
      <c r="A93" s="5"/>
      <c r="B93" s="5"/>
      <c r="C93" s="5"/>
      <c r="D93" s="5"/>
      <c r="E93" s="5"/>
    </row>
    <row r="94" ht="12.75" spans="1:5">
      <c r="A94" s="5"/>
      <c r="B94" s="5"/>
      <c r="C94" s="5"/>
      <c r="D94" s="5"/>
      <c r="E94" s="5"/>
    </row>
    <row r="95" ht="12.75" spans="1:5">
      <c r="A95" s="5"/>
      <c r="B95" s="5"/>
      <c r="C95" s="5"/>
      <c r="D95" s="5"/>
      <c r="E95" s="5"/>
    </row>
    <row r="96" ht="12.75" spans="1:5">
      <c r="A96" s="5"/>
      <c r="B96" s="5"/>
      <c r="C96" s="5"/>
      <c r="D96" s="5"/>
      <c r="E96" s="5"/>
    </row>
    <row r="97" ht="12.75" spans="1:5">
      <c r="A97" s="5"/>
      <c r="B97" s="5"/>
      <c r="C97" s="5"/>
      <c r="D97" s="5"/>
      <c r="E97" s="5"/>
    </row>
    <row r="98" ht="12.75" spans="1:5">
      <c r="A98" s="5"/>
      <c r="B98" s="5"/>
      <c r="C98" s="5"/>
      <c r="D98" s="5"/>
      <c r="E98" s="5"/>
    </row>
    <row r="99" ht="12.75" spans="1:5">
      <c r="A99" s="5"/>
      <c r="B99" s="5"/>
      <c r="C99" s="5"/>
      <c r="D99" s="5"/>
      <c r="E99" s="5"/>
    </row>
    <row r="100" ht="12.75" spans="1:5">
      <c r="A100" s="5"/>
      <c r="B100" s="5"/>
      <c r="C100" s="5"/>
      <c r="D100" s="5"/>
      <c r="E100" s="5"/>
    </row>
    <row r="101" ht="12.75" spans="1:5">
      <c r="A101" s="5"/>
      <c r="B101" s="5"/>
      <c r="C101" s="5"/>
      <c r="D101" s="5"/>
      <c r="E101" s="5"/>
    </row>
    <row r="102" ht="12.75" spans="1:5">
      <c r="A102" s="5"/>
      <c r="B102" s="5"/>
      <c r="C102" s="5"/>
      <c r="D102" s="5"/>
      <c r="E102" s="5"/>
    </row>
    <row r="103" ht="12.75" spans="1:5">
      <c r="A103" s="5"/>
      <c r="B103" s="5"/>
      <c r="C103" s="5"/>
      <c r="D103" s="5"/>
      <c r="E103" s="5"/>
    </row>
    <row r="104" ht="12.75" spans="1:5">
      <c r="A104" s="5"/>
      <c r="B104" s="5"/>
      <c r="C104" s="5"/>
      <c r="D104" s="5"/>
      <c r="E104" s="5"/>
    </row>
    <row r="105" ht="12.75" spans="1:5">
      <c r="A105" s="5"/>
      <c r="B105" s="5"/>
      <c r="C105" s="5"/>
      <c r="D105" s="5"/>
      <c r="E105" s="5"/>
    </row>
    <row r="106" ht="12.75" spans="1:5">
      <c r="A106" s="5"/>
      <c r="B106" s="5"/>
      <c r="C106" s="5"/>
      <c r="D106" s="5"/>
      <c r="E106" s="5"/>
    </row>
    <row r="107" ht="12.75" spans="1:5">
      <c r="A107" s="5"/>
      <c r="B107" s="5"/>
      <c r="C107" s="5"/>
      <c r="D107" s="5"/>
      <c r="E107" s="5"/>
    </row>
    <row r="108" ht="12.75" spans="1:5">
      <c r="A108" s="5"/>
      <c r="B108" s="5"/>
      <c r="C108" s="5"/>
      <c r="D108" s="5"/>
      <c r="E108" s="5"/>
    </row>
    <row r="109" ht="12.75" spans="1:5">
      <c r="A109" s="5"/>
      <c r="B109" s="5"/>
      <c r="C109" s="5"/>
      <c r="D109" s="5"/>
      <c r="E109" s="5"/>
    </row>
    <row r="110" ht="12.75" spans="1:5">
      <c r="A110" s="5"/>
      <c r="B110" s="5"/>
      <c r="C110" s="5"/>
      <c r="D110" s="5"/>
      <c r="E110" s="5"/>
    </row>
    <row r="111" ht="12.75" spans="1:5">
      <c r="A111" s="5"/>
      <c r="B111" s="5"/>
      <c r="C111" s="5"/>
      <c r="D111" s="5"/>
      <c r="E111" s="5"/>
    </row>
    <row r="112" ht="12.75" spans="1:5">
      <c r="A112" s="5"/>
      <c r="B112" s="5"/>
      <c r="C112" s="5"/>
      <c r="D112" s="5"/>
      <c r="E112" s="5"/>
    </row>
    <row r="113" ht="12.75" spans="1:5">
      <c r="A113" s="5"/>
      <c r="B113" s="5"/>
      <c r="C113" s="5"/>
      <c r="D113" s="5"/>
      <c r="E113" s="5"/>
    </row>
    <row r="114" ht="12.75" spans="1:5">
      <c r="A114" s="5"/>
      <c r="B114" s="5"/>
      <c r="C114" s="5"/>
      <c r="D114" s="5"/>
      <c r="E114" s="5"/>
    </row>
    <row r="115" ht="12.75" spans="1:5">
      <c r="A115" s="5"/>
      <c r="B115" s="5"/>
      <c r="C115" s="5"/>
      <c r="D115" s="5"/>
      <c r="E115" s="5"/>
    </row>
    <row r="116" ht="12.75" spans="1:5">
      <c r="A116" s="5"/>
      <c r="B116" s="5"/>
      <c r="C116" s="5"/>
      <c r="D116" s="5"/>
      <c r="E116" s="5"/>
    </row>
    <row r="117" ht="12.75" spans="1:5">
      <c r="A117" s="5"/>
      <c r="B117" s="5"/>
      <c r="C117" s="5"/>
      <c r="D117" s="5"/>
      <c r="E117" s="5"/>
    </row>
    <row r="118" ht="12.75" spans="1:5">
      <c r="A118" s="5"/>
      <c r="B118" s="5"/>
      <c r="C118" s="5"/>
      <c r="D118" s="5"/>
      <c r="E118" s="5"/>
    </row>
    <row r="119" ht="12.75" spans="1:5">
      <c r="A119" s="5"/>
      <c r="B119" s="5"/>
      <c r="C119" s="5"/>
      <c r="D119" s="5"/>
      <c r="E119" s="5"/>
    </row>
    <row r="120" ht="12.75" spans="1:5">
      <c r="A120" s="5"/>
      <c r="B120" s="5"/>
      <c r="C120" s="5"/>
      <c r="D120" s="5"/>
      <c r="E120" s="5"/>
    </row>
    <row r="121" ht="12.75" spans="1:5">
      <c r="A121" s="5"/>
      <c r="B121" s="5"/>
      <c r="C121" s="5"/>
      <c r="D121" s="5"/>
      <c r="E121" s="5"/>
    </row>
    <row r="122" ht="12.75" spans="1:5">
      <c r="A122" s="5"/>
      <c r="B122" s="5"/>
      <c r="C122" s="5"/>
      <c r="D122" s="5"/>
      <c r="E122" s="5"/>
    </row>
    <row r="123" ht="12.75" spans="1:5">
      <c r="A123" s="5"/>
      <c r="B123" s="5"/>
      <c r="C123" s="5"/>
      <c r="D123" s="5"/>
      <c r="E123" s="5"/>
    </row>
    <row r="124" ht="12.75" spans="1:5">
      <c r="A124" s="5"/>
      <c r="B124" s="5"/>
      <c r="C124" s="5"/>
      <c r="D124" s="5"/>
      <c r="E124" s="5"/>
    </row>
    <row r="125" ht="12.75" spans="1:5">
      <c r="A125" s="5"/>
      <c r="B125" s="5"/>
      <c r="C125" s="5"/>
      <c r="D125" s="5"/>
      <c r="E125" s="5"/>
    </row>
    <row r="126" ht="12.75" spans="1:5">
      <c r="A126" s="5"/>
      <c r="B126" s="5"/>
      <c r="C126" s="5"/>
      <c r="D126" s="5"/>
      <c r="E126" s="5"/>
    </row>
    <row r="127" ht="12.75" spans="1:5">
      <c r="A127" s="5"/>
      <c r="B127" s="5"/>
      <c r="C127" s="5"/>
      <c r="D127" s="5"/>
      <c r="E127" s="5"/>
    </row>
    <row r="128" ht="12.75" spans="1:5">
      <c r="A128" s="5"/>
      <c r="B128" s="5"/>
      <c r="C128" s="5"/>
      <c r="D128" s="5"/>
      <c r="E128" s="5"/>
    </row>
    <row r="129" ht="12.75" spans="1:5">
      <c r="A129" s="5"/>
      <c r="B129" s="5"/>
      <c r="C129" s="5"/>
      <c r="D129" s="5"/>
      <c r="E129" s="5"/>
    </row>
    <row r="130" ht="12.75" spans="1:5">
      <c r="A130" s="5"/>
      <c r="B130" s="5"/>
      <c r="C130" s="5"/>
      <c r="D130" s="5"/>
      <c r="E130" s="5"/>
    </row>
    <row r="131" ht="12.75" spans="1:5">
      <c r="A131" s="5"/>
      <c r="B131" s="5"/>
      <c r="C131" s="5"/>
      <c r="D131" s="5"/>
      <c r="E131" s="5"/>
    </row>
    <row r="132" ht="12.75" spans="1:5">
      <c r="A132" s="5"/>
      <c r="B132" s="5"/>
      <c r="C132" s="5"/>
      <c r="D132" s="5"/>
      <c r="E132" s="5"/>
    </row>
    <row r="133" ht="12.75" spans="1:5">
      <c r="A133" s="5"/>
      <c r="B133" s="5"/>
      <c r="C133" s="5"/>
      <c r="D133" s="5"/>
      <c r="E133" s="5"/>
    </row>
    <row r="134" ht="12.75" spans="1:5">
      <c r="A134" s="5"/>
      <c r="B134" s="5"/>
      <c r="C134" s="5"/>
      <c r="D134" s="5"/>
      <c r="E134" s="5"/>
    </row>
    <row r="135" ht="12.75" spans="1:5">
      <c r="A135" s="5"/>
      <c r="B135" s="5"/>
      <c r="C135" s="5"/>
      <c r="D135" s="5"/>
      <c r="E135" s="5"/>
    </row>
    <row r="136" ht="12.75" spans="1:5">
      <c r="A136" s="5"/>
      <c r="B136" s="5"/>
      <c r="C136" s="5"/>
      <c r="D136" s="5"/>
      <c r="E136" s="5"/>
    </row>
    <row r="137" ht="12.75" spans="1:5">
      <c r="A137" s="5"/>
      <c r="B137" s="5"/>
      <c r="C137" s="5"/>
      <c r="D137" s="5"/>
      <c r="E137" s="5"/>
    </row>
    <row r="138" ht="12.75" spans="1:5">
      <c r="A138" s="5"/>
      <c r="B138" s="5"/>
      <c r="C138" s="5"/>
      <c r="D138" s="5"/>
      <c r="E138" s="5"/>
    </row>
    <row r="139" ht="12.75" spans="1:5">
      <c r="A139" s="5"/>
      <c r="B139" s="5"/>
      <c r="C139" s="5"/>
      <c r="D139" s="5"/>
      <c r="E139" s="5"/>
    </row>
    <row r="140" ht="12.75" spans="1:5">
      <c r="A140" s="5"/>
      <c r="B140" s="5"/>
      <c r="C140" s="5"/>
      <c r="D140" s="5"/>
      <c r="E140" s="5"/>
    </row>
    <row r="141" ht="12.75" spans="1:5">
      <c r="A141" s="5"/>
      <c r="B141" s="5"/>
      <c r="C141" s="5"/>
      <c r="D141" s="5"/>
      <c r="E141" s="5"/>
    </row>
    <row r="142" ht="12.75" spans="1:5">
      <c r="A142" s="5"/>
      <c r="B142" s="5"/>
      <c r="C142" s="5"/>
      <c r="D142" s="5"/>
      <c r="E142" s="5"/>
    </row>
    <row r="143" ht="12.75" spans="1:5">
      <c r="A143" s="5"/>
      <c r="B143" s="5"/>
      <c r="C143" s="5"/>
      <c r="D143" s="5"/>
      <c r="E143" s="5"/>
    </row>
    <row r="144" ht="12.75" spans="1:5">
      <c r="A144" s="5"/>
      <c r="B144" s="5"/>
      <c r="C144" s="5"/>
      <c r="D144" s="5"/>
      <c r="E144" s="5"/>
    </row>
    <row r="145" ht="12.75" spans="1:5">
      <c r="A145" s="5"/>
      <c r="B145" s="5"/>
      <c r="C145" s="5"/>
      <c r="D145" s="5"/>
      <c r="E145" s="5"/>
    </row>
    <row r="146" ht="12.75" spans="1:5">
      <c r="A146" s="5"/>
      <c r="B146" s="5"/>
      <c r="C146" s="5"/>
      <c r="D146" s="5"/>
      <c r="E146" s="5"/>
    </row>
    <row r="147" ht="12.75" spans="1:5">
      <c r="A147" s="5"/>
      <c r="B147" s="5"/>
      <c r="C147" s="5"/>
      <c r="D147" s="5"/>
      <c r="E147" s="5"/>
    </row>
    <row r="148" ht="12.75" spans="1:5">
      <c r="A148" s="5"/>
      <c r="B148" s="5"/>
      <c r="C148" s="5"/>
      <c r="D148" s="5"/>
      <c r="E148" s="5"/>
    </row>
    <row r="149" ht="12.75" spans="1:5">
      <c r="A149" s="5"/>
      <c r="B149" s="5"/>
      <c r="C149" s="5"/>
      <c r="D149" s="5"/>
      <c r="E149" s="5"/>
    </row>
    <row r="150" ht="12.75" spans="1:5">
      <c r="A150" s="5"/>
      <c r="B150" s="5"/>
      <c r="C150" s="5"/>
      <c r="D150" s="5"/>
      <c r="E150" s="5"/>
    </row>
    <row r="151" ht="12.75" spans="1:5">
      <c r="A151" s="5"/>
      <c r="B151" s="5"/>
      <c r="C151" s="5"/>
      <c r="D151" s="5"/>
      <c r="E151" s="5"/>
    </row>
    <row r="152" ht="12.75" spans="1:5">
      <c r="A152" s="5"/>
      <c r="B152" s="5"/>
      <c r="C152" s="5"/>
      <c r="D152" s="5"/>
      <c r="E152" s="5"/>
    </row>
    <row r="153" ht="12.75" spans="1:5">
      <c r="A153" s="5"/>
      <c r="B153" s="5"/>
      <c r="C153" s="5"/>
      <c r="D153" s="5"/>
      <c r="E153" s="5"/>
    </row>
    <row r="154" ht="12.75" spans="1:5">
      <c r="A154" s="5"/>
      <c r="B154" s="5"/>
      <c r="C154" s="5"/>
      <c r="D154" s="5"/>
      <c r="E154" s="5"/>
    </row>
    <row r="155" ht="12.75" spans="1:5">
      <c r="A155" s="5"/>
      <c r="B155" s="5"/>
      <c r="C155" s="5"/>
      <c r="D155" s="5"/>
      <c r="E155" s="5"/>
    </row>
    <row r="156" ht="12.75" spans="1:5">
      <c r="A156" s="5"/>
      <c r="B156" s="5"/>
      <c r="C156" s="5"/>
      <c r="D156" s="5"/>
      <c r="E156" s="5"/>
    </row>
    <row r="157" ht="12.75" spans="1:5">
      <c r="A157" s="5"/>
      <c r="B157" s="5"/>
      <c r="C157" s="5"/>
      <c r="D157" s="5"/>
      <c r="E157" s="5"/>
    </row>
    <row r="158" ht="12.75" spans="1:5">
      <c r="A158" s="5"/>
      <c r="B158" s="5"/>
      <c r="C158" s="5"/>
      <c r="D158" s="5"/>
      <c r="E158" s="5"/>
    </row>
    <row r="159" ht="12.75" spans="1:5">
      <c r="A159" s="5"/>
      <c r="B159" s="5"/>
      <c r="C159" s="5"/>
      <c r="D159" s="5"/>
      <c r="E159" s="5"/>
    </row>
    <row r="160" ht="12.75" spans="1:5">
      <c r="A160" s="5"/>
      <c r="B160" s="5"/>
      <c r="C160" s="5"/>
      <c r="D160" s="5"/>
      <c r="E160" s="5"/>
    </row>
    <row r="161" ht="12.75" spans="1:5">
      <c r="A161" s="5"/>
      <c r="B161" s="5"/>
      <c r="C161" s="5"/>
      <c r="D161" s="5"/>
      <c r="E161" s="5"/>
    </row>
    <row r="162" ht="12.75" spans="1:5">
      <c r="A162" s="5"/>
      <c r="B162" s="5"/>
      <c r="C162" s="5"/>
      <c r="D162" s="5"/>
      <c r="E162" s="5"/>
    </row>
    <row r="163" ht="12.75" spans="1:5">
      <c r="A163" s="5"/>
      <c r="B163" s="5"/>
      <c r="C163" s="5"/>
      <c r="D163" s="5"/>
      <c r="E163" s="5"/>
    </row>
    <row r="164" ht="12.75" spans="1:5">
      <c r="A164" s="5"/>
      <c r="B164" s="5"/>
      <c r="C164" s="5"/>
      <c r="D164" s="5"/>
      <c r="E164" s="5"/>
    </row>
    <row r="165" ht="12.75" spans="1:5">
      <c r="A165" s="5"/>
      <c r="B165" s="5"/>
      <c r="C165" s="5"/>
      <c r="D165" s="5"/>
      <c r="E165" s="5"/>
    </row>
    <row r="166" ht="12.75" spans="1:5">
      <c r="A166" s="5"/>
      <c r="B166" s="5"/>
      <c r="C166" s="5"/>
      <c r="D166" s="5"/>
      <c r="E166" s="5"/>
    </row>
    <row r="167" ht="12.75" spans="1:5">
      <c r="A167" s="5"/>
      <c r="B167" s="5"/>
      <c r="C167" s="5"/>
      <c r="D167" s="5"/>
      <c r="E167" s="5"/>
    </row>
    <row r="168" ht="12.75" spans="1:5">
      <c r="A168" s="5"/>
      <c r="B168" s="5"/>
      <c r="C168" s="5"/>
      <c r="D168" s="5"/>
      <c r="E168" s="5"/>
    </row>
    <row r="169" ht="12.75" spans="1:5">
      <c r="A169" s="5"/>
      <c r="B169" s="5"/>
      <c r="C169" s="5"/>
      <c r="D169" s="5"/>
      <c r="E169" s="5"/>
    </row>
    <row r="170" ht="12.75" spans="1:5">
      <c r="A170" s="5"/>
      <c r="B170" s="5"/>
      <c r="C170" s="5"/>
      <c r="D170" s="5"/>
      <c r="E170" s="5"/>
    </row>
    <row r="171" ht="12.75" spans="1:5">
      <c r="A171" s="5"/>
      <c r="B171" s="5"/>
      <c r="C171" s="5"/>
      <c r="D171" s="5"/>
      <c r="E171" s="5"/>
    </row>
    <row r="172" ht="12.75" spans="1:5">
      <c r="A172" s="5"/>
      <c r="B172" s="5"/>
      <c r="C172" s="5"/>
      <c r="D172" s="5"/>
      <c r="E172" s="5"/>
    </row>
    <row r="173" ht="12.75" spans="1:5">
      <c r="A173" s="5"/>
      <c r="B173" s="5"/>
      <c r="C173" s="5"/>
      <c r="D173" s="5"/>
      <c r="E173" s="5"/>
    </row>
    <row r="174" ht="12.75" spans="1:5">
      <c r="A174" s="5"/>
      <c r="B174" s="5"/>
      <c r="C174" s="5"/>
      <c r="D174" s="5"/>
      <c r="E174" s="5"/>
    </row>
    <row r="175" ht="12.75" spans="1:5">
      <c r="A175" s="5"/>
      <c r="B175" s="5"/>
      <c r="C175" s="5"/>
      <c r="D175" s="5"/>
      <c r="E175" s="5"/>
    </row>
    <row r="176" ht="12.75" spans="1:5">
      <c r="A176" s="5"/>
      <c r="B176" s="5"/>
      <c r="C176" s="5"/>
      <c r="D176" s="5"/>
      <c r="E176" s="5"/>
    </row>
    <row r="177" ht="12.75" spans="1:5">
      <c r="A177" s="5"/>
      <c r="B177" s="5"/>
      <c r="C177" s="5"/>
      <c r="D177" s="5"/>
      <c r="E177" s="5"/>
    </row>
    <row r="178" ht="12.75" spans="1:5">
      <c r="A178" s="5"/>
      <c r="B178" s="5"/>
      <c r="C178" s="5"/>
      <c r="D178" s="5"/>
      <c r="E178" s="5"/>
    </row>
    <row r="179" ht="12.75" spans="1:5">
      <c r="A179" s="5"/>
      <c r="B179" s="5"/>
      <c r="C179" s="5"/>
      <c r="D179" s="5"/>
      <c r="E179" s="5"/>
    </row>
    <row r="180" ht="12.75" spans="1:5">
      <c r="A180" s="5"/>
      <c r="B180" s="5"/>
      <c r="C180" s="5"/>
      <c r="D180" s="5"/>
      <c r="E180" s="5"/>
    </row>
    <row r="181" ht="12.75" spans="1:5">
      <c r="A181" s="5"/>
      <c r="B181" s="5"/>
      <c r="C181" s="5"/>
      <c r="D181" s="5"/>
      <c r="E181" s="5"/>
    </row>
    <row r="182" ht="12.75" spans="1:5">
      <c r="A182" s="5"/>
      <c r="B182" s="5"/>
      <c r="C182" s="5"/>
      <c r="D182" s="5"/>
      <c r="E182" s="5"/>
    </row>
    <row r="183" ht="12.75" spans="1:5">
      <c r="A183" s="5"/>
      <c r="B183" s="5"/>
      <c r="C183" s="5"/>
      <c r="D183" s="5"/>
      <c r="E183" s="5"/>
    </row>
    <row r="184" ht="12.75" spans="1:5">
      <c r="A184" s="5"/>
      <c r="B184" s="5"/>
      <c r="C184" s="5"/>
      <c r="D184" s="5"/>
      <c r="E184" s="5"/>
    </row>
    <row r="185" ht="12.75" spans="1:5">
      <c r="A185" s="5"/>
      <c r="B185" s="5"/>
      <c r="C185" s="5"/>
      <c r="D185" s="5"/>
      <c r="E185" s="5"/>
    </row>
    <row r="186" ht="12.75" spans="1:5">
      <c r="A186" s="5"/>
      <c r="B186" s="5"/>
      <c r="C186" s="5"/>
      <c r="D186" s="5"/>
      <c r="E186" s="5"/>
    </row>
    <row r="187" ht="12.75" spans="1:5">
      <c r="A187" s="5"/>
      <c r="B187" s="5"/>
      <c r="C187" s="5"/>
      <c r="D187" s="5"/>
      <c r="E187" s="5"/>
    </row>
    <row r="188" ht="12.75" spans="1:5">
      <c r="A188" s="5"/>
      <c r="B188" s="5"/>
      <c r="C188" s="5"/>
      <c r="D188" s="5"/>
      <c r="E188" s="5"/>
    </row>
    <row r="189" ht="12.75" spans="1:5">
      <c r="A189" s="5"/>
      <c r="B189" s="5"/>
      <c r="C189" s="5"/>
      <c r="D189" s="5"/>
      <c r="E189" s="5"/>
    </row>
    <row r="190" ht="12.75" spans="1:5">
      <c r="A190" s="5"/>
      <c r="B190" s="5"/>
      <c r="C190" s="5"/>
      <c r="D190" s="5"/>
      <c r="E190" s="5"/>
    </row>
    <row r="191" ht="12.75" spans="1:5">
      <c r="A191" s="5"/>
      <c r="B191" s="5"/>
      <c r="C191" s="5"/>
      <c r="D191" s="5"/>
      <c r="E191" s="5"/>
    </row>
    <row r="192" ht="12.75" spans="1:5">
      <c r="A192" s="5"/>
      <c r="B192" s="5"/>
      <c r="C192" s="5"/>
      <c r="D192" s="5"/>
      <c r="E192" s="5"/>
    </row>
    <row r="193" ht="12.75" spans="1:5">
      <c r="A193" s="5"/>
      <c r="B193" s="5"/>
      <c r="C193" s="5"/>
      <c r="D193" s="5"/>
      <c r="E193" s="5"/>
    </row>
    <row r="194" ht="12.75" spans="1:5">
      <c r="A194" s="5"/>
      <c r="B194" s="5"/>
      <c r="C194" s="5"/>
      <c r="D194" s="5"/>
      <c r="E194" s="5"/>
    </row>
    <row r="195" ht="12.75" spans="1:5">
      <c r="A195" s="5"/>
      <c r="B195" s="5"/>
      <c r="C195" s="5"/>
      <c r="D195" s="5"/>
      <c r="E195" s="5"/>
    </row>
    <row r="196" ht="12.75" spans="1:5">
      <c r="A196" s="5"/>
      <c r="B196" s="5"/>
      <c r="C196" s="5"/>
      <c r="D196" s="5"/>
      <c r="E196" s="5"/>
    </row>
    <row r="197" ht="12.75" spans="1:5">
      <c r="A197" s="5"/>
      <c r="B197" s="5"/>
      <c r="C197" s="5"/>
      <c r="D197" s="5"/>
      <c r="E197" s="5"/>
    </row>
    <row r="198" ht="12.75" spans="1:5">
      <c r="A198" s="5"/>
      <c r="B198" s="5"/>
      <c r="C198" s="5"/>
      <c r="D198" s="5"/>
      <c r="E198" s="5"/>
    </row>
    <row r="199" ht="12.75" spans="1:5">
      <c r="A199" s="5"/>
      <c r="B199" s="5"/>
      <c r="C199" s="5"/>
      <c r="D199" s="5"/>
      <c r="E199" s="5"/>
    </row>
    <row r="200" ht="12.75" spans="1:5">
      <c r="A200" s="5"/>
      <c r="B200" s="5"/>
      <c r="C200" s="5"/>
      <c r="D200" s="5"/>
      <c r="E200" s="5"/>
    </row>
    <row r="201" ht="12.75" spans="1:5">
      <c r="A201" s="5"/>
      <c r="B201" s="5"/>
      <c r="C201" s="5"/>
      <c r="D201" s="5"/>
      <c r="E201" s="5"/>
    </row>
    <row r="202" ht="12.75" spans="1:5">
      <c r="A202" s="5"/>
      <c r="B202" s="5"/>
      <c r="C202" s="5"/>
      <c r="D202" s="5"/>
      <c r="E202" s="5"/>
    </row>
    <row r="203" ht="12.75" spans="1:5">
      <c r="A203" s="5"/>
      <c r="B203" s="5"/>
      <c r="C203" s="5"/>
      <c r="D203" s="5"/>
      <c r="E203" s="5"/>
    </row>
    <row r="204" ht="12.75" spans="1:5">
      <c r="A204" s="5"/>
      <c r="B204" s="5"/>
      <c r="C204" s="5"/>
      <c r="D204" s="5"/>
      <c r="E204" s="5"/>
    </row>
    <row r="205" ht="12.75" spans="1:5">
      <c r="A205" s="5"/>
      <c r="B205" s="5"/>
      <c r="C205" s="5"/>
      <c r="D205" s="5"/>
      <c r="E205" s="5"/>
    </row>
    <row r="206" ht="12.75" spans="1:5">
      <c r="A206" s="5"/>
      <c r="B206" s="5"/>
      <c r="C206" s="5"/>
      <c r="D206" s="5"/>
      <c r="E206" s="5"/>
    </row>
    <row r="207" ht="12.75" spans="1:5">
      <c r="A207" s="5"/>
      <c r="B207" s="5"/>
      <c r="C207" s="5"/>
      <c r="D207" s="5"/>
      <c r="E207" s="5"/>
    </row>
    <row r="208" ht="12.75" spans="1:5">
      <c r="A208" s="5"/>
      <c r="B208" s="5"/>
      <c r="C208" s="5"/>
      <c r="D208" s="5"/>
      <c r="E208" s="5"/>
    </row>
    <row r="209" ht="12.75" spans="1:5">
      <c r="A209" s="5"/>
      <c r="B209" s="5"/>
      <c r="C209" s="5"/>
      <c r="D209" s="5"/>
      <c r="E209" s="5"/>
    </row>
    <row r="210" ht="12.75" spans="1:5">
      <c r="A210" s="5"/>
      <c r="B210" s="5"/>
      <c r="C210" s="5"/>
      <c r="D210" s="5"/>
      <c r="E210" s="5"/>
    </row>
    <row r="211" ht="12.75" spans="1:5">
      <c r="A211" s="5"/>
      <c r="B211" s="5"/>
      <c r="C211" s="5"/>
      <c r="D211" s="5"/>
      <c r="E211" s="5"/>
    </row>
    <row r="212" ht="12.75" spans="1:5">
      <c r="A212" s="5"/>
      <c r="B212" s="5"/>
      <c r="C212" s="5"/>
      <c r="D212" s="5"/>
      <c r="E212" s="5"/>
    </row>
    <row r="213" ht="12.75" spans="1:5">
      <c r="A213" s="5"/>
      <c r="B213" s="5"/>
      <c r="C213" s="5"/>
      <c r="D213" s="5"/>
      <c r="E213" s="5"/>
    </row>
    <row r="214" ht="12.75" spans="1:5">
      <c r="A214" s="5"/>
      <c r="B214" s="5"/>
      <c r="C214" s="5"/>
      <c r="D214" s="5"/>
      <c r="E214" s="5"/>
    </row>
    <row r="215" ht="12.75" spans="1:5">
      <c r="A215" s="5"/>
      <c r="B215" s="5"/>
      <c r="C215" s="5"/>
      <c r="D215" s="5"/>
      <c r="E215" s="5"/>
    </row>
    <row r="216" ht="12.75" spans="1:5">
      <c r="A216" s="5"/>
      <c r="B216" s="5"/>
      <c r="C216" s="5"/>
      <c r="D216" s="5"/>
      <c r="E216" s="5"/>
    </row>
    <row r="217" ht="12.75" spans="1:5">
      <c r="A217" s="5"/>
      <c r="B217" s="5"/>
      <c r="C217" s="5"/>
      <c r="D217" s="5"/>
      <c r="E217" s="5"/>
    </row>
    <row r="218" ht="12.75" spans="1:5">
      <c r="A218" s="5"/>
      <c r="B218" s="5"/>
      <c r="C218" s="5"/>
      <c r="D218" s="5"/>
      <c r="E218" s="5"/>
    </row>
    <row r="219" ht="12.75" spans="1:5">
      <c r="A219" s="5"/>
      <c r="B219" s="5"/>
      <c r="C219" s="5"/>
      <c r="D219" s="5"/>
      <c r="E219" s="5"/>
    </row>
    <row r="220" ht="12.75" spans="1:5">
      <c r="A220" s="5"/>
      <c r="B220" s="5"/>
      <c r="C220" s="5"/>
      <c r="D220" s="5"/>
      <c r="E220" s="5"/>
    </row>
    <row r="221" ht="12.75" spans="1:5">
      <c r="A221" s="5"/>
      <c r="B221" s="5"/>
      <c r="C221" s="5"/>
      <c r="D221" s="5"/>
      <c r="E221" s="5"/>
    </row>
    <row r="222" ht="12.75" spans="1:5">
      <c r="A222" s="5"/>
      <c r="B222" s="5"/>
      <c r="C222" s="5"/>
      <c r="D222" s="5"/>
      <c r="E222" s="5"/>
    </row>
    <row r="223" ht="12.75" spans="1:5">
      <c r="A223" s="5"/>
      <c r="B223" s="5"/>
      <c r="C223" s="5"/>
      <c r="D223" s="5"/>
      <c r="E223" s="5"/>
    </row>
    <row r="224" ht="12.75" spans="1:5">
      <c r="A224" s="5"/>
      <c r="B224" s="5"/>
      <c r="C224" s="5"/>
      <c r="D224" s="5"/>
      <c r="E224" s="5"/>
    </row>
    <row r="225" ht="12.75" spans="1:5">
      <c r="A225" s="5"/>
      <c r="B225" s="5"/>
      <c r="C225" s="5"/>
      <c r="D225" s="5"/>
      <c r="E225" s="5"/>
    </row>
    <row r="226" ht="12.75" spans="1:5">
      <c r="A226" s="5"/>
      <c r="B226" s="5"/>
      <c r="C226" s="5"/>
      <c r="D226" s="5"/>
      <c r="E226" s="5"/>
    </row>
    <row r="227" ht="12.75" spans="1:5">
      <c r="A227" s="5"/>
      <c r="B227" s="5"/>
      <c r="C227" s="5"/>
      <c r="D227" s="5"/>
      <c r="E227" s="5"/>
    </row>
    <row r="228" ht="12.75" spans="1:5">
      <c r="A228" s="5"/>
      <c r="B228" s="5"/>
      <c r="C228" s="5"/>
      <c r="D228" s="5"/>
      <c r="E228" s="5"/>
    </row>
    <row r="229" ht="12.75" spans="1:5">
      <c r="A229" s="5"/>
      <c r="B229" s="5"/>
      <c r="C229" s="5"/>
      <c r="D229" s="5"/>
      <c r="E229" s="5"/>
    </row>
    <row r="230" ht="12.75" spans="1:5">
      <c r="A230" s="5"/>
      <c r="B230" s="5"/>
      <c r="C230" s="5"/>
      <c r="D230" s="5"/>
      <c r="E230" s="5"/>
    </row>
    <row r="231" ht="12.75" spans="1:5">
      <c r="A231" s="5"/>
      <c r="B231" s="5"/>
      <c r="C231" s="5"/>
      <c r="D231" s="5"/>
      <c r="E231" s="5"/>
    </row>
    <row r="232" ht="12.75" spans="1:5">
      <c r="A232" s="5"/>
      <c r="B232" s="5"/>
      <c r="C232" s="5"/>
      <c r="D232" s="5"/>
      <c r="E232" s="5"/>
    </row>
    <row r="233" ht="12.75" spans="1:5">
      <c r="A233" s="5"/>
      <c r="B233" s="5"/>
      <c r="C233" s="5"/>
      <c r="D233" s="5"/>
      <c r="E233" s="5"/>
    </row>
    <row r="234" ht="12.75" spans="1:5">
      <c r="A234" s="5"/>
      <c r="B234" s="5"/>
      <c r="C234" s="5"/>
      <c r="D234" s="5"/>
      <c r="E234" s="5"/>
    </row>
    <row r="235" ht="12.75" spans="1:5">
      <c r="A235" s="5"/>
      <c r="B235" s="5"/>
      <c r="C235" s="5"/>
      <c r="D235" s="5"/>
      <c r="E235" s="5"/>
    </row>
    <row r="236" ht="12.75" spans="1:5">
      <c r="A236" s="5"/>
      <c r="B236" s="5"/>
      <c r="C236" s="5"/>
      <c r="D236" s="5"/>
      <c r="E236" s="5"/>
    </row>
    <row r="237" ht="12.75" spans="1:5">
      <c r="A237" s="5"/>
      <c r="B237" s="5"/>
      <c r="C237" s="5"/>
      <c r="D237" s="5"/>
      <c r="E237" s="5"/>
    </row>
    <row r="238" ht="12.75" spans="1:5">
      <c r="A238" s="5"/>
      <c r="B238" s="5"/>
      <c r="C238" s="5"/>
      <c r="D238" s="5"/>
      <c r="E238" s="5"/>
    </row>
    <row r="239" ht="12.75" spans="1:5">
      <c r="A239" s="5"/>
      <c r="B239" s="5"/>
      <c r="C239" s="5"/>
      <c r="D239" s="5"/>
      <c r="E239" s="5"/>
    </row>
    <row r="240" ht="12.75" spans="1:5">
      <c r="A240" s="5"/>
      <c r="B240" s="5"/>
      <c r="C240" s="5"/>
      <c r="D240" s="5"/>
      <c r="E240" s="5"/>
    </row>
    <row r="241" ht="12.75" spans="1:5">
      <c r="A241" s="5"/>
      <c r="B241" s="5"/>
      <c r="C241" s="5"/>
      <c r="D241" s="5"/>
      <c r="E241" s="5"/>
    </row>
    <row r="242" ht="12.75" spans="1:5">
      <c r="A242" s="5"/>
      <c r="B242" s="5"/>
      <c r="C242" s="5"/>
      <c r="D242" s="5"/>
      <c r="E242" s="5"/>
    </row>
    <row r="243" ht="12.75" spans="1:5">
      <c r="A243" s="5"/>
      <c r="B243" s="5"/>
      <c r="C243" s="5"/>
      <c r="D243" s="5"/>
      <c r="E243" s="5"/>
    </row>
    <row r="244" ht="12.75" spans="1:5">
      <c r="A244" s="5"/>
      <c r="B244" s="5"/>
      <c r="C244" s="5"/>
      <c r="D244" s="5"/>
      <c r="E244" s="5"/>
    </row>
    <row r="245" ht="12.75" spans="1:5">
      <c r="A245" s="5"/>
      <c r="B245" s="5"/>
      <c r="C245" s="5"/>
      <c r="D245" s="5"/>
      <c r="E245" s="5"/>
    </row>
    <row r="246" ht="12.75" spans="1:5">
      <c r="A246" s="5"/>
      <c r="B246" s="5"/>
      <c r="C246" s="5"/>
      <c r="D246" s="5"/>
      <c r="E246" s="5"/>
    </row>
    <row r="247" ht="12.75" spans="1:5">
      <c r="A247" s="5"/>
      <c r="B247" s="5"/>
      <c r="C247" s="5"/>
      <c r="D247" s="5"/>
      <c r="E247" s="5"/>
    </row>
    <row r="248" ht="12.75" spans="1:5">
      <c r="A248" s="5"/>
      <c r="B248" s="5"/>
      <c r="C248" s="5"/>
      <c r="D248" s="5"/>
      <c r="E248" s="5"/>
    </row>
    <row r="249" ht="12.75" spans="1:5">
      <c r="A249" s="5"/>
      <c r="B249" s="5"/>
      <c r="C249" s="5"/>
      <c r="D249" s="5"/>
      <c r="E249" s="5"/>
    </row>
    <row r="250" ht="12.75" spans="1:5">
      <c r="A250" s="5"/>
      <c r="B250" s="5"/>
      <c r="C250" s="5"/>
      <c r="D250" s="5"/>
      <c r="E250" s="5"/>
    </row>
    <row r="251" ht="12.75" spans="1:5">
      <c r="A251" s="5"/>
      <c r="B251" s="5"/>
      <c r="C251" s="5"/>
      <c r="D251" s="5"/>
      <c r="E251" s="5"/>
    </row>
    <row r="252" ht="12.75" spans="1:5">
      <c r="A252" s="5"/>
      <c r="B252" s="5"/>
      <c r="C252" s="5"/>
      <c r="D252" s="5"/>
      <c r="E252" s="5"/>
    </row>
    <row r="253" ht="12.75" spans="1:5">
      <c r="A253" s="5"/>
      <c r="B253" s="5"/>
      <c r="C253" s="5"/>
      <c r="D253" s="5"/>
      <c r="E253" s="5"/>
    </row>
    <row r="254" ht="12.75" spans="1:5">
      <c r="A254" s="5"/>
      <c r="B254" s="5"/>
      <c r="C254" s="5"/>
      <c r="D254" s="5"/>
      <c r="E254" s="5"/>
    </row>
    <row r="255" ht="12.75" spans="1:5">
      <c r="A255" s="5"/>
      <c r="B255" s="5"/>
      <c r="C255" s="5"/>
      <c r="D255" s="5"/>
      <c r="E255" s="5"/>
    </row>
    <row r="256" ht="12.75" spans="1:5">
      <c r="A256" s="5"/>
      <c r="B256" s="5"/>
      <c r="C256" s="5"/>
      <c r="D256" s="5"/>
      <c r="E256" s="5"/>
    </row>
    <row r="257" ht="12.75" spans="1:5">
      <c r="A257" s="5"/>
      <c r="B257" s="5"/>
      <c r="C257" s="5"/>
      <c r="D257" s="5"/>
      <c r="E257" s="5"/>
    </row>
    <row r="258" ht="12.75" spans="1:5">
      <c r="A258" s="5"/>
      <c r="B258" s="5"/>
      <c r="C258" s="5"/>
      <c r="D258" s="5"/>
      <c r="E258" s="5"/>
    </row>
    <row r="259" ht="12.75" spans="1:5">
      <c r="A259" s="5"/>
      <c r="B259" s="5"/>
      <c r="C259" s="5"/>
      <c r="D259" s="5"/>
      <c r="E259" s="5"/>
    </row>
    <row r="260" ht="12.75" spans="1:5">
      <c r="A260" s="5"/>
      <c r="B260" s="5"/>
      <c r="C260" s="5"/>
      <c r="D260" s="5"/>
      <c r="E260" s="5"/>
    </row>
    <row r="261" ht="12.75" spans="1:5">
      <c r="A261" s="5"/>
      <c r="B261" s="5"/>
      <c r="C261" s="5"/>
      <c r="D261" s="5"/>
      <c r="E261" s="5"/>
    </row>
    <row r="262" ht="12.75" spans="1:5">
      <c r="A262" s="5"/>
      <c r="B262" s="5"/>
      <c r="C262" s="5"/>
      <c r="D262" s="5"/>
      <c r="E262" s="5"/>
    </row>
    <row r="263" ht="12.75" spans="1:5">
      <c r="A263" s="5"/>
      <c r="B263" s="5"/>
      <c r="C263" s="5"/>
      <c r="D263" s="5"/>
      <c r="E263" s="5"/>
    </row>
    <row r="264" ht="12.75" spans="1:5">
      <c r="A264" s="5"/>
      <c r="B264" s="5"/>
      <c r="C264" s="5"/>
      <c r="D264" s="5"/>
      <c r="E264" s="5"/>
    </row>
    <row r="265" ht="12.75" spans="1:5">
      <c r="A265" s="5"/>
      <c r="B265" s="5"/>
      <c r="C265" s="5"/>
      <c r="D265" s="5"/>
      <c r="E265" s="5"/>
    </row>
    <row r="266" ht="12.75" spans="1:5">
      <c r="A266" s="5"/>
      <c r="B266" s="5"/>
      <c r="C266" s="5"/>
      <c r="D266" s="5"/>
      <c r="E266" s="5"/>
    </row>
    <row r="267" ht="12.75" spans="1:5">
      <c r="A267" s="5"/>
      <c r="B267" s="5"/>
      <c r="C267" s="5"/>
      <c r="D267" s="5"/>
      <c r="E267" s="5"/>
    </row>
    <row r="268" ht="12.75" spans="1:5">
      <c r="A268" s="5"/>
      <c r="B268" s="5"/>
      <c r="C268" s="5"/>
      <c r="D268" s="5"/>
      <c r="E268" s="5"/>
    </row>
    <row r="269" ht="12.75" spans="1:5">
      <c r="A269" s="5"/>
      <c r="B269" s="5"/>
      <c r="C269" s="5"/>
      <c r="D269" s="5"/>
      <c r="E269" s="5"/>
    </row>
    <row r="270" ht="12.75" spans="1:5">
      <c r="A270" s="5"/>
      <c r="B270" s="5"/>
      <c r="C270" s="5"/>
      <c r="D270" s="5"/>
      <c r="E270" s="5"/>
    </row>
    <row r="271" ht="12.75" spans="1:5">
      <c r="A271" s="5"/>
      <c r="B271" s="5"/>
      <c r="C271" s="5"/>
      <c r="D271" s="5"/>
      <c r="E271" s="5"/>
    </row>
    <row r="272" ht="12.75" spans="1:5">
      <c r="A272" s="5"/>
      <c r="B272" s="5"/>
      <c r="C272" s="5"/>
      <c r="D272" s="5"/>
      <c r="E272" s="5"/>
    </row>
    <row r="273" ht="12.75" spans="1:5">
      <c r="A273" s="5"/>
      <c r="B273" s="5"/>
      <c r="C273" s="5"/>
      <c r="D273" s="5"/>
      <c r="E273" s="5"/>
    </row>
    <row r="274" ht="12.75" spans="1:5">
      <c r="A274" s="5"/>
      <c r="B274" s="5"/>
      <c r="C274" s="5"/>
      <c r="D274" s="5"/>
      <c r="E274" s="5"/>
    </row>
    <row r="275" ht="12.75" spans="1:5">
      <c r="A275" s="5"/>
      <c r="B275" s="5"/>
      <c r="C275" s="5"/>
      <c r="D275" s="5"/>
      <c r="E275" s="5"/>
    </row>
    <row r="276" ht="12.75" spans="1:5">
      <c r="A276" s="5"/>
      <c r="B276" s="5"/>
      <c r="C276" s="5"/>
      <c r="D276" s="5"/>
      <c r="E276" s="5"/>
    </row>
    <row r="277" ht="12.75" spans="1:5">
      <c r="A277" s="5"/>
      <c r="B277" s="5"/>
      <c r="C277" s="5"/>
      <c r="D277" s="5"/>
      <c r="E277" s="5"/>
    </row>
    <row r="278" ht="12.75" spans="1:5">
      <c r="A278" s="5"/>
      <c r="B278" s="5"/>
      <c r="C278" s="5"/>
      <c r="D278" s="5"/>
      <c r="E278" s="5"/>
    </row>
    <row r="279" ht="12.75" spans="1:5">
      <c r="A279" s="5"/>
      <c r="B279" s="5"/>
      <c r="C279" s="5"/>
      <c r="D279" s="5"/>
      <c r="E279" s="5"/>
    </row>
    <row r="280" ht="12.75" spans="1:5">
      <c r="A280" s="5"/>
      <c r="B280" s="5"/>
      <c r="C280" s="5"/>
      <c r="D280" s="5"/>
      <c r="E280" s="5"/>
    </row>
    <row r="281" ht="12.75" spans="1:5">
      <c r="A281" s="5"/>
      <c r="B281" s="5"/>
      <c r="C281" s="5"/>
      <c r="D281" s="5"/>
      <c r="E281" s="5"/>
    </row>
    <row r="282" ht="12.75" spans="1:5">
      <c r="A282" s="5"/>
      <c r="B282" s="5"/>
      <c r="C282" s="5"/>
      <c r="D282" s="5"/>
      <c r="E282" s="5"/>
    </row>
    <row r="283" ht="12.75" spans="1:5">
      <c r="A283" s="5"/>
      <c r="B283" s="5"/>
      <c r="C283" s="5"/>
      <c r="D283" s="5"/>
      <c r="E283" s="5"/>
    </row>
    <row r="284" ht="12.75" spans="1:5">
      <c r="A284" s="5"/>
      <c r="B284" s="5"/>
      <c r="C284" s="5"/>
      <c r="D284" s="5"/>
      <c r="E284" s="5"/>
    </row>
    <row r="285" ht="12.75" spans="1:5">
      <c r="A285" s="5"/>
      <c r="B285" s="5"/>
      <c r="C285" s="5"/>
      <c r="D285" s="5"/>
      <c r="E285" s="5"/>
    </row>
    <row r="286" ht="12.75" spans="1:5">
      <c r="A286" s="5"/>
      <c r="B286" s="5"/>
      <c r="C286" s="5"/>
      <c r="D286" s="5"/>
      <c r="E286" s="5"/>
    </row>
    <row r="287" ht="12.75" spans="1:5">
      <c r="A287" s="5"/>
      <c r="B287" s="5"/>
      <c r="C287" s="5"/>
      <c r="D287" s="5"/>
      <c r="E287" s="5"/>
    </row>
    <row r="288" ht="12.75" spans="1:5">
      <c r="A288" s="5"/>
      <c r="B288" s="5"/>
      <c r="C288" s="5"/>
      <c r="D288" s="5"/>
      <c r="E288" s="5"/>
    </row>
    <row r="289" ht="12.75" spans="1:5">
      <c r="A289" s="5"/>
      <c r="B289" s="5"/>
      <c r="C289" s="5"/>
      <c r="D289" s="5"/>
      <c r="E289" s="5"/>
    </row>
    <row r="290" ht="12.75" spans="1:5">
      <c r="A290" s="5"/>
      <c r="B290" s="5"/>
      <c r="C290" s="5"/>
      <c r="D290" s="5"/>
      <c r="E290" s="5"/>
    </row>
    <row r="291" ht="12.75" spans="1:5">
      <c r="A291" s="5"/>
      <c r="B291" s="5"/>
      <c r="C291" s="5"/>
      <c r="D291" s="5"/>
      <c r="E291" s="5"/>
    </row>
    <row r="292" ht="12.75" spans="1:5">
      <c r="A292" s="5"/>
      <c r="B292" s="5"/>
      <c r="C292" s="5"/>
      <c r="D292" s="5"/>
      <c r="E292" s="5"/>
    </row>
    <row r="293" ht="12.75" spans="1:5">
      <c r="A293" s="5"/>
      <c r="B293" s="5"/>
      <c r="C293" s="5"/>
      <c r="D293" s="5"/>
      <c r="E293" s="5"/>
    </row>
    <row r="294" ht="12.75" spans="1:5">
      <c r="A294" s="5"/>
      <c r="B294" s="5"/>
      <c r="C294" s="5"/>
      <c r="D294" s="5"/>
      <c r="E294" s="5"/>
    </row>
    <row r="295" ht="12.75" spans="1:5">
      <c r="A295" s="5"/>
      <c r="B295" s="5"/>
      <c r="C295" s="5"/>
      <c r="D295" s="5"/>
      <c r="E295" s="5"/>
    </row>
    <row r="296" ht="12.75" spans="1:5">
      <c r="A296" s="5"/>
      <c r="B296" s="5"/>
      <c r="C296" s="5"/>
      <c r="D296" s="5"/>
      <c r="E296" s="5"/>
    </row>
    <row r="297" ht="12.75" spans="1:5">
      <c r="A297" s="5"/>
      <c r="B297" s="5"/>
      <c r="C297" s="5"/>
      <c r="D297" s="5"/>
      <c r="E297" s="5"/>
    </row>
    <row r="298" ht="12.75" spans="1:5">
      <c r="A298" s="5"/>
      <c r="B298" s="5"/>
      <c r="C298" s="5"/>
      <c r="D298" s="5"/>
      <c r="E298" s="5"/>
    </row>
    <row r="299" ht="12.75" spans="1:5">
      <c r="A299" s="5"/>
      <c r="B299" s="5"/>
      <c r="C299" s="5"/>
      <c r="D299" s="5"/>
      <c r="E299" s="5"/>
    </row>
    <row r="300" ht="12.75" spans="1:5">
      <c r="A300" s="5"/>
      <c r="B300" s="5"/>
      <c r="C300" s="5"/>
      <c r="D300" s="5"/>
      <c r="E300" s="5"/>
    </row>
    <row r="301" ht="12.75" spans="1:5">
      <c r="A301" s="5"/>
      <c r="B301" s="5"/>
      <c r="C301" s="5"/>
      <c r="D301" s="5"/>
      <c r="E301" s="5"/>
    </row>
    <row r="302" ht="12.75" spans="1:5">
      <c r="A302" s="5"/>
      <c r="B302" s="5"/>
      <c r="C302" s="5"/>
      <c r="D302" s="5"/>
      <c r="E302" s="5"/>
    </row>
    <row r="303" ht="12.75" spans="1:5">
      <c r="A303" s="5"/>
      <c r="B303" s="5"/>
      <c r="C303" s="5"/>
      <c r="D303" s="5"/>
      <c r="E303" s="5"/>
    </row>
    <row r="304" ht="12.75" spans="1:5">
      <c r="A304" s="5"/>
      <c r="B304" s="5"/>
      <c r="C304" s="5"/>
      <c r="D304" s="5"/>
      <c r="E304" s="5"/>
    </row>
    <row r="305" ht="12.75" spans="1:5">
      <c r="A305" s="5"/>
      <c r="B305" s="5"/>
      <c r="C305" s="5"/>
      <c r="D305" s="5"/>
      <c r="E305" s="5"/>
    </row>
    <row r="306" ht="12.75" spans="1:5">
      <c r="A306" s="5"/>
      <c r="B306" s="5"/>
      <c r="C306" s="5"/>
      <c r="D306" s="5"/>
      <c r="E306" s="5"/>
    </row>
    <row r="307" ht="12.75" spans="1:5">
      <c r="A307" s="5"/>
      <c r="B307" s="5"/>
      <c r="C307" s="5"/>
      <c r="D307" s="5"/>
      <c r="E307" s="5"/>
    </row>
    <row r="308" ht="12.75" spans="1:5">
      <c r="A308" s="5"/>
      <c r="B308" s="5"/>
      <c r="C308" s="5"/>
      <c r="D308" s="5"/>
      <c r="E308" s="5"/>
    </row>
    <row r="309" ht="12.75" spans="1:5">
      <c r="A309" s="5"/>
      <c r="B309" s="5"/>
      <c r="C309" s="5"/>
      <c r="D309" s="5"/>
      <c r="E309" s="5"/>
    </row>
    <row r="310" ht="12.75" spans="1:5">
      <c r="A310" s="5"/>
      <c r="B310" s="5"/>
      <c r="C310" s="5"/>
      <c r="D310" s="5"/>
      <c r="E310" s="5"/>
    </row>
    <row r="311" ht="12.75" spans="1:5">
      <c r="A311" s="5"/>
      <c r="B311" s="5"/>
      <c r="C311" s="5"/>
      <c r="D311" s="5"/>
      <c r="E311" s="5"/>
    </row>
    <row r="312" ht="12.75" spans="1:5">
      <c r="A312" s="5"/>
      <c r="B312" s="5"/>
      <c r="C312" s="5"/>
      <c r="D312" s="5"/>
      <c r="E312" s="5"/>
    </row>
    <row r="313" ht="12.75" spans="1:5">
      <c r="A313" s="5"/>
      <c r="B313" s="5"/>
      <c r="C313" s="5"/>
      <c r="D313" s="5"/>
      <c r="E313" s="5"/>
    </row>
    <row r="314" ht="12.75" spans="1:5">
      <c r="A314" s="5"/>
      <c r="B314" s="5"/>
      <c r="C314" s="5"/>
      <c r="D314" s="5"/>
      <c r="E314" s="5"/>
    </row>
    <row r="315" ht="12.75" spans="1:5">
      <c r="A315" s="5"/>
      <c r="B315" s="5"/>
      <c r="C315" s="5"/>
      <c r="D315" s="5"/>
      <c r="E315" s="5"/>
    </row>
    <row r="316" ht="12.75" spans="1:5">
      <c r="A316" s="5"/>
      <c r="B316" s="5"/>
      <c r="C316" s="5"/>
      <c r="D316" s="5"/>
      <c r="E316" s="5"/>
    </row>
    <row r="317" ht="12.75" spans="1:5">
      <c r="A317" s="5"/>
      <c r="B317" s="5"/>
      <c r="C317" s="5"/>
      <c r="D317" s="5"/>
      <c r="E317" s="5"/>
    </row>
    <row r="318" ht="12.75" spans="1:5">
      <c r="A318" s="5"/>
      <c r="B318" s="5"/>
      <c r="C318" s="5"/>
      <c r="D318" s="5"/>
      <c r="E318" s="5"/>
    </row>
    <row r="319" ht="12.75" spans="1:5">
      <c r="A319" s="5"/>
      <c r="B319" s="5"/>
      <c r="C319" s="5"/>
      <c r="D319" s="5"/>
      <c r="E319" s="5"/>
    </row>
    <row r="320" ht="12.75" spans="1:5">
      <c r="A320" s="5"/>
      <c r="B320" s="5"/>
      <c r="C320" s="5"/>
      <c r="D320" s="5"/>
      <c r="E320" s="5"/>
    </row>
    <row r="321" ht="12.75" spans="1:5">
      <c r="A321" s="5"/>
      <c r="B321" s="5"/>
      <c r="C321" s="5"/>
      <c r="D321" s="5"/>
      <c r="E321" s="5"/>
    </row>
    <row r="322" ht="12.75" spans="1:5">
      <c r="A322" s="5"/>
      <c r="B322" s="5"/>
      <c r="C322" s="5"/>
      <c r="D322" s="5"/>
      <c r="E322" s="5"/>
    </row>
    <row r="323" ht="12.75" spans="1:5">
      <c r="A323" s="5"/>
      <c r="B323" s="5"/>
      <c r="C323" s="5"/>
      <c r="D323" s="5"/>
      <c r="E323" s="5"/>
    </row>
    <row r="324" ht="12.75" spans="1:5">
      <c r="A324" s="5"/>
      <c r="B324" s="5"/>
      <c r="C324" s="5"/>
      <c r="D324" s="5"/>
      <c r="E324" s="5"/>
    </row>
    <row r="325" ht="12.75" spans="1:5">
      <c r="A325" s="5"/>
      <c r="B325" s="5"/>
      <c r="C325" s="5"/>
      <c r="D325" s="5"/>
      <c r="E325" s="5"/>
    </row>
    <row r="326" ht="12.75" spans="1:5">
      <c r="A326" s="5"/>
      <c r="B326" s="5"/>
      <c r="C326" s="5"/>
      <c r="D326" s="5"/>
      <c r="E326" s="5"/>
    </row>
    <row r="327" ht="12.75" spans="1:5">
      <c r="A327" s="5"/>
      <c r="B327" s="5"/>
      <c r="C327" s="5"/>
      <c r="D327" s="5"/>
      <c r="E327" s="5"/>
    </row>
    <row r="328" ht="12.75" spans="1:5">
      <c r="A328" s="5"/>
      <c r="B328" s="5"/>
      <c r="C328" s="5"/>
      <c r="D328" s="5"/>
      <c r="E328" s="5"/>
    </row>
    <row r="329" ht="12.75" spans="1:5">
      <c r="A329" s="5"/>
      <c r="B329" s="5"/>
      <c r="C329" s="5"/>
      <c r="D329" s="5"/>
      <c r="E329" s="5"/>
    </row>
    <row r="330" ht="12.75" spans="1:5">
      <c r="A330" s="5"/>
      <c r="B330" s="5"/>
      <c r="C330" s="5"/>
      <c r="D330" s="5"/>
      <c r="E330" s="5"/>
    </row>
    <row r="331" ht="12.75" spans="1:5">
      <c r="A331" s="5"/>
      <c r="B331" s="5"/>
      <c r="C331" s="5"/>
      <c r="D331" s="5"/>
      <c r="E331" s="5"/>
    </row>
    <row r="332" ht="12.75" spans="1:5">
      <c r="A332" s="5"/>
      <c r="B332" s="5"/>
      <c r="C332" s="5"/>
      <c r="D332" s="5"/>
      <c r="E332" s="5"/>
    </row>
    <row r="333" ht="12.75" spans="1:5">
      <c r="A333" s="5"/>
      <c r="B333" s="5"/>
      <c r="C333" s="5"/>
      <c r="D333" s="5"/>
      <c r="E333" s="5"/>
    </row>
    <row r="334" ht="12.75" spans="1:5">
      <c r="A334" s="5"/>
      <c r="B334" s="5"/>
      <c r="C334" s="5"/>
      <c r="D334" s="5"/>
      <c r="E334" s="5"/>
    </row>
    <row r="335" ht="12.75" spans="1:5">
      <c r="A335" s="5"/>
      <c r="B335" s="5"/>
      <c r="C335" s="5"/>
      <c r="D335" s="5"/>
      <c r="E335" s="5"/>
    </row>
    <row r="336" ht="12.75" spans="1:5">
      <c r="A336" s="5"/>
      <c r="B336" s="5"/>
      <c r="C336" s="5"/>
      <c r="D336" s="5"/>
      <c r="E336" s="5"/>
    </row>
    <row r="337" ht="12.75" spans="1:5">
      <c r="A337" s="5"/>
      <c r="B337" s="5"/>
      <c r="C337" s="5"/>
      <c r="D337" s="5"/>
      <c r="E337" s="5"/>
    </row>
    <row r="338" ht="12.75" spans="1:5">
      <c r="A338" s="5"/>
      <c r="B338" s="5"/>
      <c r="C338" s="5"/>
      <c r="D338" s="5"/>
      <c r="E338" s="5"/>
    </row>
    <row r="339" ht="12.75" spans="1:5">
      <c r="A339" s="5"/>
      <c r="B339" s="5"/>
      <c r="C339" s="5"/>
      <c r="D339" s="5"/>
      <c r="E339" s="5"/>
    </row>
    <row r="340" ht="12.75" spans="1:5">
      <c r="A340" s="5"/>
      <c r="B340" s="5"/>
      <c r="C340" s="5"/>
      <c r="D340" s="5"/>
      <c r="E340" s="5"/>
    </row>
    <row r="341" ht="12.75" spans="1:5">
      <c r="A341" s="5"/>
      <c r="B341" s="5"/>
      <c r="C341" s="5"/>
      <c r="D341" s="5"/>
      <c r="E341" s="5"/>
    </row>
    <row r="342" ht="12.75" spans="1:5">
      <c r="A342" s="5"/>
      <c r="B342" s="5"/>
      <c r="C342" s="5"/>
      <c r="D342" s="5"/>
      <c r="E342" s="5"/>
    </row>
    <row r="343" ht="12.75" spans="1:5">
      <c r="A343" s="5"/>
      <c r="B343" s="5"/>
      <c r="C343" s="5"/>
      <c r="D343" s="5"/>
      <c r="E343" s="5"/>
    </row>
    <row r="344" ht="12.75" spans="1:5">
      <c r="A344" s="5"/>
      <c r="B344" s="5"/>
      <c r="C344" s="5"/>
      <c r="D344" s="5"/>
      <c r="E344" s="5"/>
    </row>
    <row r="345" ht="12.75" spans="1:5">
      <c r="A345" s="5"/>
      <c r="B345" s="5"/>
      <c r="C345" s="5"/>
      <c r="D345" s="5"/>
      <c r="E345" s="5"/>
    </row>
    <row r="346" ht="12.75" spans="1:5">
      <c r="A346" s="5"/>
      <c r="B346" s="5"/>
      <c r="C346" s="5"/>
      <c r="D346" s="5"/>
      <c r="E346" s="5"/>
    </row>
    <row r="347" ht="12.75" spans="1:5">
      <c r="A347" s="5"/>
      <c r="B347" s="5"/>
      <c r="C347" s="5"/>
      <c r="D347" s="5"/>
      <c r="E347" s="5"/>
    </row>
    <row r="348" ht="12.75" spans="1:5">
      <c r="A348" s="5"/>
      <c r="B348" s="5"/>
      <c r="C348" s="5"/>
      <c r="D348" s="5"/>
      <c r="E348" s="5"/>
    </row>
    <row r="349" ht="12.75" spans="1:5">
      <c r="A349" s="5"/>
      <c r="B349" s="5"/>
      <c r="C349" s="5"/>
      <c r="D349" s="5"/>
      <c r="E349" s="5"/>
    </row>
    <row r="350" ht="12.75" spans="1:5">
      <c r="A350" s="5"/>
      <c r="B350" s="5"/>
      <c r="C350" s="5"/>
      <c r="D350" s="5"/>
      <c r="E350" s="5"/>
    </row>
    <row r="351" ht="12.75" spans="1:5">
      <c r="A351" s="5"/>
      <c r="B351" s="5"/>
      <c r="C351" s="5"/>
      <c r="D351" s="5"/>
      <c r="E351" s="5"/>
    </row>
    <row r="352" ht="12.75" spans="1:5">
      <c r="A352" s="5"/>
      <c r="B352" s="5"/>
      <c r="C352" s="5"/>
      <c r="D352" s="5"/>
      <c r="E352" s="5"/>
    </row>
    <row r="353" ht="12.75" spans="1:5">
      <c r="A353" s="5"/>
      <c r="B353" s="5"/>
      <c r="C353" s="5"/>
      <c r="D353" s="5"/>
      <c r="E353" s="5"/>
    </row>
    <row r="354" ht="12.75" spans="1:5">
      <c r="A354" s="5"/>
      <c r="B354" s="5"/>
      <c r="C354" s="5"/>
      <c r="D354" s="5"/>
      <c r="E354" s="5"/>
    </row>
    <row r="355" ht="12.75" spans="1:5">
      <c r="A355" s="5"/>
      <c r="B355" s="5"/>
      <c r="C355" s="5"/>
      <c r="D355" s="5"/>
      <c r="E355" s="5"/>
    </row>
    <row r="356" ht="12.75" spans="1:5">
      <c r="A356" s="5"/>
      <c r="B356" s="5"/>
      <c r="C356" s="5"/>
      <c r="D356" s="5"/>
      <c r="E356" s="5"/>
    </row>
    <row r="357" ht="12.75" spans="1:5">
      <c r="A357" s="5"/>
      <c r="B357" s="5"/>
      <c r="C357" s="5"/>
      <c r="D357" s="5"/>
      <c r="E357" s="5"/>
    </row>
    <row r="358" ht="12.75" spans="1:5">
      <c r="A358" s="5"/>
      <c r="B358" s="5"/>
      <c r="C358" s="5"/>
      <c r="D358" s="5"/>
      <c r="E358" s="5"/>
    </row>
    <row r="359" ht="12.75" spans="1:5">
      <c r="A359" s="5"/>
      <c r="B359" s="5"/>
      <c r="C359" s="5"/>
      <c r="D359" s="5"/>
      <c r="E359" s="5"/>
    </row>
    <row r="360" ht="12.75" spans="1:5">
      <c r="A360" s="5"/>
      <c r="B360" s="5"/>
      <c r="C360" s="5"/>
      <c r="D360" s="5"/>
      <c r="E360" s="5"/>
    </row>
    <row r="361" ht="12.75" spans="1:5">
      <c r="A361" s="5"/>
      <c r="B361" s="5"/>
      <c r="C361" s="5"/>
      <c r="D361" s="5"/>
      <c r="E361" s="5"/>
    </row>
    <row r="362" ht="12.75" spans="1:5">
      <c r="A362" s="5"/>
      <c r="B362" s="5"/>
      <c r="C362" s="5"/>
      <c r="D362" s="5"/>
      <c r="E362" s="5"/>
    </row>
    <row r="363" ht="12.75" spans="1:5">
      <c r="A363" s="5"/>
      <c r="B363" s="5"/>
      <c r="C363" s="5"/>
      <c r="D363" s="5"/>
      <c r="E363" s="5"/>
    </row>
    <row r="364" ht="12.75" spans="1:5">
      <c r="A364" s="5"/>
      <c r="B364" s="5"/>
      <c r="C364" s="5"/>
      <c r="D364" s="5"/>
      <c r="E364" s="5"/>
    </row>
    <row r="365" ht="12.75" spans="1:5">
      <c r="A365" s="5"/>
      <c r="B365" s="5"/>
      <c r="C365" s="5"/>
      <c r="D365" s="5"/>
      <c r="E365" s="5"/>
    </row>
    <row r="366" ht="12.75" spans="1:5">
      <c r="A366" s="5"/>
      <c r="B366" s="5"/>
      <c r="C366" s="5"/>
      <c r="D366" s="5"/>
      <c r="E366" s="5"/>
    </row>
    <row r="367" ht="12.75" spans="1:5">
      <c r="A367" s="5"/>
      <c r="B367" s="5"/>
      <c r="C367" s="5"/>
      <c r="D367" s="5"/>
      <c r="E367" s="5"/>
    </row>
    <row r="368" ht="12.75" spans="1:5">
      <c r="A368" s="5"/>
      <c r="B368" s="5"/>
      <c r="C368" s="5"/>
      <c r="D368" s="5"/>
      <c r="E368" s="5"/>
    </row>
    <row r="369" ht="12.75" spans="1:5">
      <c r="A369" s="5"/>
      <c r="B369" s="5"/>
      <c r="C369" s="5"/>
      <c r="D369" s="5"/>
      <c r="E369" s="5"/>
    </row>
    <row r="370" ht="12.75" spans="1:5">
      <c r="A370" s="5"/>
      <c r="B370" s="5"/>
      <c r="C370" s="5"/>
      <c r="D370" s="5"/>
      <c r="E370" s="5"/>
    </row>
    <row r="371" ht="12.75" spans="1:5">
      <c r="A371" s="5"/>
      <c r="B371" s="5"/>
      <c r="C371" s="5"/>
      <c r="D371" s="5"/>
      <c r="E371" s="5"/>
    </row>
    <row r="372" ht="12.75" spans="1:5">
      <c r="A372" s="5"/>
      <c r="B372" s="5"/>
      <c r="C372" s="5"/>
      <c r="D372" s="5"/>
      <c r="E372" s="5"/>
    </row>
    <row r="373" ht="12.75" spans="1:5">
      <c r="A373" s="5"/>
      <c r="B373" s="5"/>
      <c r="C373" s="5"/>
      <c r="D373" s="5"/>
      <c r="E373" s="5"/>
    </row>
    <row r="374" ht="12.75" spans="1:5">
      <c r="A374" s="5"/>
      <c r="B374" s="5"/>
      <c r="C374" s="5"/>
      <c r="D374" s="5"/>
      <c r="E374" s="5"/>
    </row>
    <row r="375" ht="12.75" spans="1:5">
      <c r="A375" s="5"/>
      <c r="B375" s="5"/>
      <c r="C375" s="5"/>
      <c r="D375" s="5"/>
      <c r="E375" s="5"/>
    </row>
    <row r="376" ht="12.75" spans="1:5">
      <c r="A376" s="5"/>
      <c r="B376" s="5"/>
      <c r="C376" s="5"/>
      <c r="D376" s="5"/>
      <c r="E376" s="5"/>
    </row>
    <row r="377" ht="12.75" spans="1:5">
      <c r="A377" s="5"/>
      <c r="B377" s="5"/>
      <c r="C377" s="5"/>
      <c r="D377" s="5"/>
      <c r="E377" s="5"/>
    </row>
    <row r="378" ht="12.75" spans="1:5">
      <c r="A378" s="5"/>
      <c r="B378" s="5"/>
      <c r="C378" s="5"/>
      <c r="D378" s="5"/>
      <c r="E378" s="5"/>
    </row>
    <row r="379" ht="12.75" spans="1:5">
      <c r="A379" s="5"/>
      <c r="B379" s="5"/>
      <c r="C379" s="5"/>
      <c r="D379" s="5"/>
      <c r="E379" s="5"/>
    </row>
    <row r="380" ht="12.75" spans="1:5">
      <c r="A380" s="5"/>
      <c r="B380" s="5"/>
      <c r="C380" s="5"/>
      <c r="D380" s="5"/>
      <c r="E380" s="5"/>
    </row>
    <row r="381" ht="12.75" spans="1:5">
      <c r="A381" s="5"/>
      <c r="B381" s="5"/>
      <c r="C381" s="5"/>
      <c r="D381" s="5"/>
      <c r="E381" s="5"/>
    </row>
    <row r="382" ht="12.75" spans="1:5">
      <c r="A382" s="5"/>
      <c r="B382" s="5"/>
      <c r="C382" s="5"/>
      <c r="D382" s="5"/>
      <c r="E382" s="5"/>
    </row>
    <row r="383" ht="12.75" spans="1:5">
      <c r="A383" s="5"/>
      <c r="B383" s="5"/>
      <c r="C383" s="5"/>
      <c r="D383" s="5"/>
      <c r="E383" s="5"/>
    </row>
    <row r="384" ht="12.75" spans="1:5">
      <c r="A384" s="5"/>
      <c r="B384" s="5"/>
      <c r="C384" s="5"/>
      <c r="D384" s="5"/>
      <c r="E384" s="5"/>
    </row>
    <row r="385" ht="12.75" spans="1:5">
      <c r="A385" s="5"/>
      <c r="B385" s="5"/>
      <c r="C385" s="5"/>
      <c r="D385" s="5"/>
      <c r="E385" s="5"/>
    </row>
    <row r="386" ht="12.75" spans="1:5">
      <c r="A386" s="5"/>
      <c r="B386" s="5"/>
      <c r="C386" s="5"/>
      <c r="D386" s="5"/>
      <c r="E386" s="5"/>
    </row>
    <row r="387" ht="12.75" spans="1:5">
      <c r="A387" s="5"/>
      <c r="B387" s="5"/>
      <c r="C387" s="5"/>
      <c r="D387" s="5"/>
      <c r="E387" s="5"/>
    </row>
    <row r="388" ht="12.75" spans="1:5">
      <c r="A388" s="5"/>
      <c r="B388" s="5"/>
      <c r="C388" s="5"/>
      <c r="D388" s="5"/>
      <c r="E388" s="5"/>
    </row>
    <row r="389" ht="12.75" spans="1:5">
      <c r="A389" s="5"/>
      <c r="B389" s="5"/>
      <c r="C389" s="5"/>
      <c r="D389" s="5"/>
      <c r="E389" s="5"/>
    </row>
    <row r="390" ht="12.75" spans="1:5">
      <c r="A390" s="5"/>
      <c r="B390" s="5"/>
      <c r="C390" s="5"/>
      <c r="D390" s="5"/>
      <c r="E390" s="5"/>
    </row>
    <row r="391" ht="12.75" spans="1:5">
      <c r="A391" s="5"/>
      <c r="B391" s="5"/>
      <c r="C391" s="5"/>
      <c r="D391" s="5"/>
      <c r="E391" s="5"/>
    </row>
    <row r="392" ht="12.75" spans="1:5">
      <c r="A392" s="5"/>
      <c r="B392" s="5"/>
      <c r="C392" s="5"/>
      <c r="D392" s="5"/>
      <c r="E392" s="5"/>
    </row>
    <row r="393" ht="12.75" spans="1:5">
      <c r="A393" s="5"/>
      <c r="B393" s="5"/>
      <c r="C393" s="5"/>
      <c r="D393" s="5"/>
      <c r="E393" s="5"/>
    </row>
    <row r="394" ht="12.75" spans="1:5">
      <c r="A394" s="5"/>
      <c r="B394" s="5"/>
      <c r="C394" s="5"/>
      <c r="D394" s="5"/>
      <c r="E394" s="5"/>
    </row>
    <row r="395" ht="12.75" spans="1:5">
      <c r="A395" s="5"/>
      <c r="B395" s="5"/>
      <c r="C395" s="5"/>
      <c r="D395" s="5"/>
      <c r="E395" s="5"/>
    </row>
    <row r="396" ht="12.75" spans="1:5">
      <c r="A396" s="5"/>
      <c r="B396" s="5"/>
      <c r="C396" s="5"/>
      <c r="D396" s="5"/>
      <c r="E396" s="5"/>
    </row>
    <row r="397" ht="12.75" spans="1:5">
      <c r="A397" s="5"/>
      <c r="B397" s="5"/>
      <c r="C397" s="5"/>
      <c r="D397" s="5"/>
      <c r="E397" s="5"/>
    </row>
    <row r="398" ht="12.75" spans="1:5">
      <c r="A398" s="5"/>
      <c r="B398" s="5"/>
      <c r="C398" s="5"/>
      <c r="D398" s="5"/>
      <c r="E398" s="5"/>
    </row>
    <row r="399" ht="12.75" spans="1:5">
      <c r="A399" s="5"/>
      <c r="B399" s="5"/>
      <c r="C399" s="5"/>
      <c r="D399" s="5"/>
      <c r="E399" s="5"/>
    </row>
    <row r="400" ht="12.75" spans="1:5">
      <c r="A400" s="5"/>
      <c r="B400" s="5"/>
      <c r="C400" s="5"/>
      <c r="D400" s="5"/>
      <c r="E400" s="5"/>
    </row>
    <row r="401" ht="12.75" spans="1:5">
      <c r="A401" s="5"/>
      <c r="B401" s="5"/>
      <c r="C401" s="5"/>
      <c r="D401" s="5"/>
      <c r="E401" s="5"/>
    </row>
    <row r="402" ht="12.75" spans="1:5">
      <c r="A402" s="5"/>
      <c r="B402" s="5"/>
      <c r="C402" s="5"/>
      <c r="D402" s="5"/>
      <c r="E402" s="5"/>
    </row>
    <row r="403" ht="12.75" spans="1:5">
      <c r="A403" s="5"/>
      <c r="B403" s="5"/>
      <c r="C403" s="5"/>
      <c r="D403" s="5"/>
      <c r="E403" s="5"/>
    </row>
    <row r="404" ht="12.75" spans="1:5">
      <c r="A404" s="5"/>
      <c r="B404" s="5"/>
      <c r="C404" s="5"/>
      <c r="D404" s="5"/>
      <c r="E404" s="5"/>
    </row>
    <row r="405" ht="12.75" spans="1:5">
      <c r="A405" s="5"/>
      <c r="B405" s="5"/>
      <c r="C405" s="5"/>
      <c r="D405" s="5"/>
      <c r="E405" s="5"/>
    </row>
    <row r="406" ht="12.75" spans="1:5">
      <c r="A406" s="5"/>
      <c r="B406" s="5"/>
      <c r="C406" s="5"/>
      <c r="D406" s="5"/>
      <c r="E406" s="5"/>
    </row>
    <row r="407" ht="12.75" spans="1:5">
      <c r="A407" s="5"/>
      <c r="B407" s="5"/>
      <c r="C407" s="5"/>
      <c r="D407" s="5"/>
      <c r="E407" s="5"/>
    </row>
    <row r="408" ht="12.75" spans="1:5">
      <c r="A408" s="5"/>
      <c r="B408" s="5"/>
      <c r="C408" s="5"/>
      <c r="D408" s="5"/>
      <c r="E408" s="5"/>
    </row>
    <row r="409" ht="12.75" spans="1:5">
      <c r="A409" s="5"/>
      <c r="B409" s="5"/>
      <c r="C409" s="5"/>
      <c r="D409" s="5"/>
      <c r="E409" s="5"/>
    </row>
    <row r="410" ht="12.75" spans="1:5">
      <c r="A410" s="5"/>
      <c r="B410" s="5"/>
      <c r="C410" s="5"/>
      <c r="D410" s="5"/>
      <c r="E410" s="5"/>
    </row>
    <row r="411" ht="12.75" spans="1:5">
      <c r="A411" s="5"/>
      <c r="B411" s="5"/>
      <c r="C411" s="5"/>
      <c r="D411" s="5"/>
      <c r="E411" s="5"/>
    </row>
    <row r="412" ht="12.75" spans="1:5">
      <c r="A412" s="5"/>
      <c r="B412" s="5"/>
      <c r="C412" s="5"/>
      <c r="D412" s="5"/>
      <c r="E412" s="5"/>
    </row>
    <row r="413" ht="12.75" spans="1:5">
      <c r="A413" s="5"/>
      <c r="B413" s="5"/>
      <c r="C413" s="5"/>
      <c r="D413" s="5"/>
      <c r="E413" s="5"/>
    </row>
    <row r="414" ht="12.75" spans="1:5">
      <c r="A414" s="5"/>
      <c r="B414" s="5"/>
      <c r="C414" s="5"/>
      <c r="D414" s="5"/>
      <c r="E414" s="5"/>
    </row>
    <row r="415" ht="12.75" spans="1:5">
      <c r="A415" s="5"/>
      <c r="B415" s="5"/>
      <c r="C415" s="5"/>
      <c r="D415" s="5"/>
      <c r="E415" s="5"/>
    </row>
    <row r="416" ht="12.75" spans="1:5">
      <c r="A416" s="5"/>
      <c r="B416" s="5"/>
      <c r="C416" s="5"/>
      <c r="D416" s="5"/>
      <c r="E416" s="5"/>
    </row>
    <row r="417" ht="12.75" spans="1:5">
      <c r="A417" s="5"/>
      <c r="B417" s="5"/>
      <c r="C417" s="5"/>
      <c r="D417" s="5"/>
      <c r="E417" s="5"/>
    </row>
    <row r="418" ht="12.75" spans="1:5">
      <c r="A418" s="5"/>
      <c r="B418" s="5"/>
      <c r="C418" s="5"/>
      <c r="D418" s="5"/>
      <c r="E418" s="5"/>
    </row>
    <row r="419" ht="12.75" spans="1:5">
      <c r="A419" s="5"/>
      <c r="B419" s="5"/>
      <c r="C419" s="5"/>
      <c r="D419" s="5"/>
      <c r="E419" s="5"/>
    </row>
    <row r="420" ht="12.75" spans="1:5">
      <c r="A420" s="5"/>
      <c r="B420" s="5"/>
      <c r="C420" s="5"/>
      <c r="D420" s="5"/>
      <c r="E420" s="5"/>
    </row>
    <row r="421" ht="12.75" spans="1:5">
      <c r="A421" s="5"/>
      <c r="B421" s="5"/>
      <c r="C421" s="5"/>
      <c r="D421" s="5"/>
      <c r="E421" s="5"/>
    </row>
    <row r="422" ht="12.75" spans="1:5">
      <c r="A422" s="5"/>
      <c r="B422" s="5"/>
      <c r="C422" s="5"/>
      <c r="D422" s="5"/>
      <c r="E422" s="5"/>
    </row>
    <row r="423" ht="12.75" spans="1:5">
      <c r="A423" s="5"/>
      <c r="B423" s="5"/>
      <c r="C423" s="5"/>
      <c r="D423" s="5"/>
      <c r="E423" s="5"/>
    </row>
    <row r="424" ht="12.75" spans="1:5">
      <c r="A424" s="5"/>
      <c r="B424" s="5"/>
      <c r="C424" s="5"/>
      <c r="D424" s="5"/>
      <c r="E424" s="5"/>
    </row>
    <row r="425" ht="12.75" spans="1:5">
      <c r="A425" s="5"/>
      <c r="B425" s="5"/>
      <c r="C425" s="5"/>
      <c r="D425" s="5"/>
      <c r="E425" s="5"/>
    </row>
    <row r="426" ht="12.75" spans="1:5">
      <c r="A426" s="5"/>
      <c r="B426" s="5"/>
      <c r="C426" s="5"/>
      <c r="D426" s="5"/>
      <c r="E426" s="5"/>
    </row>
    <row r="427" ht="12.75" spans="1:5">
      <c r="A427" s="5"/>
      <c r="B427" s="5"/>
      <c r="C427" s="5"/>
      <c r="D427" s="5"/>
      <c r="E427" s="5"/>
    </row>
    <row r="428" ht="12.75" spans="1:5">
      <c r="A428" s="5"/>
      <c r="B428" s="5"/>
      <c r="C428" s="5"/>
      <c r="D428" s="5"/>
      <c r="E428" s="5"/>
    </row>
    <row r="429" ht="12.75" spans="1:5">
      <c r="A429" s="5"/>
      <c r="B429" s="5"/>
      <c r="C429" s="5"/>
      <c r="D429" s="5"/>
      <c r="E429" s="5"/>
    </row>
    <row r="430" ht="12.75" spans="1:5">
      <c r="A430" s="5"/>
      <c r="B430" s="5"/>
      <c r="C430" s="5"/>
      <c r="D430" s="5"/>
      <c r="E430" s="5"/>
    </row>
    <row r="431" ht="12.75" spans="1:5">
      <c r="A431" s="5"/>
      <c r="B431" s="5"/>
      <c r="C431" s="5"/>
      <c r="D431" s="5"/>
      <c r="E431" s="5"/>
    </row>
    <row r="432" ht="12.75" spans="1:5">
      <c r="A432" s="5"/>
      <c r="B432" s="5"/>
      <c r="C432" s="5"/>
      <c r="D432" s="5"/>
      <c r="E432" s="5"/>
    </row>
    <row r="433" ht="12.75" spans="1:5">
      <c r="A433" s="5"/>
      <c r="B433" s="5"/>
      <c r="C433" s="5"/>
      <c r="D433" s="5"/>
      <c r="E433" s="5"/>
    </row>
    <row r="434" ht="12.75" spans="1:5">
      <c r="A434" s="5"/>
      <c r="B434" s="5"/>
      <c r="C434" s="5"/>
      <c r="D434" s="5"/>
      <c r="E434" s="5"/>
    </row>
    <row r="435" ht="12.75" spans="1:5">
      <c r="A435" s="5"/>
      <c r="B435" s="5"/>
      <c r="C435" s="5"/>
      <c r="D435" s="5"/>
      <c r="E435" s="5"/>
    </row>
    <row r="436" ht="12.75" spans="1:5">
      <c r="A436" s="5"/>
      <c r="B436" s="5"/>
      <c r="C436" s="5"/>
      <c r="D436" s="5"/>
      <c r="E436" s="5"/>
    </row>
    <row r="437" ht="12.75" spans="1:5">
      <c r="A437" s="5"/>
      <c r="B437" s="5"/>
      <c r="C437" s="5"/>
      <c r="D437" s="5"/>
      <c r="E437" s="5"/>
    </row>
    <row r="438" ht="12.75" spans="1:5">
      <c r="A438" s="5"/>
      <c r="B438" s="5"/>
      <c r="C438" s="5"/>
      <c r="D438" s="5"/>
      <c r="E438" s="5"/>
    </row>
    <row r="439" ht="12.75" spans="1:5">
      <c r="A439" s="5"/>
      <c r="B439" s="5"/>
      <c r="C439" s="5"/>
      <c r="D439" s="5"/>
      <c r="E439" s="5"/>
    </row>
    <row r="440" ht="12.75" spans="1:5">
      <c r="A440" s="5"/>
      <c r="B440" s="5"/>
      <c r="C440" s="5"/>
      <c r="D440" s="5"/>
      <c r="E440" s="5"/>
    </row>
    <row r="441" ht="12.75" spans="1:5">
      <c r="A441" s="5"/>
      <c r="B441" s="5"/>
      <c r="C441" s="5"/>
      <c r="D441" s="5"/>
      <c r="E441" s="5"/>
    </row>
    <row r="442" ht="12.75" spans="1:5">
      <c r="A442" s="5"/>
      <c r="B442" s="5"/>
      <c r="C442" s="5"/>
      <c r="D442" s="5"/>
      <c r="E442" s="5"/>
    </row>
    <row r="443" ht="12.75" spans="1:5">
      <c r="A443" s="5"/>
      <c r="B443" s="5"/>
      <c r="C443" s="5"/>
      <c r="D443" s="5"/>
      <c r="E443" s="5"/>
    </row>
    <row r="444" ht="12.75" spans="1:5">
      <c r="A444" s="5"/>
      <c r="B444" s="5"/>
      <c r="C444" s="5"/>
      <c r="D444" s="5"/>
      <c r="E444" s="5"/>
    </row>
    <row r="445" ht="12.75" spans="1:5">
      <c r="A445" s="5"/>
      <c r="B445" s="5"/>
      <c r="C445" s="5"/>
      <c r="D445" s="5"/>
      <c r="E445" s="5"/>
    </row>
    <row r="446" ht="12.75" spans="1:5">
      <c r="A446" s="5"/>
      <c r="B446" s="5"/>
      <c r="C446" s="5"/>
      <c r="D446" s="5"/>
      <c r="E446" s="5"/>
    </row>
    <row r="447" ht="12.75" spans="1:5">
      <c r="A447" s="5"/>
      <c r="B447" s="5"/>
      <c r="C447" s="5"/>
      <c r="D447" s="5"/>
      <c r="E447" s="5"/>
    </row>
    <row r="448" ht="12.75" spans="1:5">
      <c r="A448" s="5"/>
      <c r="B448" s="5"/>
      <c r="C448" s="5"/>
      <c r="D448" s="5"/>
      <c r="E448" s="5"/>
    </row>
    <row r="449" ht="12.75" spans="1:5">
      <c r="A449" s="5"/>
      <c r="B449" s="5"/>
      <c r="C449" s="5"/>
      <c r="D449" s="5"/>
      <c r="E449" s="5"/>
    </row>
    <row r="450" ht="12.75" spans="1:5">
      <c r="A450" s="5"/>
      <c r="B450" s="5"/>
      <c r="C450" s="5"/>
      <c r="D450" s="5"/>
      <c r="E450" s="5"/>
    </row>
    <row r="451" ht="12.75" spans="1:5">
      <c r="A451" s="5"/>
      <c r="B451" s="5"/>
      <c r="C451" s="5"/>
      <c r="D451" s="5"/>
      <c r="E451" s="5"/>
    </row>
    <row r="452" ht="12.75" spans="1:5">
      <c r="A452" s="5"/>
      <c r="B452" s="5"/>
      <c r="C452" s="5"/>
      <c r="D452" s="5"/>
      <c r="E452" s="5"/>
    </row>
    <row r="453" ht="12.75" spans="1:5">
      <c r="A453" s="5"/>
      <c r="B453" s="5"/>
      <c r="C453" s="5"/>
      <c r="D453" s="5"/>
      <c r="E453" s="5"/>
    </row>
    <row r="454" ht="12.75" spans="1:5">
      <c r="A454" s="5"/>
      <c r="B454" s="5"/>
      <c r="C454" s="5"/>
      <c r="D454" s="5"/>
      <c r="E454" s="5"/>
    </row>
    <row r="455" ht="12.75" spans="1:5">
      <c r="A455" s="5"/>
      <c r="B455" s="5"/>
      <c r="C455" s="5"/>
      <c r="D455" s="5"/>
      <c r="E455" s="5"/>
    </row>
    <row r="456" ht="12.75" spans="1:5">
      <c r="A456" s="5"/>
      <c r="B456" s="5"/>
      <c r="C456" s="5"/>
      <c r="D456" s="5"/>
      <c r="E456" s="5"/>
    </row>
    <row r="457" ht="12.75" spans="1:5">
      <c r="A457" s="5"/>
      <c r="B457" s="5"/>
      <c r="C457" s="5"/>
      <c r="D457" s="5"/>
      <c r="E457" s="5"/>
    </row>
    <row r="458" ht="12.75" spans="1:5">
      <c r="A458" s="5"/>
      <c r="B458" s="5"/>
      <c r="C458" s="5"/>
      <c r="D458" s="5"/>
      <c r="E458" s="5"/>
    </row>
    <row r="459" ht="12.75" spans="1:5">
      <c r="A459" s="5"/>
      <c r="B459" s="5"/>
      <c r="C459" s="5"/>
      <c r="D459" s="5"/>
      <c r="E459" s="5"/>
    </row>
    <row r="460" ht="12.75" spans="1:5">
      <c r="A460" s="5"/>
      <c r="B460" s="5"/>
      <c r="C460" s="5"/>
      <c r="D460" s="5"/>
      <c r="E460" s="5"/>
    </row>
    <row r="461" ht="12.75" spans="1:5">
      <c r="A461" s="5"/>
      <c r="B461" s="5"/>
      <c r="C461" s="5"/>
      <c r="D461" s="5"/>
      <c r="E461" s="5"/>
    </row>
    <row r="462" ht="12.75" spans="1:5">
      <c r="A462" s="5"/>
      <c r="B462" s="5"/>
      <c r="C462" s="5"/>
      <c r="D462" s="5"/>
      <c r="E462" s="5"/>
    </row>
    <row r="463" ht="12.75" spans="1:5">
      <c r="A463" s="5"/>
      <c r="B463" s="5"/>
      <c r="C463" s="5"/>
      <c r="D463" s="5"/>
      <c r="E463" s="5"/>
    </row>
    <row r="464" ht="12.75" spans="1:5">
      <c r="A464" s="5"/>
      <c r="B464" s="5"/>
      <c r="C464" s="5"/>
      <c r="D464" s="5"/>
      <c r="E464" s="5"/>
    </row>
    <row r="465" ht="12.75" spans="1:5">
      <c r="A465" s="5"/>
      <c r="B465" s="5"/>
      <c r="C465" s="5"/>
      <c r="D465" s="5"/>
      <c r="E465" s="5"/>
    </row>
    <row r="466" ht="12.75" spans="1:5">
      <c r="A466" s="5"/>
      <c r="B466" s="5"/>
      <c r="C466" s="5"/>
      <c r="D466" s="5"/>
      <c r="E466" s="5"/>
    </row>
    <row r="467" ht="12.75" spans="1:5">
      <c r="A467" s="5"/>
      <c r="B467" s="5"/>
      <c r="C467" s="5"/>
      <c r="D467" s="5"/>
      <c r="E467" s="5"/>
    </row>
    <row r="468" ht="12.75" spans="1:5">
      <c r="A468" s="5"/>
      <c r="B468" s="5"/>
      <c r="C468" s="5"/>
      <c r="D468" s="5"/>
      <c r="E468" s="5"/>
    </row>
    <row r="469" ht="12.75" spans="1:5">
      <c r="A469" s="5"/>
      <c r="B469" s="5"/>
      <c r="C469" s="5"/>
      <c r="D469" s="5"/>
      <c r="E469" s="5"/>
    </row>
    <row r="470" ht="12.75" spans="1:5">
      <c r="A470" s="5"/>
      <c r="B470" s="5"/>
      <c r="C470" s="5"/>
      <c r="D470" s="5"/>
      <c r="E470" s="5"/>
    </row>
    <row r="471" ht="12.75" spans="1:5">
      <c r="A471" s="5"/>
      <c r="B471" s="5"/>
      <c r="C471" s="5"/>
      <c r="D471" s="5"/>
      <c r="E471" s="5"/>
    </row>
    <row r="472" ht="12.75" spans="1:5">
      <c r="A472" s="5"/>
      <c r="B472" s="5"/>
      <c r="C472" s="5"/>
      <c r="D472" s="5"/>
      <c r="E472" s="5"/>
    </row>
    <row r="473" ht="12.75" spans="1:5">
      <c r="A473" s="5"/>
      <c r="B473" s="5"/>
      <c r="C473" s="5"/>
      <c r="D473" s="5"/>
      <c r="E473" s="5"/>
    </row>
    <row r="474" ht="12.75" spans="1:5">
      <c r="A474" s="5"/>
      <c r="B474" s="5"/>
      <c r="C474" s="5"/>
      <c r="D474" s="5"/>
      <c r="E474" s="5"/>
    </row>
    <row r="475" ht="12.75" spans="1:5">
      <c r="A475" s="5"/>
      <c r="B475" s="5"/>
      <c r="C475" s="5"/>
      <c r="D475" s="5"/>
      <c r="E475" s="5"/>
    </row>
    <row r="476" ht="12.75" spans="1:5">
      <c r="A476" s="5"/>
      <c r="B476" s="5"/>
      <c r="C476" s="5"/>
      <c r="D476" s="5"/>
      <c r="E476" s="5"/>
    </row>
    <row r="477" ht="12.75" spans="1:5">
      <c r="A477" s="5"/>
      <c r="B477" s="5"/>
      <c r="C477" s="5"/>
      <c r="D477" s="5"/>
      <c r="E477" s="5"/>
    </row>
    <row r="478" ht="12.75" spans="1:5">
      <c r="A478" s="5"/>
      <c r="B478" s="5"/>
      <c r="C478" s="5"/>
      <c r="D478" s="5"/>
      <c r="E478" s="5"/>
    </row>
    <row r="479" ht="12.75" spans="1:5">
      <c r="A479" s="5"/>
      <c r="B479" s="5"/>
      <c r="C479" s="5"/>
      <c r="D479" s="5"/>
      <c r="E479" s="5"/>
    </row>
    <row r="480" ht="12.75" spans="1:5">
      <c r="A480" s="5"/>
      <c r="B480" s="5"/>
      <c r="C480" s="5"/>
      <c r="D480" s="5"/>
      <c r="E480" s="5"/>
    </row>
    <row r="481" ht="12.75" spans="1:5">
      <c r="A481" s="5"/>
      <c r="B481" s="5"/>
      <c r="C481" s="5"/>
      <c r="D481" s="5"/>
      <c r="E481" s="5"/>
    </row>
    <row r="482" ht="12.75" spans="1:5">
      <c r="A482" s="5"/>
      <c r="B482" s="5"/>
      <c r="C482" s="5"/>
      <c r="D482" s="5"/>
      <c r="E482" s="5"/>
    </row>
    <row r="483" ht="12.75" spans="1:5">
      <c r="A483" s="5"/>
      <c r="B483" s="5"/>
      <c r="C483" s="5"/>
      <c r="D483" s="5"/>
      <c r="E483" s="5"/>
    </row>
    <row r="484" ht="12.75" spans="1:5">
      <c r="A484" s="5"/>
      <c r="B484" s="5"/>
      <c r="C484" s="5"/>
      <c r="D484" s="5"/>
      <c r="E484" s="5"/>
    </row>
    <row r="485" ht="12.75" spans="1:5">
      <c r="A485" s="5"/>
      <c r="B485" s="5"/>
      <c r="C485" s="5"/>
      <c r="D485" s="5"/>
      <c r="E485" s="5"/>
    </row>
    <row r="486" ht="12.75" spans="1:5">
      <c r="A486" s="5"/>
      <c r="B486" s="5"/>
      <c r="C486" s="5"/>
      <c r="D486" s="5"/>
      <c r="E486" s="5"/>
    </row>
    <row r="487" ht="12.75" spans="1:5">
      <c r="A487" s="5"/>
      <c r="B487" s="5"/>
      <c r="C487" s="5"/>
      <c r="D487" s="5"/>
      <c r="E487" s="5"/>
    </row>
    <row r="488" ht="12.75" spans="1:5">
      <c r="A488" s="5"/>
      <c r="B488" s="5"/>
      <c r="C488" s="5"/>
      <c r="D488" s="5"/>
      <c r="E488" s="5"/>
    </row>
    <row r="489" ht="12.75" spans="1:5">
      <c r="A489" s="5"/>
      <c r="B489" s="5"/>
      <c r="C489" s="5"/>
      <c r="D489" s="5"/>
      <c r="E489" s="5"/>
    </row>
    <row r="490" ht="12.75" spans="1:5">
      <c r="A490" s="5"/>
      <c r="B490" s="5"/>
      <c r="C490" s="5"/>
      <c r="D490" s="5"/>
      <c r="E490" s="5"/>
    </row>
    <row r="491" ht="12.75" spans="1:5">
      <c r="A491" s="5"/>
      <c r="B491" s="5"/>
      <c r="C491" s="5"/>
      <c r="D491" s="5"/>
      <c r="E491" s="5"/>
    </row>
    <row r="492" ht="12.75" spans="1:5">
      <c r="A492" s="5"/>
      <c r="B492" s="5"/>
      <c r="C492" s="5"/>
      <c r="D492" s="5"/>
      <c r="E492" s="5"/>
    </row>
    <row r="493" ht="12.75" spans="1:5">
      <c r="A493" s="5"/>
      <c r="B493" s="5"/>
      <c r="C493" s="5"/>
      <c r="D493" s="5"/>
      <c r="E493" s="5"/>
    </row>
    <row r="494" ht="12.75" spans="1:5">
      <c r="A494" s="5"/>
      <c r="B494" s="5"/>
      <c r="C494" s="5"/>
      <c r="D494" s="5"/>
      <c r="E494" s="5"/>
    </row>
    <row r="495" ht="12.75" spans="1:5">
      <c r="A495" s="5"/>
      <c r="B495" s="5"/>
      <c r="C495" s="5"/>
      <c r="D495" s="5"/>
      <c r="E495" s="5"/>
    </row>
    <row r="496" ht="12.75" spans="1:5">
      <c r="A496" s="5"/>
      <c r="B496" s="5"/>
      <c r="C496" s="5"/>
      <c r="D496" s="5"/>
      <c r="E496" s="5"/>
    </row>
    <row r="497" ht="12.75" spans="1:5">
      <c r="A497" s="5"/>
      <c r="B497" s="5"/>
      <c r="C497" s="5"/>
      <c r="D497" s="5"/>
      <c r="E497" s="5"/>
    </row>
    <row r="498" ht="12.75" spans="1:5">
      <c r="A498" s="5"/>
      <c r="B498" s="5"/>
      <c r="C498" s="5"/>
      <c r="D498" s="5"/>
      <c r="E498" s="5"/>
    </row>
    <row r="499" ht="12.75" spans="1:5">
      <c r="A499" s="5"/>
      <c r="B499" s="5"/>
      <c r="C499" s="5"/>
      <c r="D499" s="5"/>
      <c r="E499" s="5"/>
    </row>
    <row r="500" ht="12.75" spans="1:5">
      <c r="A500" s="5"/>
      <c r="B500" s="5"/>
      <c r="C500" s="5"/>
      <c r="D500" s="5"/>
      <c r="E500" s="5"/>
    </row>
    <row r="501" ht="12.75" spans="1:5">
      <c r="A501" s="5"/>
      <c r="B501" s="5"/>
      <c r="C501" s="5"/>
      <c r="D501" s="5"/>
      <c r="E501" s="5"/>
    </row>
    <row r="502" ht="12.75" spans="1:5">
      <c r="A502" s="5"/>
      <c r="B502" s="5"/>
      <c r="C502" s="5"/>
      <c r="D502" s="5"/>
      <c r="E502" s="5"/>
    </row>
    <row r="503" ht="12.75" spans="1:5">
      <c r="A503" s="5"/>
      <c r="B503" s="5"/>
      <c r="C503" s="5"/>
      <c r="D503" s="5"/>
      <c r="E503" s="5"/>
    </row>
    <row r="504" ht="12.75" spans="1:5">
      <c r="A504" s="5"/>
      <c r="B504" s="5"/>
      <c r="C504" s="5"/>
      <c r="D504" s="5"/>
      <c r="E504" s="5"/>
    </row>
    <row r="505" ht="12.75" spans="1:5">
      <c r="A505" s="5"/>
      <c r="B505" s="5"/>
      <c r="C505" s="5"/>
      <c r="D505" s="5"/>
      <c r="E505" s="5"/>
    </row>
    <row r="506" ht="12.75" spans="1:5">
      <c r="A506" s="5"/>
      <c r="B506" s="5"/>
      <c r="C506" s="5"/>
      <c r="D506" s="5"/>
      <c r="E506" s="5"/>
    </row>
    <row r="507" ht="12.75" spans="1:5">
      <c r="A507" s="5"/>
      <c r="B507" s="5"/>
      <c r="C507" s="5"/>
      <c r="D507" s="5"/>
      <c r="E507" s="5"/>
    </row>
    <row r="508" ht="12.75" spans="1:5">
      <c r="A508" s="5"/>
      <c r="B508" s="5"/>
      <c r="C508" s="5"/>
      <c r="D508" s="5"/>
      <c r="E508" s="5"/>
    </row>
    <row r="509" ht="12.75" spans="1:5">
      <c r="A509" s="5"/>
      <c r="B509" s="5"/>
      <c r="C509" s="5"/>
      <c r="D509" s="5"/>
      <c r="E509" s="5"/>
    </row>
    <row r="510" ht="12.75" spans="1:5">
      <c r="A510" s="5"/>
      <c r="B510" s="5"/>
      <c r="C510" s="5"/>
      <c r="D510" s="5"/>
      <c r="E510" s="5"/>
    </row>
    <row r="511" ht="12.75" spans="1:5">
      <c r="A511" s="5"/>
      <c r="B511" s="5"/>
      <c r="C511" s="5"/>
      <c r="D511" s="5"/>
      <c r="E511" s="5"/>
    </row>
    <row r="512" ht="12.75" spans="1:5">
      <c r="A512" s="5"/>
      <c r="B512" s="5"/>
      <c r="C512" s="5"/>
      <c r="D512" s="5"/>
      <c r="E512" s="5"/>
    </row>
    <row r="513" ht="12.75" spans="1:5">
      <c r="A513" s="5"/>
      <c r="B513" s="5"/>
      <c r="C513" s="5"/>
      <c r="D513" s="5"/>
      <c r="E513" s="5"/>
    </row>
    <row r="514" ht="12.75" spans="1:5">
      <c r="A514" s="5"/>
      <c r="B514" s="5"/>
      <c r="C514" s="5"/>
      <c r="D514" s="5"/>
      <c r="E514" s="5"/>
    </row>
    <row r="515" ht="12.75" spans="1:5">
      <c r="A515" s="5"/>
      <c r="B515" s="5"/>
      <c r="C515" s="5"/>
      <c r="D515" s="5"/>
      <c r="E515" s="5"/>
    </row>
    <row r="516" ht="12.75" spans="1:5">
      <c r="A516" s="5"/>
      <c r="B516" s="5"/>
      <c r="C516" s="5"/>
      <c r="D516" s="5"/>
      <c r="E516" s="5"/>
    </row>
    <row r="517" ht="12.75" spans="1:5">
      <c r="A517" s="5"/>
      <c r="B517" s="5"/>
      <c r="C517" s="5"/>
      <c r="D517" s="5"/>
      <c r="E517" s="5"/>
    </row>
    <row r="518" ht="12.75" spans="1:5">
      <c r="A518" s="5"/>
      <c r="B518" s="5"/>
      <c r="C518" s="5"/>
      <c r="D518" s="5"/>
      <c r="E518" s="5"/>
    </row>
    <row r="519" ht="12.75" spans="1:5">
      <c r="A519" s="5"/>
      <c r="B519" s="5"/>
      <c r="C519" s="5"/>
      <c r="D519" s="5"/>
      <c r="E519" s="5"/>
    </row>
    <row r="520" ht="12.75" spans="1:5">
      <c r="A520" s="5"/>
      <c r="B520" s="5"/>
      <c r="C520" s="5"/>
      <c r="D520" s="5"/>
      <c r="E520" s="5"/>
    </row>
    <row r="521" ht="12.75" spans="1:5">
      <c r="A521" s="5"/>
      <c r="B521" s="5"/>
      <c r="C521" s="5"/>
      <c r="D521" s="5"/>
      <c r="E521" s="5"/>
    </row>
    <row r="522" ht="12.75" spans="1:5">
      <c r="A522" s="5"/>
      <c r="B522" s="5"/>
      <c r="C522" s="5"/>
      <c r="D522" s="5"/>
      <c r="E522" s="5"/>
    </row>
    <row r="523" ht="12.75" spans="1:5">
      <c r="A523" s="5"/>
      <c r="B523" s="5"/>
      <c r="C523" s="5"/>
      <c r="D523" s="5"/>
      <c r="E523" s="5"/>
    </row>
    <row r="524" ht="12.75" spans="1:5">
      <c r="A524" s="5"/>
      <c r="B524" s="5"/>
      <c r="C524" s="5"/>
      <c r="D524" s="5"/>
      <c r="E524" s="5"/>
    </row>
    <row r="525" ht="12.75" spans="1:5">
      <c r="A525" s="5"/>
      <c r="B525" s="5"/>
      <c r="C525" s="5"/>
      <c r="D525" s="5"/>
      <c r="E525" s="5"/>
    </row>
    <row r="526" ht="12.75" spans="1:5">
      <c r="A526" s="5"/>
      <c r="B526" s="5"/>
      <c r="C526" s="5"/>
      <c r="D526" s="5"/>
      <c r="E526" s="5"/>
    </row>
    <row r="527" ht="12.75" spans="1:5">
      <c r="A527" s="5"/>
      <c r="B527" s="5"/>
      <c r="C527" s="5"/>
      <c r="D527" s="5"/>
      <c r="E527" s="5"/>
    </row>
    <row r="528" ht="12.75" spans="1:5">
      <c r="A528" s="5"/>
      <c r="B528" s="5"/>
      <c r="C528" s="5"/>
      <c r="D528" s="5"/>
      <c r="E528" s="5"/>
    </row>
    <row r="529" ht="12.75" spans="1:5">
      <c r="A529" s="5"/>
      <c r="B529" s="5"/>
      <c r="C529" s="5"/>
      <c r="D529" s="5"/>
      <c r="E529" s="5"/>
    </row>
    <row r="530" ht="12.75" spans="1:5">
      <c r="A530" s="5"/>
      <c r="B530" s="5"/>
      <c r="C530" s="5"/>
      <c r="D530" s="5"/>
      <c r="E530" s="5"/>
    </row>
    <row r="531" ht="12.75" spans="1:5">
      <c r="A531" s="5"/>
      <c r="B531" s="5"/>
      <c r="C531" s="5"/>
      <c r="D531" s="5"/>
      <c r="E531" s="5"/>
    </row>
    <row r="532" ht="12.75" spans="1:5">
      <c r="A532" s="5"/>
      <c r="B532" s="5"/>
      <c r="C532" s="5"/>
      <c r="D532" s="5"/>
      <c r="E532" s="5"/>
    </row>
    <row r="533" ht="12.75" spans="1:5">
      <c r="A533" s="5"/>
      <c r="B533" s="5"/>
      <c r="C533" s="5"/>
      <c r="D533" s="5"/>
      <c r="E533" s="5"/>
    </row>
    <row r="534" ht="12.75" spans="1:5">
      <c r="A534" s="5"/>
      <c r="B534" s="5"/>
      <c r="C534" s="5"/>
      <c r="D534" s="5"/>
      <c r="E534" s="5"/>
    </row>
    <row r="535" ht="12.75" spans="1:5">
      <c r="A535" s="5"/>
      <c r="B535" s="5"/>
      <c r="C535" s="5"/>
      <c r="D535" s="5"/>
      <c r="E535" s="5"/>
    </row>
    <row r="536" ht="12.75" spans="1:5">
      <c r="A536" s="5"/>
      <c r="B536" s="5"/>
      <c r="C536" s="5"/>
      <c r="D536" s="5"/>
      <c r="E536" s="5"/>
    </row>
    <row r="537" ht="12.75" spans="1:5">
      <c r="A537" s="5"/>
      <c r="B537" s="5"/>
      <c r="C537" s="5"/>
      <c r="D537" s="5"/>
      <c r="E537" s="5"/>
    </row>
    <row r="538" ht="12.75" spans="1:5">
      <c r="A538" s="5"/>
      <c r="B538" s="5"/>
      <c r="C538" s="5"/>
      <c r="D538" s="5"/>
      <c r="E538" s="5"/>
    </row>
    <row r="539" ht="12.75" spans="1:5">
      <c r="A539" s="5"/>
      <c r="B539" s="5"/>
      <c r="C539" s="5"/>
      <c r="D539" s="5"/>
      <c r="E539" s="5"/>
    </row>
    <row r="540" ht="12.75" spans="1:5">
      <c r="A540" s="5"/>
      <c r="B540" s="5"/>
      <c r="C540" s="5"/>
      <c r="D540" s="5"/>
      <c r="E540" s="5"/>
    </row>
    <row r="541" ht="12.75" spans="1:5">
      <c r="A541" s="5"/>
      <c r="B541" s="5"/>
      <c r="C541" s="5"/>
      <c r="D541" s="5"/>
      <c r="E541" s="5"/>
    </row>
    <row r="542" ht="12.75" spans="1:5">
      <c r="A542" s="5"/>
      <c r="B542" s="5"/>
      <c r="C542" s="5"/>
      <c r="D542" s="5"/>
      <c r="E542" s="5"/>
    </row>
    <row r="543" ht="12.75" spans="1:5">
      <c r="A543" s="5"/>
      <c r="B543" s="5"/>
      <c r="C543" s="5"/>
      <c r="D543" s="5"/>
      <c r="E543" s="5"/>
    </row>
    <row r="544" ht="12.75" spans="1:5">
      <c r="A544" s="5"/>
      <c r="B544" s="5"/>
      <c r="C544" s="5"/>
      <c r="D544" s="5"/>
      <c r="E544" s="5"/>
    </row>
    <row r="545" ht="12.75" spans="1:5">
      <c r="A545" s="5"/>
      <c r="B545" s="5"/>
      <c r="C545" s="5"/>
      <c r="D545" s="5"/>
      <c r="E545" s="5"/>
    </row>
    <row r="546" ht="12.75" spans="1:5">
      <c r="A546" s="5"/>
      <c r="B546" s="5"/>
      <c r="C546" s="5"/>
      <c r="D546" s="5"/>
      <c r="E546" s="5"/>
    </row>
    <row r="547" ht="12.75" spans="1:5">
      <c r="A547" s="5"/>
      <c r="B547" s="5"/>
      <c r="C547" s="5"/>
      <c r="D547" s="5"/>
      <c r="E547" s="5"/>
    </row>
    <row r="548" ht="12.75" spans="1:5">
      <c r="A548" s="5"/>
      <c r="B548" s="5"/>
      <c r="C548" s="5"/>
      <c r="D548" s="5"/>
      <c r="E548" s="5"/>
    </row>
    <row r="549" ht="12.75" spans="1:5">
      <c r="A549" s="5"/>
      <c r="B549" s="5"/>
      <c r="C549" s="5"/>
      <c r="D549" s="5"/>
      <c r="E549" s="5"/>
    </row>
    <row r="550" ht="12.75" spans="1:5">
      <c r="A550" s="5"/>
      <c r="B550" s="5"/>
      <c r="C550" s="5"/>
      <c r="D550" s="5"/>
      <c r="E550" s="5"/>
    </row>
    <row r="551" ht="12.75" spans="1:5">
      <c r="A551" s="5"/>
      <c r="B551" s="5"/>
      <c r="C551" s="5"/>
      <c r="D551" s="5"/>
      <c r="E551" s="5"/>
    </row>
    <row r="552" ht="12.75" spans="1:5">
      <c r="A552" s="5"/>
      <c r="B552" s="5"/>
      <c r="C552" s="5"/>
      <c r="D552" s="5"/>
      <c r="E552" s="5"/>
    </row>
    <row r="553" ht="12.75" spans="1:5">
      <c r="A553" s="5"/>
      <c r="B553" s="5"/>
      <c r="C553" s="5"/>
      <c r="D553" s="5"/>
      <c r="E553" s="5"/>
    </row>
    <row r="554" ht="12.75" spans="1:5">
      <c r="A554" s="5"/>
      <c r="B554" s="5"/>
      <c r="C554" s="5"/>
      <c r="D554" s="5"/>
      <c r="E554" s="5"/>
    </row>
    <row r="555" ht="12.75" spans="1:5">
      <c r="A555" s="5"/>
      <c r="B555" s="5"/>
      <c r="C555" s="5"/>
      <c r="D555" s="5"/>
      <c r="E555" s="5"/>
    </row>
    <row r="556" ht="12.75" spans="1:5">
      <c r="A556" s="5"/>
      <c r="B556" s="5"/>
      <c r="C556" s="5"/>
      <c r="D556" s="5"/>
      <c r="E556" s="5"/>
    </row>
    <row r="557" ht="12.75" spans="1:5">
      <c r="A557" s="5"/>
      <c r="B557" s="5"/>
      <c r="C557" s="5"/>
      <c r="D557" s="5"/>
      <c r="E557" s="5"/>
    </row>
    <row r="558" ht="12.75" spans="1:5">
      <c r="A558" s="5"/>
      <c r="B558" s="5"/>
      <c r="C558" s="5"/>
      <c r="D558" s="5"/>
      <c r="E558" s="5"/>
    </row>
    <row r="559" ht="12.75" spans="1:5">
      <c r="A559" s="5"/>
      <c r="B559" s="5"/>
      <c r="C559" s="5"/>
      <c r="D559" s="5"/>
      <c r="E559" s="5"/>
    </row>
    <row r="560" ht="12.75" spans="1:5">
      <c r="A560" s="5"/>
      <c r="B560" s="5"/>
      <c r="C560" s="5"/>
      <c r="D560" s="5"/>
      <c r="E560" s="5"/>
    </row>
    <row r="561" ht="12.75" spans="1:5">
      <c r="A561" s="5"/>
      <c r="B561" s="5"/>
      <c r="C561" s="5"/>
      <c r="D561" s="5"/>
      <c r="E561" s="5"/>
    </row>
    <row r="562" ht="12.75" spans="1:5">
      <c r="A562" s="5"/>
      <c r="B562" s="5"/>
      <c r="C562" s="5"/>
      <c r="D562" s="5"/>
      <c r="E562" s="5"/>
    </row>
    <row r="563" ht="12.75" spans="1:5">
      <c r="A563" s="5"/>
      <c r="B563" s="5"/>
      <c r="C563" s="5"/>
      <c r="D563" s="5"/>
      <c r="E563" s="5"/>
    </row>
    <row r="564" ht="12.75" spans="1:5">
      <c r="A564" s="5"/>
      <c r="B564" s="5"/>
      <c r="C564" s="5"/>
      <c r="D564" s="5"/>
      <c r="E564" s="5"/>
    </row>
    <row r="565" ht="12.75" spans="1:5">
      <c r="A565" s="5"/>
      <c r="B565" s="5"/>
      <c r="C565" s="5"/>
      <c r="D565" s="5"/>
      <c r="E565" s="5"/>
    </row>
    <row r="566" ht="12.75" spans="1:5">
      <c r="A566" s="5"/>
      <c r="B566" s="5"/>
      <c r="C566" s="5"/>
      <c r="D566" s="5"/>
      <c r="E566" s="5"/>
    </row>
    <row r="567" ht="12.75" spans="1:5">
      <c r="A567" s="5"/>
      <c r="B567" s="5"/>
      <c r="C567" s="5"/>
      <c r="D567" s="5"/>
      <c r="E567" s="5"/>
    </row>
    <row r="568" ht="12.75" spans="1:5">
      <c r="A568" s="5"/>
      <c r="B568" s="5"/>
      <c r="C568" s="5"/>
      <c r="D568" s="5"/>
      <c r="E568" s="5"/>
    </row>
    <row r="569" ht="12.75" spans="1:5">
      <c r="A569" s="5"/>
      <c r="B569" s="5"/>
      <c r="C569" s="5"/>
      <c r="D569" s="5"/>
      <c r="E569" s="5"/>
    </row>
    <row r="570" ht="12.75" spans="1:5">
      <c r="A570" s="5"/>
      <c r="B570" s="5"/>
      <c r="C570" s="5"/>
      <c r="D570" s="5"/>
      <c r="E570" s="5"/>
    </row>
    <row r="571" ht="12.75" spans="1:5">
      <c r="A571" s="5"/>
      <c r="B571" s="5"/>
      <c r="C571" s="5"/>
      <c r="D571" s="5"/>
      <c r="E571" s="5"/>
    </row>
    <row r="572" ht="12.75" spans="1:5">
      <c r="A572" s="5"/>
      <c r="B572" s="5"/>
      <c r="C572" s="5"/>
      <c r="D572" s="5"/>
      <c r="E572" s="5"/>
    </row>
    <row r="573" ht="12.75" spans="1:5">
      <c r="A573" s="5"/>
      <c r="B573" s="5"/>
      <c r="C573" s="5"/>
      <c r="D573" s="5"/>
      <c r="E573" s="5"/>
    </row>
    <row r="574" ht="12.75" spans="1:5">
      <c r="A574" s="5"/>
      <c r="B574" s="5"/>
      <c r="C574" s="5"/>
      <c r="D574" s="5"/>
      <c r="E574" s="5"/>
    </row>
    <row r="575" ht="12.75" spans="1:5">
      <c r="A575" s="5"/>
      <c r="B575" s="5"/>
      <c r="C575" s="5"/>
      <c r="D575" s="5"/>
      <c r="E575" s="5"/>
    </row>
    <row r="576" ht="12.75" spans="1:5">
      <c r="A576" s="5"/>
      <c r="B576" s="5"/>
      <c r="C576" s="5"/>
      <c r="D576" s="5"/>
      <c r="E576" s="5"/>
    </row>
    <row r="577" ht="12.75" spans="1:5">
      <c r="A577" s="5"/>
      <c r="B577" s="5"/>
      <c r="C577" s="5"/>
      <c r="D577" s="5"/>
      <c r="E577" s="5"/>
    </row>
    <row r="578" ht="12.75" spans="1:5">
      <c r="A578" s="5"/>
      <c r="B578" s="5"/>
      <c r="C578" s="5"/>
      <c r="D578" s="5"/>
      <c r="E578" s="5"/>
    </row>
    <row r="579" ht="12.75" spans="1:5">
      <c r="A579" s="5"/>
      <c r="B579" s="5"/>
      <c r="C579" s="5"/>
      <c r="D579" s="5"/>
      <c r="E579" s="5"/>
    </row>
    <row r="580" ht="12.75" spans="1:5">
      <c r="A580" s="5"/>
      <c r="B580" s="5"/>
      <c r="C580" s="5"/>
      <c r="D580" s="5"/>
      <c r="E580" s="5"/>
    </row>
    <row r="581" ht="12.75" spans="1:5">
      <c r="A581" s="5"/>
      <c r="B581" s="5"/>
      <c r="C581" s="5"/>
      <c r="D581" s="5"/>
      <c r="E581" s="5"/>
    </row>
    <row r="582" ht="12.75" spans="1:5">
      <c r="A582" s="5"/>
      <c r="B582" s="5"/>
      <c r="C582" s="5"/>
      <c r="D582" s="5"/>
      <c r="E582" s="5"/>
    </row>
    <row r="583" ht="12.75" spans="1:5">
      <c r="A583" s="5"/>
      <c r="B583" s="5"/>
      <c r="C583" s="5"/>
      <c r="D583" s="5"/>
      <c r="E583" s="5"/>
    </row>
    <row r="584" ht="12.75" spans="1:5">
      <c r="A584" s="5"/>
      <c r="B584" s="5"/>
      <c r="C584" s="5"/>
      <c r="D584" s="5"/>
      <c r="E584" s="5"/>
    </row>
    <row r="585" ht="12.75" spans="1:5">
      <c r="A585" s="5"/>
      <c r="B585" s="5"/>
      <c r="C585" s="5"/>
      <c r="D585" s="5"/>
      <c r="E585" s="5"/>
    </row>
    <row r="586" ht="12.75" spans="1:5">
      <c r="A586" s="5"/>
      <c r="B586" s="5"/>
      <c r="C586" s="5"/>
      <c r="D586" s="5"/>
      <c r="E586" s="5"/>
    </row>
    <row r="587" ht="12.75" spans="1:5">
      <c r="A587" s="5"/>
      <c r="B587" s="5"/>
      <c r="C587" s="5"/>
      <c r="D587" s="5"/>
      <c r="E587" s="5"/>
    </row>
    <row r="588" ht="12.75" spans="1:5">
      <c r="A588" s="5"/>
      <c r="B588" s="5"/>
      <c r="C588" s="5"/>
      <c r="D588" s="5"/>
      <c r="E588" s="5"/>
    </row>
    <row r="589" ht="12.75" spans="1:5">
      <c r="A589" s="5"/>
      <c r="B589" s="5"/>
      <c r="C589" s="5"/>
      <c r="D589" s="5"/>
      <c r="E589" s="5"/>
    </row>
    <row r="590" ht="12.75" spans="1:5">
      <c r="A590" s="5"/>
      <c r="B590" s="5"/>
      <c r="C590" s="5"/>
      <c r="D590" s="5"/>
      <c r="E590" s="5"/>
    </row>
    <row r="591" ht="12.75" spans="1:5">
      <c r="A591" s="5"/>
      <c r="B591" s="5"/>
      <c r="C591" s="5"/>
      <c r="D591" s="5"/>
      <c r="E591" s="5"/>
    </row>
    <row r="592" ht="12.75" spans="1:5">
      <c r="A592" s="5"/>
      <c r="B592" s="5"/>
      <c r="C592" s="5"/>
      <c r="D592" s="5"/>
      <c r="E592" s="5"/>
    </row>
    <row r="593" ht="12.75" spans="1:5">
      <c r="A593" s="5"/>
      <c r="B593" s="5"/>
      <c r="C593" s="5"/>
      <c r="D593" s="5"/>
      <c r="E593" s="5"/>
    </row>
    <row r="594" ht="12.75" spans="1:5">
      <c r="A594" s="5"/>
      <c r="B594" s="5"/>
      <c r="C594" s="5"/>
      <c r="D594" s="5"/>
      <c r="E594" s="5"/>
    </row>
    <row r="595" ht="12.75" spans="1:5">
      <c r="A595" s="5"/>
      <c r="B595" s="5"/>
      <c r="C595" s="5"/>
      <c r="D595" s="5"/>
      <c r="E595" s="5"/>
    </row>
    <row r="596" ht="12.75" spans="1:5">
      <c r="A596" s="5"/>
      <c r="B596" s="5"/>
      <c r="C596" s="5"/>
      <c r="D596" s="5"/>
      <c r="E596" s="5"/>
    </row>
    <row r="597" ht="12.75" spans="1:5">
      <c r="A597" s="5"/>
      <c r="B597" s="5"/>
      <c r="C597" s="5"/>
      <c r="D597" s="5"/>
      <c r="E597" s="5"/>
    </row>
    <row r="598" ht="12.75" spans="1:5">
      <c r="A598" s="5"/>
      <c r="B598" s="5"/>
      <c r="C598" s="5"/>
      <c r="D598" s="5"/>
      <c r="E598" s="5"/>
    </row>
    <row r="599" ht="12.75" spans="1:5">
      <c r="A599" s="5"/>
      <c r="B599" s="5"/>
      <c r="C599" s="5"/>
      <c r="D599" s="5"/>
      <c r="E599" s="5"/>
    </row>
    <row r="600" ht="12.75" spans="1:5">
      <c r="A600" s="5"/>
      <c r="B600" s="5"/>
      <c r="C600" s="5"/>
      <c r="D600" s="5"/>
      <c r="E600" s="5"/>
    </row>
    <row r="601" ht="12.75" spans="1:5">
      <c r="A601" s="5"/>
      <c r="B601" s="5"/>
      <c r="C601" s="5"/>
      <c r="D601" s="5"/>
      <c r="E601" s="5"/>
    </row>
    <row r="602" ht="12.75" spans="1:5">
      <c r="A602" s="5"/>
      <c r="B602" s="5"/>
      <c r="C602" s="5"/>
      <c r="D602" s="5"/>
      <c r="E602" s="5"/>
    </row>
    <row r="603" ht="12.75" spans="1:5">
      <c r="A603" s="5"/>
      <c r="B603" s="5"/>
      <c r="C603" s="5"/>
      <c r="D603" s="5"/>
      <c r="E603" s="5"/>
    </row>
    <row r="604" ht="12.75" spans="1:5">
      <c r="A604" s="5"/>
      <c r="B604" s="5"/>
      <c r="C604" s="5"/>
      <c r="D604" s="5"/>
      <c r="E604" s="5"/>
    </row>
    <row r="605" ht="12.75" spans="1:5">
      <c r="A605" s="5"/>
      <c r="B605" s="5"/>
      <c r="C605" s="5"/>
      <c r="D605" s="5"/>
      <c r="E605" s="5"/>
    </row>
    <row r="606" ht="12.75" spans="1:5">
      <c r="A606" s="5"/>
      <c r="B606" s="5"/>
      <c r="C606" s="5"/>
      <c r="D606" s="5"/>
      <c r="E606" s="5"/>
    </row>
    <row r="607" ht="12.75" spans="1:5">
      <c r="A607" s="5"/>
      <c r="B607" s="5"/>
      <c r="C607" s="5"/>
      <c r="D607" s="5"/>
      <c r="E607" s="5"/>
    </row>
    <row r="608" ht="12.75" spans="1:5">
      <c r="A608" s="5"/>
      <c r="B608" s="5"/>
      <c r="C608" s="5"/>
      <c r="D608" s="5"/>
      <c r="E608" s="5"/>
    </row>
    <row r="609" ht="12.75" spans="1:5">
      <c r="A609" s="5"/>
      <c r="B609" s="5"/>
      <c r="C609" s="5"/>
      <c r="D609" s="5"/>
      <c r="E609" s="5"/>
    </row>
    <row r="610" ht="12.75" spans="1:5">
      <c r="A610" s="5"/>
      <c r="B610" s="5"/>
      <c r="C610" s="5"/>
      <c r="D610" s="5"/>
      <c r="E610" s="5"/>
    </row>
    <row r="611" ht="12.75" spans="1:5">
      <c r="A611" s="5"/>
      <c r="B611" s="5"/>
      <c r="C611" s="5"/>
      <c r="D611" s="5"/>
      <c r="E611" s="5"/>
    </row>
    <row r="612" ht="12.75" spans="1:5">
      <c r="A612" s="5"/>
      <c r="B612" s="5"/>
      <c r="C612" s="5"/>
      <c r="D612" s="5"/>
      <c r="E612" s="5"/>
    </row>
    <row r="613" ht="12.75" spans="1:5">
      <c r="A613" s="5"/>
      <c r="B613" s="5"/>
      <c r="C613" s="5"/>
      <c r="D613" s="5"/>
      <c r="E613" s="5"/>
    </row>
    <row r="614" ht="12.75" spans="1:5">
      <c r="A614" s="5"/>
      <c r="B614" s="5"/>
      <c r="C614" s="5"/>
      <c r="D614" s="5"/>
      <c r="E614" s="5"/>
    </row>
    <row r="615" ht="12.75" spans="1:5">
      <c r="A615" s="5"/>
      <c r="B615" s="5"/>
      <c r="C615" s="5"/>
      <c r="D615" s="5"/>
      <c r="E615" s="5"/>
    </row>
    <row r="616" ht="12.75" spans="1:5">
      <c r="A616" s="5"/>
      <c r="B616" s="5"/>
      <c r="C616" s="5"/>
      <c r="D616" s="5"/>
      <c r="E616" s="5"/>
    </row>
    <row r="617" ht="12.75" spans="1:5">
      <c r="A617" s="5"/>
      <c r="B617" s="5"/>
      <c r="C617" s="5"/>
      <c r="D617" s="5"/>
      <c r="E617" s="5"/>
    </row>
    <row r="618" ht="12.75" spans="1:5">
      <c r="A618" s="5"/>
      <c r="B618" s="5"/>
      <c r="C618" s="5"/>
      <c r="D618" s="5"/>
      <c r="E618" s="5"/>
    </row>
    <row r="619" ht="12.75" spans="1:5">
      <c r="A619" s="5"/>
      <c r="B619" s="5"/>
      <c r="C619" s="5"/>
      <c r="D619" s="5"/>
      <c r="E619" s="5"/>
    </row>
    <row r="620" ht="12.75" spans="1:5">
      <c r="A620" s="5"/>
      <c r="B620" s="5"/>
      <c r="C620" s="5"/>
      <c r="D620" s="5"/>
      <c r="E620" s="5"/>
    </row>
    <row r="621" ht="12.75" spans="1:5">
      <c r="A621" s="5"/>
      <c r="B621" s="5"/>
      <c r="C621" s="5"/>
      <c r="D621" s="5"/>
      <c r="E621" s="5"/>
    </row>
    <row r="622" ht="12.75" spans="1:5">
      <c r="A622" s="5"/>
      <c r="B622" s="5"/>
      <c r="C622" s="5"/>
      <c r="D622" s="5"/>
      <c r="E622" s="5"/>
    </row>
    <row r="623" ht="12.75" spans="1:5">
      <c r="A623" s="5"/>
      <c r="B623" s="5"/>
      <c r="C623" s="5"/>
      <c r="D623" s="5"/>
      <c r="E623" s="5"/>
    </row>
    <row r="624" ht="12.75" spans="1:5">
      <c r="A624" s="5"/>
      <c r="B624" s="5"/>
      <c r="C624" s="5"/>
      <c r="D624" s="5"/>
      <c r="E624" s="5"/>
    </row>
    <row r="625" ht="12.75" spans="1:5">
      <c r="A625" s="5"/>
      <c r="B625" s="5"/>
      <c r="C625" s="5"/>
      <c r="D625" s="5"/>
      <c r="E625" s="5"/>
    </row>
    <row r="626" ht="12.75" spans="1:5">
      <c r="A626" s="5"/>
      <c r="B626" s="5"/>
      <c r="C626" s="5"/>
      <c r="D626" s="5"/>
      <c r="E626" s="5"/>
    </row>
    <row r="627" ht="12.75" spans="1:5">
      <c r="A627" s="5"/>
      <c r="B627" s="5"/>
      <c r="C627" s="5"/>
      <c r="D627" s="5"/>
      <c r="E627" s="5"/>
    </row>
    <row r="628" ht="12.75" spans="1:5">
      <c r="A628" s="5"/>
      <c r="B628" s="5"/>
      <c r="C628" s="5"/>
      <c r="D628" s="5"/>
      <c r="E628" s="5"/>
    </row>
    <row r="629" ht="12.75" spans="1:5">
      <c r="A629" s="5"/>
      <c r="B629" s="5"/>
      <c r="C629" s="5"/>
      <c r="D629" s="5"/>
      <c r="E629" s="5"/>
    </row>
    <row r="630" ht="12.75" spans="1:5">
      <c r="A630" s="5"/>
      <c r="B630" s="5"/>
      <c r="C630" s="5"/>
      <c r="D630" s="5"/>
      <c r="E630" s="5"/>
    </row>
    <row r="631" ht="12.75" spans="1:5">
      <c r="A631" s="5"/>
      <c r="B631" s="5"/>
      <c r="C631" s="5"/>
      <c r="D631" s="5"/>
      <c r="E631" s="5"/>
    </row>
    <row r="632" ht="12.75" spans="1:5">
      <c r="A632" s="5"/>
      <c r="B632" s="5"/>
      <c r="C632" s="5"/>
      <c r="D632" s="5"/>
      <c r="E632" s="5"/>
    </row>
    <row r="633" ht="12.75" spans="1:5">
      <c r="A633" s="5"/>
      <c r="B633" s="5"/>
      <c r="C633" s="5"/>
      <c r="D633" s="5"/>
      <c r="E633" s="5"/>
    </row>
    <row r="634" ht="12.75" spans="1:5">
      <c r="A634" s="5"/>
      <c r="B634" s="5"/>
      <c r="C634" s="5"/>
      <c r="D634" s="5"/>
      <c r="E634" s="5"/>
    </row>
    <row r="635" ht="12.75" spans="1:5">
      <c r="A635" s="5"/>
      <c r="B635" s="5"/>
      <c r="C635" s="5"/>
      <c r="D635" s="5"/>
      <c r="E635" s="5"/>
    </row>
    <row r="636" ht="12.75" spans="1:5">
      <c r="A636" s="5"/>
      <c r="B636" s="5"/>
      <c r="C636" s="5"/>
      <c r="D636" s="5"/>
      <c r="E636" s="5"/>
    </row>
    <row r="637" ht="12.75" spans="1:5">
      <c r="A637" s="5"/>
      <c r="B637" s="5"/>
      <c r="C637" s="5"/>
      <c r="D637" s="5"/>
      <c r="E637" s="5"/>
    </row>
    <row r="638" ht="12.75" spans="1:5">
      <c r="A638" s="5"/>
      <c r="B638" s="5"/>
      <c r="C638" s="5"/>
      <c r="D638" s="5"/>
      <c r="E638" s="5"/>
    </row>
    <row r="639" ht="12.75" spans="1:5">
      <c r="A639" s="5"/>
      <c r="B639" s="5"/>
      <c r="C639" s="5"/>
      <c r="D639" s="5"/>
      <c r="E639" s="5"/>
    </row>
    <row r="640" ht="12.75" spans="1:5">
      <c r="A640" s="5"/>
      <c r="B640" s="5"/>
      <c r="C640" s="5"/>
      <c r="D640" s="5"/>
      <c r="E640" s="5"/>
    </row>
    <row r="641" ht="12.75" spans="1:5">
      <c r="A641" s="5"/>
      <c r="B641" s="5"/>
      <c r="C641" s="5"/>
      <c r="D641" s="5"/>
      <c r="E641" s="5"/>
    </row>
    <row r="642" ht="12.75" spans="1:5">
      <c r="A642" s="5"/>
      <c r="B642" s="5"/>
      <c r="C642" s="5"/>
      <c r="D642" s="5"/>
      <c r="E642" s="5"/>
    </row>
    <row r="643" ht="12.75" spans="1:5">
      <c r="A643" s="5"/>
      <c r="B643" s="5"/>
      <c r="C643" s="5"/>
      <c r="D643" s="5"/>
      <c r="E643" s="5"/>
    </row>
    <row r="644" ht="12.75" spans="1:5">
      <c r="A644" s="5"/>
      <c r="B644" s="5"/>
      <c r="C644" s="5"/>
      <c r="D644" s="5"/>
      <c r="E644" s="5"/>
    </row>
    <row r="645" ht="12.75" spans="1:5">
      <c r="A645" s="5"/>
      <c r="B645" s="5"/>
      <c r="C645" s="5"/>
      <c r="D645" s="5"/>
      <c r="E645" s="5"/>
    </row>
    <row r="646" ht="12.75" spans="1:5">
      <c r="A646" s="5"/>
      <c r="B646" s="5"/>
      <c r="C646" s="5"/>
      <c r="D646" s="5"/>
      <c r="E646" s="5"/>
    </row>
    <row r="647" ht="12.75" spans="1:5">
      <c r="A647" s="5"/>
      <c r="B647" s="5"/>
      <c r="C647" s="5"/>
      <c r="D647" s="5"/>
      <c r="E647" s="5"/>
    </row>
    <row r="648" ht="12.75" spans="1:5">
      <c r="A648" s="5"/>
      <c r="B648" s="5"/>
      <c r="C648" s="5"/>
      <c r="D648" s="5"/>
      <c r="E648" s="5"/>
    </row>
    <row r="649" ht="12.75" spans="1:5">
      <c r="A649" s="5"/>
      <c r="B649" s="5"/>
      <c r="C649" s="5"/>
      <c r="D649" s="5"/>
      <c r="E649" s="5"/>
    </row>
    <row r="650" ht="12.75" spans="1:5">
      <c r="A650" s="5"/>
      <c r="B650" s="5"/>
      <c r="C650" s="5"/>
      <c r="D650" s="5"/>
      <c r="E650" s="5"/>
    </row>
    <row r="651" ht="12.75" spans="1:5">
      <c r="A651" s="5"/>
      <c r="B651" s="5"/>
      <c r="C651" s="5"/>
      <c r="D651" s="5"/>
      <c r="E651" s="5"/>
    </row>
    <row r="652" ht="12.75" spans="1:5">
      <c r="A652" s="5"/>
      <c r="B652" s="5"/>
      <c r="C652" s="5"/>
      <c r="D652" s="5"/>
      <c r="E652" s="5"/>
    </row>
    <row r="653" ht="12.75" spans="1:5">
      <c r="A653" s="5"/>
      <c r="B653" s="5"/>
      <c r="C653" s="5"/>
      <c r="D653" s="5"/>
      <c r="E653" s="5"/>
    </row>
    <row r="654" ht="12.75" spans="1:5">
      <c r="A654" s="5"/>
      <c r="B654" s="5"/>
      <c r="C654" s="5"/>
      <c r="D654" s="5"/>
      <c r="E654" s="5"/>
    </row>
    <row r="655" ht="12.75" spans="1:5">
      <c r="A655" s="5"/>
      <c r="B655" s="5"/>
      <c r="C655" s="5"/>
      <c r="D655" s="5"/>
      <c r="E655" s="5"/>
    </row>
    <row r="656" ht="12.75" spans="1:5">
      <c r="A656" s="5"/>
      <c r="B656" s="5"/>
      <c r="C656" s="5"/>
      <c r="D656" s="5"/>
      <c r="E656" s="5"/>
    </row>
    <row r="657" ht="12.75" spans="1:5">
      <c r="A657" s="5"/>
      <c r="B657" s="5"/>
      <c r="C657" s="5"/>
      <c r="D657" s="5"/>
      <c r="E657" s="5"/>
    </row>
    <row r="658" ht="12.75" spans="1:5">
      <c r="A658" s="5"/>
      <c r="B658" s="5"/>
      <c r="C658" s="5"/>
      <c r="D658" s="5"/>
      <c r="E658" s="5"/>
    </row>
    <row r="659" ht="12.75" spans="1:5">
      <c r="A659" s="5"/>
      <c r="B659" s="5"/>
      <c r="C659" s="5"/>
      <c r="D659" s="5"/>
      <c r="E659" s="5"/>
    </row>
    <row r="660" ht="12.75" spans="1:5">
      <c r="A660" s="5"/>
      <c r="B660" s="5"/>
      <c r="C660" s="5"/>
      <c r="D660" s="5"/>
      <c r="E660" s="5"/>
    </row>
    <row r="661" ht="12.75" spans="1:5">
      <c r="A661" s="5"/>
      <c r="B661" s="5"/>
      <c r="C661" s="5"/>
      <c r="D661" s="5"/>
      <c r="E661" s="5"/>
    </row>
    <row r="662" ht="12.75" spans="1:5">
      <c r="A662" s="5"/>
      <c r="B662" s="5"/>
      <c r="C662" s="5"/>
      <c r="D662" s="5"/>
      <c r="E662" s="5"/>
    </row>
    <row r="663" ht="12.75" spans="1:5">
      <c r="A663" s="5"/>
      <c r="B663" s="5"/>
      <c r="C663" s="5"/>
      <c r="D663" s="5"/>
      <c r="E663" s="5"/>
    </row>
    <row r="664" ht="12.75" spans="1:5">
      <c r="A664" s="5"/>
      <c r="B664" s="5"/>
      <c r="C664" s="5"/>
      <c r="D664" s="5"/>
      <c r="E664" s="5"/>
    </row>
    <row r="665" ht="12.75" spans="1:5">
      <c r="A665" s="5"/>
      <c r="B665" s="5"/>
      <c r="C665" s="5"/>
      <c r="D665" s="5"/>
      <c r="E665" s="5"/>
    </row>
    <row r="666" ht="12.75" spans="1:5">
      <c r="A666" s="5"/>
      <c r="B666" s="5"/>
      <c r="C666" s="5"/>
      <c r="D666" s="5"/>
      <c r="E666" s="5"/>
    </row>
    <row r="667" ht="12.75" spans="1:5">
      <c r="A667" s="5"/>
      <c r="B667" s="5"/>
      <c r="C667" s="5"/>
      <c r="D667" s="5"/>
      <c r="E667" s="5"/>
    </row>
    <row r="668" ht="12.75" spans="1:5">
      <c r="A668" s="5"/>
      <c r="B668" s="5"/>
      <c r="C668" s="5"/>
      <c r="D668" s="5"/>
      <c r="E668" s="5"/>
    </row>
    <row r="669" ht="12.75" spans="1:5">
      <c r="A669" s="5"/>
      <c r="B669" s="5"/>
      <c r="C669" s="5"/>
      <c r="D669" s="5"/>
      <c r="E669" s="5"/>
    </row>
    <row r="670" ht="12.75" spans="1:5">
      <c r="A670" s="5"/>
      <c r="B670" s="5"/>
      <c r="C670" s="5"/>
      <c r="D670" s="5"/>
      <c r="E670" s="5"/>
    </row>
    <row r="671" ht="12.75" spans="1:5">
      <c r="A671" s="5"/>
      <c r="B671" s="5"/>
      <c r="C671" s="5"/>
      <c r="D671" s="5"/>
      <c r="E671" s="5"/>
    </row>
    <row r="672" ht="12.75" spans="1:5">
      <c r="A672" s="5"/>
      <c r="B672" s="5"/>
      <c r="C672" s="5"/>
      <c r="D672" s="5"/>
      <c r="E672" s="5"/>
    </row>
    <row r="673" ht="12.75" spans="1:5">
      <c r="A673" s="5"/>
      <c r="B673" s="5"/>
      <c r="C673" s="5"/>
      <c r="D673" s="5"/>
      <c r="E673" s="5"/>
    </row>
    <row r="674" ht="12.75" spans="1:5">
      <c r="A674" s="5"/>
      <c r="B674" s="5"/>
      <c r="C674" s="5"/>
      <c r="D674" s="5"/>
      <c r="E674" s="5"/>
    </row>
    <row r="675" ht="12.75" spans="1:5">
      <c r="A675" s="5"/>
      <c r="B675" s="5"/>
      <c r="C675" s="5"/>
      <c r="D675" s="5"/>
      <c r="E675" s="5"/>
    </row>
    <row r="676" ht="12.75" spans="1:5">
      <c r="A676" s="5"/>
      <c r="B676" s="5"/>
      <c r="C676" s="5"/>
      <c r="D676" s="5"/>
      <c r="E676" s="5"/>
    </row>
    <row r="677" ht="12.75" spans="1:5">
      <c r="A677" s="5"/>
      <c r="B677" s="5"/>
      <c r="C677" s="5"/>
      <c r="D677" s="5"/>
      <c r="E677" s="5"/>
    </row>
    <row r="678" ht="12.75" spans="1:5">
      <c r="A678" s="5"/>
      <c r="B678" s="5"/>
      <c r="C678" s="5"/>
      <c r="D678" s="5"/>
      <c r="E678" s="5"/>
    </row>
    <row r="679" ht="12.75" spans="1:5">
      <c r="A679" s="5"/>
      <c r="B679" s="5"/>
      <c r="C679" s="5"/>
      <c r="D679" s="5"/>
      <c r="E679" s="5"/>
    </row>
    <row r="680" ht="12.75" spans="1:5">
      <c r="A680" s="5"/>
      <c r="B680" s="5"/>
      <c r="C680" s="5"/>
      <c r="D680" s="5"/>
      <c r="E680" s="5"/>
    </row>
    <row r="681" ht="12.75" spans="1:5">
      <c r="A681" s="5"/>
      <c r="B681" s="5"/>
      <c r="C681" s="5"/>
      <c r="D681" s="5"/>
      <c r="E681" s="5"/>
    </row>
    <row r="682" ht="12.75" spans="1:5">
      <c r="A682" s="5"/>
      <c r="B682" s="5"/>
      <c r="C682" s="5"/>
      <c r="D682" s="5"/>
      <c r="E682" s="5"/>
    </row>
    <row r="683" ht="12.75" spans="1:5">
      <c r="A683" s="5"/>
      <c r="B683" s="5"/>
      <c r="C683" s="5"/>
      <c r="D683" s="5"/>
      <c r="E683" s="5"/>
    </row>
    <row r="684" ht="12.75" spans="1:5">
      <c r="A684" s="5"/>
      <c r="B684" s="5"/>
      <c r="C684" s="5"/>
      <c r="D684" s="5"/>
      <c r="E684" s="5"/>
    </row>
    <row r="685" ht="12.75" spans="1:5">
      <c r="A685" s="5"/>
      <c r="B685" s="5"/>
      <c r="C685" s="5"/>
      <c r="D685" s="5"/>
      <c r="E685" s="5"/>
    </row>
    <row r="686" ht="12.75" spans="1:5">
      <c r="A686" s="5"/>
      <c r="B686" s="5"/>
      <c r="C686" s="5"/>
      <c r="D686" s="5"/>
      <c r="E686" s="5"/>
    </row>
    <row r="687" ht="12.75" spans="1:5">
      <c r="A687" s="5"/>
      <c r="B687" s="5"/>
      <c r="C687" s="5"/>
      <c r="D687" s="5"/>
      <c r="E687" s="5"/>
    </row>
    <row r="688" ht="12.75" spans="1:5">
      <c r="A688" s="5"/>
      <c r="B688" s="5"/>
      <c r="C688" s="5"/>
      <c r="D688" s="5"/>
      <c r="E688" s="5"/>
    </row>
    <row r="689" ht="12.75" spans="1:5">
      <c r="A689" s="5"/>
      <c r="B689" s="5"/>
      <c r="C689" s="5"/>
      <c r="D689" s="5"/>
      <c r="E689" s="5"/>
    </row>
    <row r="690" ht="12.75" spans="1:5">
      <c r="A690" s="5"/>
      <c r="B690" s="5"/>
      <c r="C690" s="5"/>
      <c r="D690" s="5"/>
      <c r="E690" s="5"/>
    </row>
    <row r="691" ht="12.75" spans="1:5">
      <c r="A691" s="5"/>
      <c r="B691" s="5"/>
      <c r="C691" s="5"/>
      <c r="D691" s="5"/>
      <c r="E691" s="5"/>
    </row>
    <row r="692" ht="12.75" spans="1:5">
      <c r="A692" s="5"/>
      <c r="B692" s="5"/>
      <c r="C692" s="5"/>
      <c r="D692" s="5"/>
      <c r="E692" s="5"/>
    </row>
    <row r="693" ht="12.75" spans="1:5">
      <c r="A693" s="5"/>
      <c r="B693" s="5"/>
      <c r="C693" s="5"/>
      <c r="D693" s="5"/>
      <c r="E693" s="5"/>
    </row>
    <row r="694" ht="12.75" spans="1:5">
      <c r="A694" s="5"/>
      <c r="B694" s="5"/>
      <c r="C694" s="5"/>
      <c r="D694" s="5"/>
      <c r="E694" s="5"/>
    </row>
    <row r="695" ht="12.75" spans="1:5">
      <c r="A695" s="5"/>
      <c r="B695" s="5"/>
      <c r="C695" s="5"/>
      <c r="D695" s="5"/>
      <c r="E695" s="5"/>
    </row>
    <row r="696" ht="12.75" spans="1:5">
      <c r="A696" s="5"/>
      <c r="B696" s="5"/>
      <c r="C696" s="5"/>
      <c r="D696" s="5"/>
      <c r="E696" s="5"/>
    </row>
    <row r="697" ht="12.75" spans="1:5">
      <c r="A697" s="5"/>
      <c r="B697" s="5"/>
      <c r="C697" s="5"/>
      <c r="D697" s="5"/>
      <c r="E697" s="5"/>
    </row>
    <row r="698" ht="12.75" spans="1:5">
      <c r="A698" s="5"/>
      <c r="B698" s="5"/>
      <c r="C698" s="5"/>
      <c r="D698" s="5"/>
      <c r="E698" s="5"/>
    </row>
    <row r="699" ht="12.75" spans="1:5">
      <c r="A699" s="5"/>
      <c r="B699" s="5"/>
      <c r="C699" s="5"/>
      <c r="D699" s="5"/>
      <c r="E699" s="5"/>
    </row>
    <row r="700" ht="12.75" spans="1:5">
      <c r="A700" s="5"/>
      <c r="B700" s="5"/>
      <c r="C700" s="5"/>
      <c r="D700" s="5"/>
      <c r="E700" s="5"/>
    </row>
    <row r="701" ht="12.75" spans="1:5">
      <c r="A701" s="5"/>
      <c r="B701" s="5"/>
      <c r="C701" s="5"/>
      <c r="D701" s="5"/>
      <c r="E701" s="5"/>
    </row>
    <row r="702" ht="12.75" spans="1:5">
      <c r="A702" s="5"/>
      <c r="B702" s="5"/>
      <c r="C702" s="5"/>
      <c r="D702" s="5"/>
      <c r="E702" s="5"/>
    </row>
    <row r="703" ht="12.75" spans="1:5">
      <c r="A703" s="5"/>
      <c r="B703" s="5"/>
      <c r="C703" s="5"/>
      <c r="D703" s="5"/>
      <c r="E703" s="5"/>
    </row>
    <row r="704" ht="12.75" spans="1:5">
      <c r="A704" s="5"/>
      <c r="B704" s="5"/>
      <c r="C704" s="5"/>
      <c r="D704" s="5"/>
      <c r="E704" s="5"/>
    </row>
    <row r="705" ht="12.75" spans="1:5">
      <c r="A705" s="5"/>
      <c r="B705" s="5"/>
      <c r="C705" s="5"/>
      <c r="D705" s="5"/>
      <c r="E705" s="5"/>
    </row>
    <row r="706" ht="12.75" spans="1:5">
      <c r="A706" s="5"/>
      <c r="B706" s="5"/>
      <c r="C706" s="5"/>
      <c r="D706" s="5"/>
      <c r="E706" s="5"/>
    </row>
    <row r="707" ht="12.75" spans="1:5">
      <c r="A707" s="5"/>
      <c r="B707" s="5"/>
      <c r="C707" s="5"/>
      <c r="D707" s="5"/>
      <c r="E707" s="5"/>
    </row>
    <row r="708" ht="12.75" spans="1:5">
      <c r="A708" s="5"/>
      <c r="B708" s="5"/>
      <c r="C708" s="5"/>
      <c r="D708" s="5"/>
      <c r="E708" s="5"/>
    </row>
    <row r="709" ht="12.75" spans="1:5">
      <c r="A709" s="5"/>
      <c r="B709" s="5"/>
      <c r="C709" s="5"/>
      <c r="D709" s="5"/>
      <c r="E709" s="5"/>
    </row>
    <row r="710" ht="12.75" spans="1:5">
      <c r="A710" s="5"/>
      <c r="B710" s="5"/>
      <c r="C710" s="5"/>
      <c r="D710" s="5"/>
      <c r="E710" s="5"/>
    </row>
    <row r="711" ht="12.75" spans="1:5">
      <c r="A711" s="5"/>
      <c r="B711" s="5"/>
      <c r="C711" s="5"/>
      <c r="D711" s="5"/>
      <c r="E711" s="5"/>
    </row>
    <row r="712" ht="12.75" spans="1:5">
      <c r="A712" s="5"/>
      <c r="B712" s="5"/>
      <c r="C712" s="5"/>
      <c r="D712" s="5"/>
      <c r="E712" s="5"/>
    </row>
    <row r="713" ht="12.75" spans="1:5">
      <c r="A713" s="5"/>
      <c r="B713" s="5"/>
      <c r="C713" s="5"/>
      <c r="D713" s="5"/>
      <c r="E713" s="5"/>
    </row>
    <row r="714" ht="12.75" spans="1:5">
      <c r="A714" s="5"/>
      <c r="B714" s="5"/>
      <c r="C714" s="5"/>
      <c r="D714" s="5"/>
      <c r="E714" s="5"/>
    </row>
    <row r="715" ht="12.75" spans="1:5">
      <c r="A715" s="5"/>
      <c r="B715" s="5"/>
      <c r="C715" s="5"/>
      <c r="D715" s="5"/>
      <c r="E715" s="5"/>
    </row>
    <row r="716" ht="12.75" spans="1:5">
      <c r="A716" s="5"/>
      <c r="B716" s="5"/>
      <c r="C716" s="5"/>
      <c r="D716" s="5"/>
      <c r="E716" s="5"/>
    </row>
    <row r="717" ht="12.75" spans="1:5">
      <c r="A717" s="5"/>
      <c r="B717" s="5"/>
      <c r="C717" s="5"/>
      <c r="D717" s="5"/>
      <c r="E717" s="5"/>
    </row>
    <row r="718" ht="12.75" spans="1:5">
      <c r="A718" s="5"/>
      <c r="B718" s="5"/>
      <c r="C718" s="5"/>
      <c r="D718" s="5"/>
      <c r="E718" s="5"/>
    </row>
    <row r="719" ht="12.75" spans="1:5">
      <c r="A719" s="5"/>
      <c r="B719" s="5"/>
      <c r="C719" s="5"/>
      <c r="D719" s="5"/>
      <c r="E719" s="5"/>
    </row>
    <row r="720" ht="12.75" spans="1:5">
      <c r="A720" s="5"/>
      <c r="B720" s="5"/>
      <c r="C720" s="5"/>
      <c r="D720" s="5"/>
      <c r="E720" s="5"/>
    </row>
    <row r="721" ht="12.75" spans="1:5">
      <c r="A721" s="5"/>
      <c r="B721" s="5"/>
      <c r="C721" s="5"/>
      <c r="D721" s="5"/>
      <c r="E721" s="5"/>
    </row>
    <row r="722" ht="12.75" spans="1:5">
      <c r="A722" s="5"/>
      <c r="B722" s="5"/>
      <c r="C722" s="5"/>
      <c r="D722" s="5"/>
      <c r="E722" s="5"/>
    </row>
    <row r="723" ht="12.75" spans="1:5">
      <c r="A723" s="5"/>
      <c r="B723" s="5"/>
      <c r="C723" s="5"/>
      <c r="D723" s="5"/>
      <c r="E723" s="5"/>
    </row>
    <row r="724" ht="12.75" spans="1:5">
      <c r="A724" s="5"/>
      <c r="B724" s="5"/>
      <c r="C724" s="5"/>
      <c r="D724" s="5"/>
      <c r="E724" s="5"/>
    </row>
    <row r="725" ht="12.75" spans="1:5">
      <c r="A725" s="5"/>
      <c r="B725" s="5"/>
      <c r="C725" s="5"/>
      <c r="D725" s="5"/>
      <c r="E725" s="5"/>
    </row>
    <row r="726" ht="12.75" spans="1:5">
      <c r="A726" s="5"/>
      <c r="B726" s="5"/>
      <c r="C726" s="5"/>
      <c r="D726" s="5"/>
      <c r="E726" s="5"/>
    </row>
    <row r="727" ht="12.75" spans="1:5">
      <c r="A727" s="5"/>
      <c r="B727" s="5"/>
      <c r="C727" s="5"/>
      <c r="D727" s="5"/>
      <c r="E727" s="5"/>
    </row>
    <row r="728" ht="12.75" spans="1:5">
      <c r="A728" s="5"/>
      <c r="B728" s="5"/>
      <c r="C728" s="5"/>
      <c r="D728" s="5"/>
      <c r="E728" s="5"/>
    </row>
    <row r="729" ht="12.75" spans="1:5">
      <c r="A729" s="5"/>
      <c r="B729" s="5"/>
      <c r="C729" s="5"/>
      <c r="D729" s="5"/>
      <c r="E729" s="5"/>
    </row>
    <row r="730" ht="12.75" spans="1:5">
      <c r="A730" s="5"/>
      <c r="B730" s="5"/>
      <c r="C730" s="5"/>
      <c r="D730" s="5"/>
      <c r="E730" s="5"/>
    </row>
    <row r="731" ht="12.75" spans="1:5">
      <c r="A731" s="5"/>
      <c r="B731" s="5"/>
      <c r="C731" s="5"/>
      <c r="D731" s="5"/>
      <c r="E731" s="5"/>
    </row>
    <row r="732" ht="12.75" spans="1:5">
      <c r="A732" s="5"/>
      <c r="B732" s="5"/>
      <c r="C732" s="5"/>
      <c r="D732" s="5"/>
      <c r="E732" s="5"/>
    </row>
    <row r="733" ht="12.75" spans="1:5">
      <c r="A733" s="5"/>
      <c r="B733" s="5"/>
      <c r="C733" s="5"/>
      <c r="D733" s="5"/>
      <c r="E733" s="5"/>
    </row>
    <row r="734" ht="12.75" spans="1:5">
      <c r="A734" s="5"/>
      <c r="B734" s="5"/>
      <c r="C734" s="5"/>
      <c r="D734" s="5"/>
      <c r="E734" s="5"/>
    </row>
    <row r="735" ht="12.75" spans="1:5">
      <c r="A735" s="5"/>
      <c r="B735" s="5"/>
      <c r="C735" s="5"/>
      <c r="D735" s="5"/>
      <c r="E735" s="5"/>
    </row>
    <row r="736" ht="12.75" spans="1:5">
      <c r="A736" s="5"/>
      <c r="B736" s="5"/>
      <c r="C736" s="5"/>
      <c r="D736" s="5"/>
      <c r="E736" s="5"/>
    </row>
    <row r="737" ht="12.75" spans="1:5">
      <c r="A737" s="5"/>
      <c r="B737" s="5"/>
      <c r="C737" s="5"/>
      <c r="D737" s="5"/>
      <c r="E737" s="5"/>
    </row>
    <row r="738" ht="12.75" spans="1:5">
      <c r="A738" s="5"/>
      <c r="B738" s="5"/>
      <c r="C738" s="5"/>
      <c r="D738" s="5"/>
      <c r="E738" s="5"/>
    </row>
    <row r="739" ht="12.75" spans="1:5">
      <c r="A739" s="5"/>
      <c r="B739" s="5"/>
      <c r="C739" s="5"/>
      <c r="D739" s="5"/>
      <c r="E739" s="5"/>
    </row>
    <row r="740" ht="12.75" spans="1:5">
      <c r="A740" s="5"/>
      <c r="B740" s="5"/>
      <c r="C740" s="5"/>
      <c r="D740" s="5"/>
      <c r="E740" s="5"/>
    </row>
    <row r="741" ht="12.75" spans="1:5">
      <c r="A741" s="5"/>
      <c r="B741" s="5"/>
      <c r="C741" s="5"/>
      <c r="D741" s="5"/>
      <c r="E741" s="5"/>
    </row>
    <row r="742" ht="12.75" spans="1:5">
      <c r="A742" s="5"/>
      <c r="B742" s="5"/>
      <c r="C742" s="5"/>
      <c r="D742" s="5"/>
      <c r="E742" s="5"/>
    </row>
    <row r="743" ht="12.75" spans="1:5">
      <c r="A743" s="5"/>
      <c r="B743" s="5"/>
      <c r="C743" s="5"/>
      <c r="D743" s="5"/>
      <c r="E743" s="5"/>
    </row>
    <row r="744" ht="12.75" spans="1:5">
      <c r="A744" s="5"/>
      <c r="B744" s="5"/>
      <c r="C744" s="5"/>
      <c r="D744" s="5"/>
      <c r="E744" s="5"/>
    </row>
    <row r="745" ht="12.75" spans="1:5">
      <c r="A745" s="5"/>
      <c r="B745" s="5"/>
      <c r="C745" s="5"/>
      <c r="D745" s="5"/>
      <c r="E745" s="5"/>
    </row>
    <row r="746" ht="12.75" spans="1:5">
      <c r="A746" s="5"/>
      <c r="B746" s="5"/>
      <c r="C746" s="5"/>
      <c r="D746" s="5"/>
      <c r="E746" s="5"/>
    </row>
    <row r="747" ht="12.75" spans="1:5">
      <c r="A747" s="5"/>
      <c r="B747" s="5"/>
      <c r="C747" s="5"/>
      <c r="D747" s="5"/>
      <c r="E747" s="5"/>
    </row>
    <row r="748" ht="12.75" spans="1:5">
      <c r="A748" s="5"/>
      <c r="B748" s="5"/>
      <c r="C748" s="5"/>
      <c r="D748" s="5"/>
      <c r="E748" s="5"/>
    </row>
    <row r="749" ht="12.75" spans="1:5">
      <c r="A749" s="5"/>
      <c r="B749" s="5"/>
      <c r="C749" s="5"/>
      <c r="D749" s="5"/>
      <c r="E749" s="5"/>
    </row>
    <row r="750" ht="12.75" spans="1:5">
      <c r="A750" s="5"/>
      <c r="B750" s="5"/>
      <c r="C750" s="5"/>
      <c r="D750" s="5"/>
      <c r="E750" s="5"/>
    </row>
    <row r="751" ht="12.75" spans="1:5">
      <c r="A751" s="5"/>
      <c r="B751" s="5"/>
      <c r="C751" s="5"/>
      <c r="D751" s="5"/>
      <c r="E751" s="5"/>
    </row>
    <row r="752" ht="12.75" spans="1:5">
      <c r="A752" s="5"/>
      <c r="B752" s="5"/>
      <c r="C752" s="5"/>
      <c r="D752" s="5"/>
      <c r="E752" s="5"/>
    </row>
    <row r="753" ht="12.75" spans="1:5">
      <c r="A753" s="5"/>
      <c r="B753" s="5"/>
      <c r="C753" s="5"/>
      <c r="D753" s="5"/>
      <c r="E753" s="5"/>
    </row>
    <row r="754" ht="12.75" spans="1:5">
      <c r="A754" s="5"/>
      <c r="B754" s="5"/>
      <c r="C754" s="5"/>
      <c r="D754" s="5"/>
      <c r="E754" s="5"/>
    </row>
    <row r="755" ht="12.75" spans="1:5">
      <c r="A755" s="5"/>
      <c r="B755" s="5"/>
      <c r="C755" s="5"/>
      <c r="D755" s="5"/>
      <c r="E755" s="5"/>
    </row>
    <row r="756" ht="12.75" spans="1:5">
      <c r="A756" s="5"/>
      <c r="B756" s="5"/>
      <c r="C756" s="5"/>
      <c r="D756" s="5"/>
      <c r="E756" s="5"/>
    </row>
    <row r="757" ht="12.75" spans="1:5">
      <c r="A757" s="5"/>
      <c r="B757" s="5"/>
      <c r="C757" s="5"/>
      <c r="D757" s="5"/>
      <c r="E757" s="5"/>
    </row>
    <row r="758" ht="12.75" spans="1:5">
      <c r="A758" s="5"/>
      <c r="B758" s="5"/>
      <c r="C758" s="5"/>
      <c r="D758" s="5"/>
      <c r="E758" s="5"/>
    </row>
    <row r="759" ht="12.75" spans="1:5">
      <c r="A759" s="5"/>
      <c r="B759" s="5"/>
      <c r="C759" s="5"/>
      <c r="D759" s="5"/>
      <c r="E759" s="5"/>
    </row>
    <row r="760" ht="12.75" spans="1:5">
      <c r="A760" s="5"/>
      <c r="B760" s="5"/>
      <c r="C760" s="5"/>
      <c r="D760" s="5"/>
      <c r="E760" s="5"/>
    </row>
    <row r="761" ht="12.75" spans="1:5">
      <c r="A761" s="5"/>
      <c r="B761" s="5"/>
      <c r="C761" s="5"/>
      <c r="D761" s="5"/>
      <c r="E761" s="5"/>
    </row>
    <row r="762" ht="12.75" spans="1:5">
      <c r="A762" s="5"/>
      <c r="B762" s="5"/>
      <c r="C762" s="5"/>
      <c r="D762" s="5"/>
      <c r="E762" s="5"/>
    </row>
    <row r="763" ht="12.75" spans="1:5">
      <c r="A763" s="5"/>
      <c r="B763" s="5"/>
      <c r="C763" s="5"/>
      <c r="D763" s="5"/>
      <c r="E763" s="5"/>
    </row>
    <row r="764" ht="12.75" spans="1:5">
      <c r="A764" s="5"/>
      <c r="B764" s="5"/>
      <c r="C764" s="5"/>
      <c r="D764" s="5"/>
      <c r="E764" s="5"/>
    </row>
    <row r="765" ht="12.75" spans="1:5">
      <c r="A765" s="5"/>
      <c r="B765" s="5"/>
      <c r="C765" s="5"/>
      <c r="D765" s="5"/>
      <c r="E765" s="5"/>
    </row>
    <row r="766" ht="12.75" spans="1:5">
      <c r="A766" s="5"/>
      <c r="B766" s="5"/>
      <c r="C766" s="5"/>
      <c r="D766" s="5"/>
      <c r="E766" s="5"/>
    </row>
    <row r="767" ht="12.75" spans="1:5">
      <c r="A767" s="5"/>
      <c r="B767" s="5"/>
      <c r="C767" s="5"/>
      <c r="D767" s="5"/>
      <c r="E767" s="5"/>
    </row>
    <row r="768" ht="12.75" spans="1:5">
      <c r="A768" s="5"/>
      <c r="B768" s="5"/>
      <c r="C768" s="5"/>
      <c r="D768" s="5"/>
      <c r="E768" s="5"/>
    </row>
    <row r="769" ht="12.75" spans="1:5">
      <c r="A769" s="5"/>
      <c r="B769" s="5"/>
      <c r="C769" s="5"/>
      <c r="D769" s="5"/>
      <c r="E769" s="5"/>
    </row>
    <row r="770" ht="12.75" spans="1:5">
      <c r="A770" s="5"/>
      <c r="B770" s="5"/>
      <c r="C770" s="5"/>
      <c r="D770" s="5"/>
      <c r="E770" s="5"/>
    </row>
    <row r="771" ht="12.75" spans="1:5">
      <c r="A771" s="5"/>
      <c r="B771" s="5"/>
      <c r="C771" s="5"/>
      <c r="D771" s="5"/>
      <c r="E771" s="5"/>
    </row>
    <row r="772" ht="12.75" spans="1:5">
      <c r="A772" s="5"/>
      <c r="B772" s="5"/>
      <c r="C772" s="5"/>
      <c r="D772" s="5"/>
      <c r="E772" s="5"/>
    </row>
    <row r="773" ht="12.75" spans="1:5">
      <c r="A773" s="5"/>
      <c r="B773" s="5"/>
      <c r="C773" s="5"/>
      <c r="D773" s="5"/>
      <c r="E773" s="5"/>
    </row>
    <row r="774" ht="12.75" spans="1:5">
      <c r="A774" s="5"/>
      <c r="B774" s="5"/>
      <c r="C774" s="5"/>
      <c r="D774" s="5"/>
      <c r="E774" s="5"/>
    </row>
    <row r="775" ht="12.75" spans="1:5">
      <c r="A775" s="5"/>
      <c r="B775" s="5"/>
      <c r="C775" s="5"/>
      <c r="D775" s="5"/>
      <c r="E775" s="5"/>
    </row>
    <row r="776" ht="12.75" spans="1:5">
      <c r="A776" s="5"/>
      <c r="B776" s="5"/>
      <c r="C776" s="5"/>
      <c r="D776" s="5"/>
      <c r="E776" s="5"/>
    </row>
    <row r="777" ht="12.75" spans="1:5">
      <c r="A777" s="5"/>
      <c r="B777" s="5"/>
      <c r="C777" s="5"/>
      <c r="D777" s="5"/>
      <c r="E777" s="5"/>
    </row>
    <row r="778" ht="12.75" spans="1:5">
      <c r="A778" s="5"/>
      <c r="B778" s="5"/>
      <c r="C778" s="5"/>
      <c r="D778" s="5"/>
      <c r="E778" s="5"/>
    </row>
    <row r="779" ht="12.75" spans="1:5">
      <c r="A779" s="5"/>
      <c r="B779" s="5"/>
      <c r="C779" s="5"/>
      <c r="D779" s="5"/>
      <c r="E779" s="5"/>
    </row>
    <row r="780" ht="12.75" spans="1:5">
      <c r="A780" s="5"/>
      <c r="B780" s="5"/>
      <c r="C780" s="5"/>
      <c r="D780" s="5"/>
      <c r="E780" s="5"/>
    </row>
    <row r="781" ht="12.75" spans="1:5">
      <c r="A781" s="5"/>
      <c r="B781" s="5"/>
      <c r="C781" s="5"/>
      <c r="D781" s="5"/>
      <c r="E781" s="5"/>
    </row>
    <row r="782" ht="12.75" spans="1:5">
      <c r="A782" s="5"/>
      <c r="B782" s="5"/>
      <c r="C782" s="5"/>
      <c r="D782" s="5"/>
      <c r="E782" s="5"/>
    </row>
    <row r="783" ht="12.75" spans="1:5">
      <c r="A783" s="5"/>
      <c r="B783" s="5"/>
      <c r="C783" s="5"/>
      <c r="D783" s="5"/>
      <c r="E783" s="5"/>
    </row>
    <row r="784" ht="12.75" spans="1:5">
      <c r="A784" s="5"/>
      <c r="B784" s="5"/>
      <c r="C784" s="5"/>
      <c r="D784" s="5"/>
      <c r="E784" s="5"/>
    </row>
    <row r="785" ht="12.75" spans="1:5">
      <c r="A785" s="5"/>
      <c r="B785" s="5"/>
      <c r="C785" s="5"/>
      <c r="D785" s="5"/>
      <c r="E785" s="5"/>
    </row>
    <row r="786" ht="12.75" spans="1:5">
      <c r="A786" s="5"/>
      <c r="B786" s="5"/>
      <c r="C786" s="5"/>
      <c r="D786" s="5"/>
      <c r="E786" s="5"/>
    </row>
    <row r="787" ht="12.75" spans="1:5">
      <c r="A787" s="5"/>
      <c r="B787" s="5"/>
      <c r="C787" s="5"/>
      <c r="D787" s="5"/>
      <c r="E787" s="5"/>
    </row>
    <row r="788" ht="12.75" spans="1:5">
      <c r="A788" s="5"/>
      <c r="B788" s="5"/>
      <c r="C788" s="5"/>
      <c r="D788" s="5"/>
      <c r="E788" s="5"/>
    </row>
    <row r="789" ht="12.75" spans="1:5">
      <c r="A789" s="5"/>
      <c r="B789" s="5"/>
      <c r="C789" s="5"/>
      <c r="D789" s="5"/>
      <c r="E789" s="5"/>
    </row>
    <row r="790" ht="12.75" spans="1:5">
      <c r="A790" s="5"/>
      <c r="B790" s="5"/>
      <c r="C790" s="5"/>
      <c r="D790" s="5"/>
      <c r="E790" s="5"/>
    </row>
    <row r="791" ht="12.75" spans="1:5">
      <c r="A791" s="5"/>
      <c r="B791" s="5"/>
      <c r="C791" s="5"/>
      <c r="D791" s="5"/>
      <c r="E791" s="5"/>
    </row>
    <row r="792" ht="12.75" spans="1:5">
      <c r="A792" s="5"/>
      <c r="B792" s="5"/>
      <c r="C792" s="5"/>
      <c r="D792" s="5"/>
      <c r="E792" s="5"/>
    </row>
    <row r="793" ht="12.75" spans="1:5">
      <c r="A793" s="5"/>
      <c r="B793" s="5"/>
      <c r="C793" s="5"/>
      <c r="D793" s="5"/>
      <c r="E793" s="5"/>
    </row>
    <row r="794" ht="12.75" spans="1:5">
      <c r="A794" s="5"/>
      <c r="B794" s="5"/>
      <c r="C794" s="5"/>
      <c r="D794" s="5"/>
      <c r="E794" s="5"/>
    </row>
    <row r="795" ht="12.75" spans="1:5">
      <c r="A795" s="5"/>
      <c r="B795" s="5"/>
      <c r="C795" s="5"/>
      <c r="D795" s="5"/>
      <c r="E795" s="5"/>
    </row>
    <row r="796" ht="12.75" spans="1:5">
      <c r="A796" s="5"/>
      <c r="B796" s="5"/>
      <c r="C796" s="5"/>
      <c r="D796" s="5"/>
      <c r="E796" s="5"/>
    </row>
    <row r="797" ht="12.75" spans="1:5">
      <c r="A797" s="5"/>
      <c r="B797" s="5"/>
      <c r="C797" s="5"/>
      <c r="D797" s="5"/>
      <c r="E797" s="5"/>
    </row>
    <row r="798" ht="12.75" spans="1:5">
      <c r="A798" s="5"/>
      <c r="B798" s="5"/>
      <c r="C798" s="5"/>
      <c r="D798" s="5"/>
      <c r="E798" s="5"/>
    </row>
    <row r="799" ht="12.75" spans="1:5">
      <c r="A799" s="5"/>
      <c r="B799" s="5"/>
      <c r="C799" s="5"/>
      <c r="D799" s="5"/>
      <c r="E799" s="5"/>
    </row>
    <row r="800" ht="12.75" spans="1:5">
      <c r="A800" s="5"/>
      <c r="B800" s="5"/>
      <c r="C800" s="5"/>
      <c r="D800" s="5"/>
      <c r="E800" s="5"/>
    </row>
    <row r="801" ht="12.75" spans="1:5">
      <c r="A801" s="5"/>
      <c r="B801" s="5"/>
      <c r="C801" s="5"/>
      <c r="D801" s="5"/>
      <c r="E801" s="5"/>
    </row>
    <row r="802" ht="12.75" spans="1:5">
      <c r="A802" s="5"/>
      <c r="B802" s="5"/>
      <c r="C802" s="5"/>
      <c r="D802" s="5"/>
      <c r="E802" s="5"/>
    </row>
    <row r="803" ht="12.75" spans="1:5">
      <c r="A803" s="5"/>
      <c r="B803" s="5"/>
      <c r="C803" s="5"/>
      <c r="D803" s="5"/>
      <c r="E803" s="5"/>
    </row>
    <row r="804" ht="12.75" spans="1:5">
      <c r="A804" s="5"/>
      <c r="B804" s="5"/>
      <c r="C804" s="5"/>
      <c r="D804" s="5"/>
      <c r="E804" s="5"/>
    </row>
    <row r="805" ht="12.75" spans="1:5">
      <c r="A805" s="5"/>
      <c r="B805" s="5"/>
      <c r="C805" s="5"/>
      <c r="D805" s="5"/>
      <c r="E805" s="5"/>
    </row>
    <row r="806" ht="12.75" spans="1:5">
      <c r="A806" s="5"/>
      <c r="B806" s="5"/>
      <c r="C806" s="5"/>
      <c r="D806" s="5"/>
      <c r="E806" s="5"/>
    </row>
    <row r="807" ht="12.75" spans="1:5">
      <c r="A807" s="5"/>
      <c r="B807" s="5"/>
      <c r="C807" s="5"/>
      <c r="D807" s="5"/>
      <c r="E807" s="5"/>
    </row>
    <row r="808" ht="12.75" spans="1:5">
      <c r="A808" s="5"/>
      <c r="B808" s="5"/>
      <c r="C808" s="5"/>
      <c r="D808" s="5"/>
      <c r="E808" s="5"/>
    </row>
    <row r="809" ht="12.75" spans="1:5">
      <c r="A809" s="5"/>
      <c r="B809" s="5"/>
      <c r="C809" s="5"/>
      <c r="D809" s="5"/>
      <c r="E809" s="5"/>
    </row>
    <row r="810" ht="12.75" spans="1:5">
      <c r="A810" s="5"/>
      <c r="B810" s="5"/>
      <c r="C810" s="5"/>
      <c r="D810" s="5"/>
      <c r="E810" s="5"/>
    </row>
    <row r="811" ht="12.75" spans="1:5">
      <c r="A811" s="5"/>
      <c r="B811" s="5"/>
      <c r="C811" s="5"/>
      <c r="D811" s="5"/>
      <c r="E811" s="5"/>
    </row>
    <row r="812" ht="12.75" spans="1:5">
      <c r="A812" s="5"/>
      <c r="B812" s="5"/>
      <c r="C812" s="5"/>
      <c r="D812" s="5"/>
      <c r="E812" s="5"/>
    </row>
    <row r="813" ht="12.75" spans="1:5">
      <c r="A813" s="5"/>
      <c r="B813" s="5"/>
      <c r="C813" s="5"/>
      <c r="D813" s="5"/>
      <c r="E813" s="5"/>
    </row>
    <row r="814" ht="12.75" spans="1:5">
      <c r="A814" s="5"/>
      <c r="B814" s="5"/>
      <c r="C814" s="5"/>
      <c r="D814" s="5"/>
      <c r="E814" s="5"/>
    </row>
    <row r="815" ht="12.75" spans="1:5">
      <c r="A815" s="5"/>
      <c r="B815" s="5"/>
      <c r="C815" s="5"/>
      <c r="D815" s="5"/>
      <c r="E815" s="5"/>
    </row>
    <row r="816" ht="12.75" spans="1:5">
      <c r="A816" s="5"/>
      <c r="B816" s="5"/>
      <c r="C816" s="5"/>
      <c r="D816" s="5"/>
      <c r="E816" s="5"/>
    </row>
    <row r="817" ht="12.75" spans="1:5">
      <c r="A817" s="5"/>
      <c r="B817" s="5"/>
      <c r="C817" s="5"/>
      <c r="D817" s="5"/>
      <c r="E817" s="5"/>
    </row>
    <row r="818" ht="12.75" spans="1:5">
      <c r="A818" s="5"/>
      <c r="B818" s="5"/>
      <c r="C818" s="5"/>
      <c r="D818" s="5"/>
      <c r="E818" s="5"/>
    </row>
    <row r="819" ht="12.75" spans="1:5">
      <c r="A819" s="5"/>
      <c r="B819" s="5"/>
      <c r="C819" s="5"/>
      <c r="D819" s="5"/>
      <c r="E819" s="5"/>
    </row>
    <row r="820" ht="12.75" spans="1:5">
      <c r="A820" s="5"/>
      <c r="B820" s="5"/>
      <c r="C820" s="5"/>
      <c r="D820" s="5"/>
      <c r="E820" s="5"/>
    </row>
    <row r="821" ht="12.75" spans="1:5">
      <c r="A821" s="5"/>
      <c r="B821" s="5"/>
      <c r="C821" s="5"/>
      <c r="D821" s="5"/>
      <c r="E821" s="5"/>
    </row>
    <row r="822" ht="12.75" spans="1:5">
      <c r="A822" s="5"/>
      <c r="B822" s="5"/>
      <c r="C822" s="5"/>
      <c r="D822" s="5"/>
      <c r="E822" s="5"/>
    </row>
    <row r="823" ht="12.75" spans="1:5">
      <c r="A823" s="5"/>
      <c r="B823" s="5"/>
      <c r="C823" s="5"/>
      <c r="D823" s="5"/>
      <c r="E823" s="5"/>
    </row>
    <row r="824" ht="12.75" spans="1:5">
      <c r="A824" s="5"/>
      <c r="B824" s="5"/>
      <c r="C824" s="5"/>
      <c r="D824" s="5"/>
      <c r="E824" s="5"/>
    </row>
    <row r="825" ht="12.75" spans="1:5">
      <c r="A825" s="5"/>
      <c r="B825" s="5"/>
      <c r="C825" s="5"/>
      <c r="D825" s="5"/>
      <c r="E825" s="5"/>
    </row>
    <row r="826" ht="12.75" spans="1:5">
      <c r="A826" s="5"/>
      <c r="B826" s="5"/>
      <c r="C826" s="5"/>
      <c r="D826" s="5"/>
      <c r="E826" s="5"/>
    </row>
    <row r="827" ht="12.75" spans="1:5">
      <c r="A827" s="5"/>
      <c r="B827" s="5"/>
      <c r="C827" s="5"/>
      <c r="D827" s="5"/>
      <c r="E827" s="5"/>
    </row>
    <row r="828" ht="12.75" spans="1:5">
      <c r="A828" s="5"/>
      <c r="B828" s="5"/>
      <c r="C828" s="5"/>
      <c r="D828" s="5"/>
      <c r="E828" s="5"/>
    </row>
    <row r="829" ht="12.75" spans="1:5">
      <c r="A829" s="5"/>
      <c r="B829" s="5"/>
      <c r="C829" s="5"/>
      <c r="D829" s="5"/>
      <c r="E829" s="5"/>
    </row>
    <row r="830" ht="12.75" spans="1:5">
      <c r="A830" s="5"/>
      <c r="B830" s="5"/>
      <c r="C830" s="5"/>
      <c r="D830" s="5"/>
      <c r="E830" s="5"/>
    </row>
    <row r="831" ht="12.75" spans="1:5">
      <c r="A831" s="5"/>
      <c r="B831" s="5"/>
      <c r="C831" s="5"/>
      <c r="D831" s="5"/>
      <c r="E831" s="5"/>
    </row>
    <row r="832" ht="12.75" spans="1:5">
      <c r="A832" s="5"/>
      <c r="B832" s="5"/>
      <c r="C832" s="5"/>
      <c r="D832" s="5"/>
      <c r="E832" s="5"/>
    </row>
    <row r="833" ht="12.75" spans="1:5">
      <c r="A833" s="5"/>
      <c r="B833" s="5"/>
      <c r="C833" s="5"/>
      <c r="D833" s="5"/>
      <c r="E833" s="5"/>
    </row>
    <row r="834" ht="12.75" spans="1:5">
      <c r="A834" s="5"/>
      <c r="B834" s="5"/>
      <c r="C834" s="5"/>
      <c r="D834" s="5"/>
      <c r="E834" s="5"/>
    </row>
    <row r="835" ht="12.75" spans="1:5">
      <c r="A835" s="5"/>
      <c r="B835" s="5"/>
      <c r="C835" s="5"/>
      <c r="D835" s="5"/>
      <c r="E835" s="5"/>
    </row>
    <row r="836" ht="12.75" spans="1:5">
      <c r="A836" s="5"/>
      <c r="B836" s="5"/>
      <c r="C836" s="5"/>
      <c r="D836" s="5"/>
      <c r="E836" s="5"/>
    </row>
    <row r="837" ht="12.75" spans="1:5">
      <c r="A837" s="5"/>
      <c r="B837" s="5"/>
      <c r="C837" s="5"/>
      <c r="D837" s="5"/>
      <c r="E837" s="5"/>
    </row>
    <row r="838" ht="12.75" spans="1:5">
      <c r="A838" s="5"/>
      <c r="B838" s="5"/>
      <c r="C838" s="5"/>
      <c r="D838" s="5"/>
      <c r="E838" s="5"/>
    </row>
    <row r="839" ht="12.75" spans="1:5">
      <c r="A839" s="5"/>
      <c r="B839" s="5"/>
      <c r="C839" s="5"/>
      <c r="D839" s="5"/>
      <c r="E839" s="5"/>
    </row>
    <row r="840" ht="12.75" spans="1:5">
      <c r="A840" s="5"/>
      <c r="B840" s="5"/>
      <c r="C840" s="5"/>
      <c r="D840" s="5"/>
      <c r="E840" s="5"/>
    </row>
    <row r="841" ht="12.75" spans="1:5">
      <c r="A841" s="5"/>
      <c r="B841" s="5"/>
      <c r="C841" s="5"/>
      <c r="D841" s="5"/>
      <c r="E841" s="5"/>
    </row>
    <row r="842" ht="12.75" spans="1:5">
      <c r="A842" s="5"/>
      <c r="B842" s="5"/>
      <c r="C842" s="5"/>
      <c r="D842" s="5"/>
      <c r="E842" s="5"/>
    </row>
    <row r="843" ht="12.75" spans="1:5">
      <c r="A843" s="5"/>
      <c r="B843" s="5"/>
      <c r="C843" s="5"/>
      <c r="D843" s="5"/>
      <c r="E843" s="5"/>
    </row>
    <row r="844" ht="12.75" spans="1:5">
      <c r="A844" s="5"/>
      <c r="B844" s="5"/>
      <c r="C844" s="5"/>
      <c r="D844" s="5"/>
      <c r="E844" s="5"/>
    </row>
    <row r="845" ht="12.75" spans="1:5">
      <c r="A845" s="5"/>
      <c r="B845" s="5"/>
      <c r="C845" s="5"/>
      <c r="D845" s="5"/>
      <c r="E845" s="5"/>
    </row>
    <row r="846" ht="12.75" spans="1:5">
      <c r="A846" s="5"/>
      <c r="B846" s="5"/>
      <c r="C846" s="5"/>
      <c r="D846" s="5"/>
      <c r="E846" s="5"/>
    </row>
    <row r="847" ht="12.75" spans="1:5">
      <c r="A847" s="5"/>
      <c r="B847" s="5"/>
      <c r="C847" s="5"/>
      <c r="D847" s="5"/>
      <c r="E847" s="5"/>
    </row>
    <row r="848" ht="12.75" spans="1:5">
      <c r="A848" s="5"/>
      <c r="B848" s="5"/>
      <c r="C848" s="5"/>
      <c r="D848" s="5"/>
      <c r="E848" s="5"/>
    </row>
    <row r="849" ht="12.75" spans="1:5">
      <c r="A849" s="5"/>
      <c r="B849" s="5"/>
      <c r="C849" s="5"/>
      <c r="D849" s="5"/>
      <c r="E849" s="5"/>
    </row>
    <row r="850" ht="12.75" spans="1:5">
      <c r="A850" s="5"/>
      <c r="B850" s="5"/>
      <c r="C850" s="5"/>
      <c r="D850" s="5"/>
      <c r="E850" s="5"/>
    </row>
    <row r="851" ht="12.75" spans="1:5">
      <c r="A851" s="5"/>
      <c r="B851" s="5"/>
      <c r="C851" s="5"/>
      <c r="D851" s="5"/>
      <c r="E851" s="5"/>
    </row>
    <row r="852" ht="12.75" spans="1:5">
      <c r="A852" s="5"/>
      <c r="B852" s="5"/>
      <c r="C852" s="5"/>
      <c r="D852" s="5"/>
      <c r="E852" s="5"/>
    </row>
    <row r="853" ht="12.75" spans="1:5">
      <c r="A853" s="5"/>
      <c r="B853" s="5"/>
      <c r="C853" s="5"/>
      <c r="D853" s="5"/>
      <c r="E853" s="5"/>
    </row>
    <row r="854" ht="12.75" spans="1:5">
      <c r="A854" s="5"/>
      <c r="B854" s="5"/>
      <c r="C854" s="5"/>
      <c r="D854" s="5"/>
      <c r="E854" s="5"/>
    </row>
    <row r="855" ht="12.75" spans="1:5">
      <c r="A855" s="5"/>
      <c r="B855" s="5"/>
      <c r="C855" s="5"/>
      <c r="D855" s="5"/>
      <c r="E855" s="5"/>
    </row>
    <row r="856" ht="12.75" spans="1:5">
      <c r="A856" s="5"/>
      <c r="B856" s="5"/>
      <c r="C856" s="5"/>
      <c r="D856" s="5"/>
      <c r="E856" s="5"/>
    </row>
    <row r="857" ht="12.75" spans="1:5">
      <c r="A857" s="5"/>
      <c r="B857" s="5"/>
      <c r="C857" s="5"/>
      <c r="D857" s="5"/>
      <c r="E857" s="5"/>
    </row>
    <row r="858" ht="12.75" spans="1:5">
      <c r="A858" s="5"/>
      <c r="B858" s="5"/>
      <c r="C858" s="5"/>
      <c r="D858" s="5"/>
      <c r="E858" s="5"/>
    </row>
    <row r="859" ht="12.75" spans="1:5">
      <c r="A859" s="5"/>
      <c r="B859" s="5"/>
      <c r="C859" s="5"/>
      <c r="D859" s="5"/>
      <c r="E859" s="5"/>
    </row>
    <row r="860" ht="12.75" spans="1:5">
      <c r="A860" s="5"/>
      <c r="B860" s="5"/>
      <c r="C860" s="5"/>
      <c r="D860" s="5"/>
      <c r="E860" s="5"/>
    </row>
    <row r="861" ht="12.75" spans="1:5">
      <c r="A861" s="5"/>
      <c r="B861" s="5"/>
      <c r="C861" s="5"/>
      <c r="D861" s="5"/>
      <c r="E861" s="5"/>
    </row>
    <row r="862" ht="12.75" spans="1:5">
      <c r="A862" s="5"/>
      <c r="B862" s="5"/>
      <c r="C862" s="5"/>
      <c r="D862" s="5"/>
      <c r="E862" s="5"/>
    </row>
    <row r="863" ht="12.75" spans="1:5">
      <c r="A863" s="5"/>
      <c r="B863" s="5"/>
      <c r="C863" s="5"/>
      <c r="D863" s="5"/>
      <c r="E863" s="5"/>
    </row>
    <row r="864" ht="12.75" spans="1:5">
      <c r="A864" s="5"/>
      <c r="B864" s="5"/>
      <c r="C864" s="5"/>
      <c r="D864" s="5"/>
      <c r="E864" s="5"/>
    </row>
    <row r="865" ht="12.75" spans="1:5">
      <c r="A865" s="5"/>
      <c r="B865" s="5"/>
      <c r="C865" s="5"/>
      <c r="D865" s="5"/>
      <c r="E865" s="5"/>
    </row>
    <row r="866" ht="12.75" spans="1:5">
      <c r="A866" s="5"/>
      <c r="B866" s="5"/>
      <c r="C866" s="5"/>
      <c r="D866" s="5"/>
      <c r="E866" s="5"/>
    </row>
    <row r="867" ht="12.75" spans="1:5">
      <c r="A867" s="5"/>
      <c r="B867" s="5"/>
      <c r="C867" s="5"/>
      <c r="D867" s="5"/>
      <c r="E867" s="5"/>
    </row>
    <row r="868" ht="12.75" spans="1:5">
      <c r="A868" s="5"/>
      <c r="B868" s="5"/>
      <c r="C868" s="5"/>
      <c r="D868" s="5"/>
      <c r="E868" s="5"/>
    </row>
    <row r="869" ht="12.75" spans="1:5">
      <c r="A869" s="5"/>
      <c r="B869" s="5"/>
      <c r="C869" s="5"/>
      <c r="D869" s="5"/>
      <c r="E869" s="5"/>
    </row>
    <row r="870" ht="12.75" spans="1:5">
      <c r="A870" s="5"/>
      <c r="B870" s="5"/>
      <c r="C870" s="5"/>
      <c r="D870" s="5"/>
      <c r="E870" s="5"/>
    </row>
    <row r="871" ht="12.75" spans="1:5">
      <c r="A871" s="5"/>
      <c r="B871" s="5"/>
      <c r="C871" s="5"/>
      <c r="D871" s="5"/>
      <c r="E871" s="5"/>
    </row>
    <row r="872" ht="12.75" spans="1:5">
      <c r="A872" s="5"/>
      <c r="B872" s="5"/>
      <c r="C872" s="5"/>
      <c r="D872" s="5"/>
      <c r="E872" s="5"/>
    </row>
    <row r="873" ht="12.75" spans="1:5">
      <c r="A873" s="5"/>
      <c r="B873" s="5"/>
      <c r="C873" s="5"/>
      <c r="D873" s="5"/>
      <c r="E873" s="5"/>
    </row>
    <row r="874" ht="12.75" spans="1:5">
      <c r="A874" s="5"/>
      <c r="B874" s="5"/>
      <c r="C874" s="5"/>
      <c r="D874" s="5"/>
      <c r="E874" s="5"/>
    </row>
    <row r="875" ht="12.75" spans="1:5">
      <c r="A875" s="5"/>
      <c r="B875" s="5"/>
      <c r="C875" s="5"/>
      <c r="D875" s="5"/>
      <c r="E875" s="5"/>
    </row>
    <row r="876" ht="12.75" spans="1:5">
      <c r="A876" s="5"/>
      <c r="B876" s="5"/>
      <c r="C876" s="5"/>
      <c r="D876" s="5"/>
      <c r="E876" s="5"/>
    </row>
    <row r="877" ht="12.75" spans="1:5">
      <c r="A877" s="5"/>
      <c r="B877" s="5"/>
      <c r="C877" s="5"/>
      <c r="D877" s="5"/>
      <c r="E877" s="5"/>
    </row>
    <row r="878" ht="12.75" spans="1:5">
      <c r="A878" s="5"/>
      <c r="B878" s="5"/>
      <c r="C878" s="5"/>
      <c r="D878" s="5"/>
      <c r="E878" s="5"/>
    </row>
    <row r="879" ht="12.75" spans="1:5">
      <c r="A879" s="5"/>
      <c r="B879" s="5"/>
      <c r="C879" s="5"/>
      <c r="D879" s="5"/>
      <c r="E879" s="5"/>
    </row>
    <row r="880" ht="12.75" spans="1:5">
      <c r="A880" s="5"/>
      <c r="B880" s="5"/>
      <c r="C880" s="5"/>
      <c r="D880" s="5"/>
      <c r="E880" s="5"/>
    </row>
    <row r="881" ht="12.75" spans="1:5">
      <c r="A881" s="5"/>
      <c r="B881" s="5"/>
      <c r="C881" s="5"/>
      <c r="D881" s="5"/>
      <c r="E881" s="5"/>
    </row>
    <row r="882" ht="12.75" spans="1:5">
      <c r="A882" s="5"/>
      <c r="B882" s="5"/>
      <c r="C882" s="5"/>
      <c r="D882" s="5"/>
      <c r="E882" s="5"/>
    </row>
    <row r="883" ht="12.75" spans="1:5">
      <c r="A883" s="5"/>
      <c r="B883" s="5"/>
      <c r="C883" s="5"/>
      <c r="D883" s="5"/>
      <c r="E883" s="5"/>
    </row>
    <row r="884" ht="12.75" spans="1:5">
      <c r="A884" s="5"/>
      <c r="B884" s="5"/>
      <c r="C884" s="5"/>
      <c r="D884" s="5"/>
      <c r="E884" s="5"/>
    </row>
    <row r="885" ht="12.75" spans="1:5">
      <c r="A885" s="5"/>
      <c r="B885" s="5"/>
      <c r="C885" s="5"/>
      <c r="D885" s="5"/>
      <c r="E885" s="5"/>
    </row>
    <row r="886" ht="12.75" spans="1:5">
      <c r="A886" s="5"/>
      <c r="B886" s="5"/>
      <c r="C886" s="5"/>
      <c r="D886" s="5"/>
      <c r="E886" s="5"/>
    </row>
    <row r="887" ht="12.75" spans="1:5">
      <c r="A887" s="5"/>
      <c r="B887" s="5"/>
      <c r="C887" s="5"/>
      <c r="D887" s="5"/>
      <c r="E887" s="5"/>
    </row>
    <row r="888" ht="12.75" spans="1:5">
      <c r="A888" s="5"/>
      <c r="B888" s="5"/>
      <c r="C888" s="5"/>
      <c r="D888" s="5"/>
      <c r="E888" s="5"/>
    </row>
    <row r="889" ht="12.75" spans="1:5">
      <c r="A889" s="5"/>
      <c r="B889" s="5"/>
      <c r="C889" s="5"/>
      <c r="D889" s="5"/>
      <c r="E889" s="5"/>
    </row>
    <row r="890" ht="12.75" spans="1:5">
      <c r="A890" s="5"/>
      <c r="B890" s="5"/>
      <c r="C890" s="5"/>
      <c r="D890" s="5"/>
      <c r="E890" s="5"/>
    </row>
    <row r="891" ht="12.75" spans="1:5">
      <c r="A891" s="5"/>
      <c r="B891" s="5"/>
      <c r="C891" s="5"/>
      <c r="D891" s="5"/>
      <c r="E891" s="5"/>
    </row>
    <row r="892" ht="12.75" spans="1:5">
      <c r="A892" s="5"/>
      <c r="B892" s="5"/>
      <c r="C892" s="5"/>
      <c r="D892" s="5"/>
      <c r="E892" s="5"/>
    </row>
    <row r="893" ht="12.75" spans="1:5">
      <c r="A893" s="5"/>
      <c r="B893" s="5"/>
      <c r="C893" s="5"/>
      <c r="D893" s="5"/>
      <c r="E893" s="5"/>
    </row>
    <row r="894" ht="12.75" spans="1:5">
      <c r="A894" s="5"/>
      <c r="B894" s="5"/>
      <c r="C894" s="5"/>
      <c r="D894" s="5"/>
      <c r="E894" s="5"/>
    </row>
    <row r="895" ht="12.75" spans="1:5">
      <c r="A895" s="5"/>
      <c r="B895" s="5"/>
      <c r="C895" s="5"/>
      <c r="D895" s="5"/>
      <c r="E895" s="5"/>
    </row>
    <row r="896" ht="12.75" spans="1:5">
      <c r="A896" s="5"/>
      <c r="B896" s="5"/>
      <c r="C896" s="5"/>
      <c r="D896" s="5"/>
      <c r="E896" s="5"/>
    </row>
    <row r="897" ht="12.75" spans="1:5">
      <c r="A897" s="5"/>
      <c r="B897" s="5"/>
      <c r="C897" s="5"/>
      <c r="D897" s="5"/>
      <c r="E897" s="5"/>
    </row>
    <row r="898" ht="12.75" spans="1:5">
      <c r="A898" s="5"/>
      <c r="B898" s="5"/>
      <c r="C898" s="5"/>
      <c r="D898" s="5"/>
      <c r="E898" s="5"/>
    </row>
    <row r="899" ht="12.75" spans="1:5">
      <c r="A899" s="5"/>
      <c r="B899" s="5"/>
      <c r="C899" s="5"/>
      <c r="D899" s="5"/>
      <c r="E899" s="5"/>
    </row>
    <row r="900" ht="12.75" spans="1:5">
      <c r="A900" s="5"/>
      <c r="B900" s="5"/>
      <c r="C900" s="5"/>
      <c r="D900" s="5"/>
      <c r="E900" s="5"/>
    </row>
    <row r="901" ht="12.75" spans="1:5">
      <c r="A901" s="5"/>
      <c r="B901" s="5"/>
      <c r="C901" s="5"/>
      <c r="D901" s="5"/>
      <c r="E901" s="5"/>
    </row>
    <row r="902" ht="12.75" spans="1:5">
      <c r="A902" s="5"/>
      <c r="B902" s="5"/>
      <c r="C902" s="5"/>
      <c r="D902" s="5"/>
      <c r="E902" s="5"/>
    </row>
    <row r="903" ht="12.75" spans="1:5">
      <c r="A903" s="5"/>
      <c r="B903" s="5"/>
      <c r="C903" s="5"/>
      <c r="D903" s="5"/>
      <c r="E903" s="5"/>
    </row>
    <row r="904" ht="12.75" spans="1:5">
      <c r="A904" s="5"/>
      <c r="B904" s="5"/>
      <c r="C904" s="5"/>
      <c r="D904" s="5"/>
      <c r="E904" s="5"/>
    </row>
    <row r="905" ht="12.75" spans="1:5">
      <c r="A905" s="5"/>
      <c r="B905" s="5"/>
      <c r="C905" s="5"/>
      <c r="D905" s="5"/>
      <c r="E905" s="5"/>
    </row>
    <row r="906" ht="12.75" spans="1:5">
      <c r="A906" s="5"/>
      <c r="B906" s="5"/>
      <c r="C906" s="5"/>
      <c r="D906" s="5"/>
      <c r="E906" s="5"/>
    </row>
    <row r="907" ht="12.75" spans="1:5">
      <c r="A907" s="5"/>
      <c r="B907" s="5"/>
      <c r="C907" s="5"/>
      <c r="D907" s="5"/>
      <c r="E907" s="5"/>
    </row>
    <row r="908" ht="12.75" spans="1:5">
      <c r="A908" s="5"/>
      <c r="B908" s="5"/>
      <c r="C908" s="5"/>
      <c r="D908" s="5"/>
      <c r="E908" s="5"/>
    </row>
    <row r="909" ht="12.75" spans="1:5">
      <c r="A909" s="5"/>
      <c r="B909" s="5"/>
      <c r="C909" s="5"/>
      <c r="D909" s="5"/>
      <c r="E909" s="5"/>
    </row>
    <row r="910" ht="12.75" spans="1:5">
      <c r="A910" s="5"/>
      <c r="B910" s="5"/>
      <c r="C910" s="5"/>
      <c r="D910" s="5"/>
      <c r="E910" s="5"/>
    </row>
    <row r="911" ht="12.75" spans="1:5">
      <c r="A911" s="5"/>
      <c r="B911" s="5"/>
      <c r="C911" s="5"/>
      <c r="D911" s="5"/>
      <c r="E911" s="5"/>
    </row>
    <row r="912" ht="12.75" spans="1:5">
      <c r="A912" s="5"/>
      <c r="B912" s="5"/>
      <c r="C912" s="5"/>
      <c r="D912" s="5"/>
      <c r="E912" s="5"/>
    </row>
    <row r="913" ht="12.75" spans="1:5">
      <c r="A913" s="5"/>
      <c r="B913" s="5"/>
      <c r="C913" s="5"/>
      <c r="D913" s="5"/>
      <c r="E913" s="5"/>
    </row>
    <row r="914" ht="12.75" spans="1:5">
      <c r="A914" s="5"/>
      <c r="B914" s="5"/>
      <c r="C914" s="5"/>
      <c r="D914" s="5"/>
      <c r="E914" s="5"/>
    </row>
    <row r="915" ht="12.75" spans="1:5">
      <c r="A915" s="5"/>
      <c r="B915" s="5"/>
      <c r="C915" s="5"/>
      <c r="D915" s="5"/>
      <c r="E915" s="5"/>
    </row>
    <row r="916" ht="12.75" spans="1:5">
      <c r="A916" s="5"/>
      <c r="B916" s="5"/>
      <c r="C916" s="5"/>
      <c r="D916" s="5"/>
      <c r="E916" s="5"/>
    </row>
    <row r="917" ht="12.75" spans="1:5">
      <c r="A917" s="5"/>
      <c r="B917" s="5"/>
      <c r="C917" s="5"/>
      <c r="D917" s="5"/>
      <c r="E917" s="5"/>
    </row>
    <row r="918" ht="12.75" spans="1:5">
      <c r="A918" s="5"/>
      <c r="B918" s="5"/>
      <c r="C918" s="5"/>
      <c r="D918" s="5"/>
      <c r="E918" s="5"/>
    </row>
    <row r="919" ht="12.75" spans="1:5">
      <c r="A919" s="5"/>
      <c r="B919" s="5"/>
      <c r="C919" s="5"/>
      <c r="D919" s="5"/>
      <c r="E919" s="5"/>
    </row>
    <row r="920" ht="12.75" spans="1:5">
      <c r="A920" s="5"/>
      <c r="B920" s="5"/>
      <c r="C920" s="5"/>
      <c r="D920" s="5"/>
      <c r="E920" s="5"/>
    </row>
    <row r="921" ht="12.75" spans="1:5">
      <c r="A921" s="5"/>
      <c r="B921" s="5"/>
      <c r="C921" s="5"/>
      <c r="D921" s="5"/>
      <c r="E921" s="5"/>
    </row>
    <row r="922" ht="12.75" spans="1:5">
      <c r="A922" s="5"/>
      <c r="B922" s="5"/>
      <c r="C922" s="5"/>
      <c r="D922" s="5"/>
      <c r="E922" s="5"/>
    </row>
    <row r="923" ht="12.75" spans="1:5">
      <c r="A923" s="5"/>
      <c r="B923" s="5"/>
      <c r="C923" s="5"/>
      <c r="D923" s="5"/>
      <c r="E923" s="5"/>
    </row>
    <row r="924" ht="12.75" spans="1:5">
      <c r="A924" s="5"/>
      <c r="B924" s="5"/>
      <c r="C924" s="5"/>
      <c r="D924" s="5"/>
      <c r="E924" s="5"/>
    </row>
    <row r="925" ht="12.75" spans="1:5">
      <c r="A925" s="5"/>
      <c r="B925" s="5"/>
      <c r="C925" s="5"/>
      <c r="D925" s="5"/>
      <c r="E925" s="5"/>
    </row>
    <row r="926" ht="12.75" spans="1:5">
      <c r="A926" s="5"/>
      <c r="B926" s="5"/>
      <c r="C926" s="5"/>
      <c r="D926" s="5"/>
      <c r="E926" s="5"/>
    </row>
    <row r="927" ht="12.75" spans="1:5">
      <c r="A927" s="5"/>
      <c r="B927" s="5"/>
      <c r="C927" s="5"/>
      <c r="D927" s="5"/>
      <c r="E927" s="5"/>
    </row>
    <row r="928" ht="12.75" spans="1:5">
      <c r="A928" s="5"/>
      <c r="B928" s="5"/>
      <c r="C928" s="5"/>
      <c r="D928" s="5"/>
      <c r="E928" s="5"/>
    </row>
    <row r="929" ht="12.75" spans="1:5">
      <c r="A929" s="5"/>
      <c r="B929" s="5"/>
      <c r="C929" s="5"/>
      <c r="D929" s="5"/>
      <c r="E929" s="5"/>
    </row>
    <row r="930" ht="12.75" spans="1:5">
      <c r="A930" s="5"/>
      <c r="B930" s="5"/>
      <c r="C930" s="5"/>
      <c r="D930" s="5"/>
      <c r="E930" s="5"/>
    </row>
    <row r="931" ht="12.75" spans="1:5">
      <c r="A931" s="5"/>
      <c r="B931" s="5"/>
      <c r="C931" s="5"/>
      <c r="D931" s="5"/>
      <c r="E931" s="5"/>
    </row>
    <row r="932" ht="12.75" spans="1:5">
      <c r="A932" s="5"/>
      <c r="B932" s="5"/>
      <c r="C932" s="5"/>
      <c r="D932" s="5"/>
      <c r="E932" s="5"/>
    </row>
    <row r="933" ht="12.75" spans="1:5">
      <c r="A933" s="5"/>
      <c r="B933" s="5"/>
      <c r="C933" s="5"/>
      <c r="D933" s="5"/>
      <c r="E933" s="5"/>
    </row>
    <row r="934" ht="12.75" spans="1:5">
      <c r="A934" s="5"/>
      <c r="B934" s="5"/>
      <c r="C934" s="5"/>
      <c r="D934" s="5"/>
      <c r="E934" s="5"/>
    </row>
    <row r="935" ht="12.75" spans="1:5">
      <c r="A935" s="5"/>
      <c r="B935" s="5"/>
      <c r="C935" s="5"/>
      <c r="D935" s="5"/>
      <c r="E935" s="5"/>
    </row>
    <row r="936" ht="12.75" spans="1:5">
      <c r="A936" s="5"/>
      <c r="B936" s="5"/>
      <c r="C936" s="5"/>
      <c r="D936" s="5"/>
      <c r="E936" s="5"/>
    </row>
    <row r="937" ht="12.75" spans="1:5">
      <c r="A937" s="5"/>
      <c r="B937" s="5"/>
      <c r="C937" s="5"/>
      <c r="D937" s="5"/>
      <c r="E937" s="5"/>
    </row>
    <row r="938" ht="12.75" spans="1:5">
      <c r="A938" s="5"/>
      <c r="B938" s="5"/>
      <c r="C938" s="5"/>
      <c r="D938" s="5"/>
      <c r="E938" s="5"/>
    </row>
    <row r="939" ht="12.75" spans="1:5">
      <c r="A939" s="5"/>
      <c r="B939" s="5"/>
      <c r="C939" s="5"/>
      <c r="D939" s="5"/>
      <c r="E939" s="5"/>
    </row>
    <row r="940" ht="12.75" spans="1:5">
      <c r="A940" s="5"/>
      <c r="B940" s="5"/>
      <c r="C940" s="5"/>
      <c r="D940" s="5"/>
      <c r="E940" s="5"/>
    </row>
    <row r="941" ht="12.75" spans="1:5">
      <c r="A941" s="5"/>
      <c r="B941" s="5"/>
      <c r="C941" s="5"/>
      <c r="D941" s="5"/>
      <c r="E941" s="5"/>
    </row>
    <row r="942" ht="12.75" spans="1:5">
      <c r="A942" s="5"/>
      <c r="B942" s="5"/>
      <c r="C942" s="5"/>
      <c r="D942" s="5"/>
      <c r="E942" s="5"/>
    </row>
    <row r="943" ht="12.75" spans="1:5">
      <c r="A943" s="5"/>
      <c r="B943" s="5"/>
      <c r="C943" s="5"/>
      <c r="D943" s="5"/>
      <c r="E943" s="5"/>
    </row>
    <row r="944" ht="12.75" spans="1:5">
      <c r="A944" s="5"/>
      <c r="B944" s="5"/>
      <c r="C944" s="5"/>
      <c r="D944" s="5"/>
      <c r="E944" s="5"/>
    </row>
    <row r="945" ht="12.75" spans="1:5">
      <c r="A945" s="5"/>
      <c r="B945" s="5"/>
      <c r="C945" s="5"/>
      <c r="D945" s="5"/>
      <c r="E945" s="5"/>
    </row>
    <row r="946" ht="12.75" spans="1:5">
      <c r="A946" s="5"/>
      <c r="B946" s="5"/>
      <c r="C946" s="5"/>
      <c r="D946" s="5"/>
      <c r="E946" s="5"/>
    </row>
    <row r="947" ht="12.75" spans="1:5">
      <c r="A947" s="5"/>
      <c r="B947" s="5"/>
      <c r="C947" s="5"/>
      <c r="D947" s="5"/>
      <c r="E947" s="5"/>
    </row>
    <row r="948" ht="12.75" spans="1:5">
      <c r="A948" s="5"/>
      <c r="B948" s="5"/>
      <c r="C948" s="5"/>
      <c r="D948" s="5"/>
      <c r="E948" s="5"/>
    </row>
    <row r="949" ht="12.75" spans="1:5">
      <c r="A949" s="5"/>
      <c r="B949" s="5"/>
      <c r="C949" s="5"/>
      <c r="D949" s="5"/>
      <c r="E949" s="5"/>
    </row>
    <row r="950" ht="12.75" spans="1:5">
      <c r="A950" s="5"/>
      <c r="B950" s="5"/>
      <c r="C950" s="5"/>
      <c r="D950" s="5"/>
      <c r="E950" s="5"/>
    </row>
    <row r="951" ht="12.75" spans="1:5">
      <c r="A951" s="5"/>
      <c r="B951" s="5"/>
      <c r="C951" s="5"/>
      <c r="D951" s="5"/>
      <c r="E951" s="5"/>
    </row>
    <row r="952" ht="12.75" spans="1:5">
      <c r="A952" s="5"/>
      <c r="B952" s="5"/>
      <c r="C952" s="5"/>
      <c r="D952" s="5"/>
      <c r="E952" s="5"/>
    </row>
    <row r="953" ht="12.75" spans="1:5">
      <c r="A953" s="5"/>
      <c r="B953" s="5"/>
      <c r="C953" s="5"/>
      <c r="D953" s="5"/>
      <c r="E953" s="5"/>
    </row>
    <row r="954" ht="12.75" spans="1:5">
      <c r="A954" s="5"/>
      <c r="B954" s="5"/>
      <c r="C954" s="5"/>
      <c r="D954" s="5"/>
      <c r="E954" s="5"/>
    </row>
    <row r="955" ht="12.75" spans="1:5">
      <c r="A955" s="5"/>
      <c r="B955" s="5"/>
      <c r="C955" s="5"/>
      <c r="D955" s="5"/>
      <c r="E955" s="5"/>
    </row>
    <row r="956" ht="12.75" spans="1:5">
      <c r="A956" s="5"/>
      <c r="B956" s="5"/>
      <c r="C956" s="5"/>
      <c r="D956" s="5"/>
      <c r="E956" s="5"/>
    </row>
    <row r="957" ht="12.75" spans="1:5">
      <c r="A957" s="5"/>
      <c r="B957" s="5"/>
      <c r="C957" s="5"/>
      <c r="D957" s="5"/>
      <c r="E957" s="5"/>
    </row>
    <row r="958" ht="12.75" spans="1:5">
      <c r="A958" s="5"/>
      <c r="B958" s="5"/>
      <c r="C958" s="5"/>
      <c r="D958" s="5"/>
      <c r="E958" s="5"/>
    </row>
    <row r="959" ht="12.75" spans="1:5">
      <c r="A959" s="5"/>
      <c r="B959" s="5"/>
      <c r="C959" s="5"/>
      <c r="D959" s="5"/>
      <c r="E959" s="5"/>
    </row>
    <row r="960" ht="12.75" spans="1:5">
      <c r="A960" s="5"/>
      <c r="B960" s="5"/>
      <c r="C960" s="5"/>
      <c r="D960" s="5"/>
      <c r="E960" s="5"/>
    </row>
    <row r="961" ht="12.75" spans="1:5">
      <c r="A961" s="5"/>
      <c r="B961" s="5"/>
      <c r="C961" s="5"/>
      <c r="D961" s="5"/>
      <c r="E961" s="5"/>
    </row>
    <row r="962" ht="12.75" spans="1:5">
      <c r="A962" s="5"/>
      <c r="B962" s="5"/>
      <c r="C962" s="5"/>
      <c r="D962" s="5"/>
      <c r="E962" s="5"/>
    </row>
    <row r="963" ht="12.75" spans="1:5">
      <c r="A963" s="5"/>
      <c r="B963" s="5"/>
      <c r="C963" s="5"/>
      <c r="D963" s="5"/>
      <c r="E963" s="5"/>
    </row>
    <row r="964" ht="12.75" spans="1:5">
      <c r="A964" s="5"/>
      <c r="B964" s="5"/>
      <c r="C964" s="5"/>
      <c r="D964" s="5"/>
      <c r="E964" s="5"/>
    </row>
    <row r="965" ht="12.75" spans="1:5">
      <c r="A965" s="5"/>
      <c r="B965" s="5"/>
      <c r="C965" s="5"/>
      <c r="D965" s="5"/>
      <c r="E965" s="5"/>
    </row>
    <row r="966" ht="12.75" spans="1:5">
      <c r="A966" s="5"/>
      <c r="B966" s="5"/>
      <c r="C966" s="5"/>
      <c r="D966" s="5"/>
      <c r="E966" s="5"/>
    </row>
    <row r="967" ht="12.75" spans="1:5">
      <c r="A967" s="5"/>
      <c r="B967" s="5"/>
      <c r="C967" s="5"/>
      <c r="D967" s="5"/>
      <c r="E967" s="5"/>
    </row>
    <row r="968" ht="12.75" spans="1:5">
      <c r="A968" s="5"/>
      <c r="B968" s="5"/>
      <c r="C968" s="5"/>
      <c r="D968" s="5"/>
      <c r="E968" s="5"/>
    </row>
    <row r="969" ht="12.75" spans="1:5">
      <c r="A969" s="5"/>
      <c r="B969" s="5"/>
      <c r="C969" s="5"/>
      <c r="D969" s="5"/>
      <c r="E969" s="5"/>
    </row>
    <row r="970" ht="12.75" spans="1:5">
      <c r="A970" s="5"/>
      <c r="B970" s="5"/>
      <c r="C970" s="5"/>
      <c r="D970" s="5"/>
      <c r="E970" s="5"/>
    </row>
    <row r="971" ht="12.75" spans="1:5">
      <c r="A971" s="5"/>
      <c r="B971" s="5"/>
      <c r="C971" s="5"/>
      <c r="D971" s="5"/>
      <c r="E971" s="5"/>
    </row>
    <row r="972" ht="12.75" spans="1:5">
      <c r="A972" s="5"/>
      <c r="B972" s="5"/>
      <c r="C972" s="5"/>
      <c r="D972" s="5"/>
      <c r="E972" s="5"/>
    </row>
    <row r="973" ht="12.75" spans="1:5">
      <c r="A973" s="5"/>
      <c r="B973" s="5"/>
      <c r="C973" s="5"/>
      <c r="D973" s="5"/>
      <c r="E973" s="5"/>
    </row>
    <row r="974" ht="12.75" spans="1:5">
      <c r="A974" s="5"/>
      <c r="B974" s="5"/>
      <c r="C974" s="5"/>
      <c r="D974" s="5"/>
      <c r="E974" s="5"/>
    </row>
    <row r="975" ht="12.75" spans="1:5">
      <c r="A975" s="5"/>
      <c r="B975" s="5"/>
      <c r="C975" s="5"/>
      <c r="D975" s="5"/>
      <c r="E975" s="5"/>
    </row>
    <row r="976" ht="12.75" spans="1:5">
      <c r="A976" s="5"/>
      <c r="B976" s="5"/>
      <c r="C976" s="5"/>
      <c r="D976" s="5"/>
      <c r="E976" s="5"/>
    </row>
    <row r="977" ht="12.75" spans="1:5">
      <c r="A977" s="5"/>
      <c r="B977" s="5"/>
      <c r="C977" s="5"/>
      <c r="D977" s="5"/>
      <c r="E977" s="5"/>
    </row>
    <row r="978" ht="12.75" spans="1:5">
      <c r="A978" s="5"/>
      <c r="B978" s="5"/>
      <c r="C978" s="5"/>
      <c r="D978" s="5"/>
      <c r="E978" s="5"/>
    </row>
    <row r="979" ht="12.75" spans="1:5">
      <c r="A979" s="5"/>
      <c r="B979" s="5"/>
      <c r="C979" s="5"/>
      <c r="D979" s="5"/>
      <c r="E979" s="5"/>
    </row>
    <row r="980" ht="12.75" spans="1:5">
      <c r="A980" s="5"/>
      <c r="B980" s="5"/>
      <c r="C980" s="5"/>
      <c r="D980" s="5"/>
      <c r="E980" s="5"/>
    </row>
    <row r="981" ht="12.75" spans="1:5">
      <c r="A981" s="5"/>
      <c r="B981" s="5"/>
      <c r="C981" s="5"/>
      <c r="D981" s="5"/>
      <c r="E981" s="5"/>
    </row>
    <row r="982" ht="12.75" spans="1:5">
      <c r="A982" s="5"/>
      <c r="B982" s="5"/>
      <c r="C982" s="5"/>
      <c r="D982" s="5"/>
      <c r="E982" s="5"/>
    </row>
    <row r="983" ht="12.75" spans="1:5">
      <c r="A983" s="5"/>
      <c r="B983" s="5"/>
      <c r="C983" s="5"/>
      <c r="D983" s="5"/>
      <c r="E983" s="5"/>
    </row>
    <row r="984" ht="12.75" spans="1:5">
      <c r="A984" s="5"/>
      <c r="B984" s="5"/>
      <c r="C984" s="5"/>
      <c r="D984" s="5"/>
      <c r="E984" s="5"/>
    </row>
    <row r="985" ht="12.75" spans="1:5">
      <c r="A985" s="5"/>
      <c r="B985" s="5"/>
      <c r="C985" s="5"/>
      <c r="D985" s="5"/>
      <c r="E985" s="5"/>
    </row>
    <row r="986" ht="12.75" spans="1:5">
      <c r="A986" s="5"/>
      <c r="B986" s="5"/>
      <c r="C986" s="5"/>
      <c r="D986" s="5"/>
      <c r="E986" s="5"/>
    </row>
    <row r="987" ht="12.75" spans="1:5">
      <c r="A987" s="5"/>
      <c r="B987" s="5"/>
      <c r="C987" s="5"/>
      <c r="D987" s="5"/>
      <c r="E987" s="5"/>
    </row>
    <row r="988" ht="12.75" spans="1:5">
      <c r="A988" s="5"/>
      <c r="B988" s="5"/>
      <c r="C988" s="5"/>
      <c r="D988" s="5"/>
      <c r="E988" s="5"/>
    </row>
    <row r="989" ht="12.75" spans="1:5">
      <c r="A989" s="5"/>
      <c r="B989" s="5"/>
      <c r="C989" s="5"/>
      <c r="D989" s="5"/>
      <c r="E989" s="5"/>
    </row>
    <row r="990" ht="12.75" spans="1:5">
      <c r="A990" s="5"/>
      <c r="B990" s="5"/>
      <c r="C990" s="5"/>
      <c r="D990" s="5"/>
      <c r="E990" s="5"/>
    </row>
    <row r="991" ht="12.75" spans="1:5">
      <c r="A991" s="5"/>
      <c r="B991" s="5"/>
      <c r="C991" s="5"/>
      <c r="D991" s="5"/>
      <c r="E991" s="5"/>
    </row>
    <row r="992" ht="12.75" spans="1:5">
      <c r="A992" s="5"/>
      <c r="B992" s="5"/>
      <c r="C992" s="5"/>
      <c r="D992" s="5"/>
      <c r="E992" s="5"/>
    </row>
    <row r="993" ht="12.75" spans="1:5">
      <c r="A993" s="5"/>
      <c r="B993" s="5"/>
      <c r="C993" s="5"/>
      <c r="D993" s="5"/>
      <c r="E993" s="5"/>
    </row>
    <row r="994" ht="12.75" spans="1:5">
      <c r="A994" s="5"/>
      <c r="B994" s="5"/>
      <c r="C994" s="5"/>
      <c r="D994" s="5"/>
      <c r="E994" s="5"/>
    </row>
    <row r="995" ht="12.75" spans="1:5">
      <c r="A995" s="5"/>
      <c r="B995" s="5"/>
      <c r="C995" s="5"/>
      <c r="D995" s="5"/>
      <c r="E995" s="5"/>
    </row>
    <row r="996" ht="12.75" spans="1:5">
      <c r="A996" s="5"/>
      <c r="B996" s="5"/>
      <c r="C996" s="5"/>
      <c r="D996" s="5"/>
      <c r="E996" s="5"/>
    </row>
    <row r="997" ht="12.75" spans="1:5">
      <c r="A997" s="5"/>
      <c r="B997" s="5"/>
      <c r="C997" s="5"/>
      <c r="D997" s="5"/>
      <c r="E997" s="5"/>
    </row>
    <row r="998" ht="12.75" spans="1:5">
      <c r="A998" s="5"/>
      <c r="B998" s="5"/>
      <c r="C998" s="5"/>
      <c r="D998" s="5"/>
      <c r="E998" s="5"/>
    </row>
    <row r="999" ht="12.75" spans="1:5">
      <c r="A999" s="5"/>
      <c r="B999" s="5"/>
      <c r="C999" s="5"/>
      <c r="D999" s="5"/>
      <c r="E999" s="5"/>
    </row>
    <row r="1000" ht="12.75" spans="1:5">
      <c r="A1000" s="5"/>
      <c r="B1000" s="5"/>
      <c r="C1000" s="5"/>
      <c r="D1000" s="5"/>
      <c r="E1000" s="5"/>
    </row>
  </sheetData>
  <hyperlinks>
    <hyperlink ref="C2" r:id="rId1" display="=IFERROR(@__xludf.DUMMYFUNCTION(&quot;&quot;&quot;COMPUTED_VALUE&quot;&quot;&quot;),&quot;https://vt.tiktok.com/ZSHTSGF1RdBMR-aBJvV/&quot;)"/>
    <hyperlink ref="C3" r:id="rId2" display="=IFERROR(@__xludf.DUMMYFUNCTION(&quot;&quot;&quot;COMPUTED_VALUE&quot;&quot;&quot;),&quot;vt.tiktok.com/ZSHTWhTXFW3Cn-WEHFT/&quot;)"/>
    <hyperlink ref="C4" r:id="rId3" display="=IFERROR(@__xludf.DUMMYFUNCTION(&quot;&quot;&quot;COMPUTED_VALUE&quot;&quot;&quot;),&quot;vt.tiktok.com/ZSHTWkBuCmPM2-3DRXM/&quot;)"/>
    <hyperlink ref="C5" r:id="rId4" display="=IFERROR(@__xludf.DUMMYFUNCTION(&quot;&quot;&quot;COMPUTED_VALUE&quot;&quot;&quot;),&quot;vt.tiktok.com/ZSHTWBBV8D8Eh-a50RB/&quot;)"/>
    <hyperlink ref="C6" r:id="rId5" display="=IFERROR(@__xludf.DUMMYFUNCTION(&quot;&quot;&quot;COMPUTED_VALUE&quot;&quot;&quot;),&quot;vt.tiktok.com/ZSHTWB75PKJKv-R4yyx/&quot;)"/>
    <hyperlink ref="C7" r:id="rId6" display="=IFERROR(@__xludf.DUMMYFUNCTION(&quot;&quot;&quot;COMPUTED_VALUE&quot;&quot;&quot;),&quot;https://vt.tiktok.com/ZSHTKjEU54H9x-JykWj/&quot;)"/>
    <hyperlink ref="C8" r:id="rId7" display="=IFERROR(@__xludf.DUMMYFUNCTION(&quot;&quot;&quot;COMPUTED_VALUE&quot;&quot;&quot;),&quot;vt.tiktok.com/ZSHTK6M3bAhdr-cZFF3/&quot;)"/>
    <hyperlink ref="C9" r:id="rId8" display="=IFERROR(@__xludf.DUMMYFUNCTION(&quot;&quot;&quot;COMPUTED_VALUE&quot;&quot;&quot;),&quot;vt.tiktok.com/ZSHTWDeV9Rqtb-5539m/&quot;)"/>
    <hyperlink ref="C10" r:id="rId9" display="=IFERROR(@__xludf.DUMMYFUNCTION(&quot;&quot;&quot;COMPUTED_VALUE&quot;&quot;&quot;),&quot;vt.tiktok.com/ZSHTWUeg6UmJC-uucHo/&quot;)"/>
    <hyperlink ref="C11" r:id="rId10" display="=IFERROR(@__xludf.DUMMYFUNCTION(&quot;&quot;&quot;COMPUTED_VALUE&quot;&quot;&quot;),&quot;vt.tiktok.com/ZSHKfmxmn3dkU-lM2va/&quot;)"/>
    <hyperlink ref="C12" r:id="rId11" display="=IFERROR(@__xludf.DUMMYFUNCTION(&quot;&quot;&quot;COMPUTED_VALUE&quot;&quot;&quot;),&quot;vt.tiktok.com/ZSHTWDHFAr154-r2Wt0/&quot;)"/>
    <hyperlink ref="C13" r:id="rId12" display="=IFERROR(@__xludf.DUMMYFUNCTION(&quot;&quot;&quot;COMPUTED_VALUE&quot;&quot;&quot;),&quot;vt.tiktok.com/ZSHTWDG6S7MnY-rXqCx/&quot;)"/>
    <hyperlink ref="C14" r:id="rId13" display="=IFERROR(@__xludf.DUMMYFUNCTION(&quot;&quot;&quot;COMPUTED_VALUE&quot;&quot;&quot;),&quot;vt.tiktok.com/ZSHTKYQC5FvNT-HS5bB/&quot;)"/>
    <hyperlink ref="C15" r:id="rId14" display="=IFERROR(@__xludf.DUMMYFUNCTION(&quot;&quot;&quot;COMPUTED_VALUE&quot;&quot;&quot;),&quot;vt.tiktok.com/ZSHwkecXmVAdA-x6ZoT/&quot;)"/>
    <hyperlink ref="C16" r:id="rId15" display="=IFERROR(@__xludf.DUMMYFUNCTION(&quot;&quot;&quot;COMPUTED_VALUE&quot;&quot;&quot;),&quot;vt.tiktok.com/ZSHwk8uuQFVwG-q1Ijb/&quot;)"/>
    <hyperlink ref="C17" r:id="rId16" display="=IFERROR(@__xludf.DUMMYFUNCTION(&quot;&quot;&quot;COMPUTED_VALUE&quot;&quot;&quot;),&quot;vt.tiktok.com/ZSHwkLD9csaD5-g5bo7/&quot;)"/>
    <hyperlink ref="C18" r:id="rId17" display="=IFERROR(@__xludf.DUMMYFUNCTION(&quot;&quot;&quot;COMPUTED_VALUE&quot;&quot;&quot;),&quot;https://vt.tiktok.com/ZSHTSpYf1fD5W-4BheX/&quot;)"/>
    <hyperlink ref="C19" r:id="rId18" display="=IFERROR(@__xludf.DUMMYFUNCTION(&quot;&quot;&quot;COMPUTED_VALUE&quot;&quot;&quot;),&quot;https://vt.tiktok.com/ZSHTSsyobELAK-ZCmPp/&quot;)"/>
    <hyperlink ref="C20" r:id="rId19" display="=IFERROR(@__xludf.DUMMYFUNCTION(&quot;&quot;&quot;COMPUTED_VALUE&quot;&quot;&quot;),&quot;https://vt.tiktok.com/ZSHTSsooRAd11-SFFl5/&quot;)"/>
    <hyperlink ref="C21" r:id="rId20" display="=IFERROR(@__xludf.DUMMYFUNCTION(&quot;&quot;&quot;COMPUTED_VALUE&quot;&quot;&quot;),&quot;https://vt.tiktok.com/ZSHTStj4VAGph-l6qu8/&quot;)"/>
    <hyperlink ref="C22" r:id="rId21" display="=IFERROR(@__xludf.DUMMYFUNCTION(&quot;&quot;&quot;COMPUTED_VALUE&quot;&quot;&quot;),&quot;https://vt.tiktok.com/ZSHTStkAQqV8j-c9SWi/&quot;)"/>
    <hyperlink ref="C23" r:id="rId22" display="=IFERROR(@__xludf.DUMMYFUNCTION(&quot;&quot;&quot;COMPUTED_VALUE&quot;&quot;&quot;),&quot;https://vt.tiktok.com/ZSHTSnoGPqVEs-OoAQl/&quot;)"/>
    <hyperlink ref="C24" r:id="rId23" display="=IFERROR(@__xludf.DUMMYFUNCTION(&quot;&quot;&quot;COMPUTED_VALUE&quot;&quot;&quot;),&quot;https://vt.tiktok.com/ZSHTg76Jx53na-o7qtm/&quot;)"/>
    <hyperlink ref="C25" r:id="rId24" display="=IFERROR(@__xludf.DUMMYFUNCTION(&quot;&quot;&quot;COMPUTED_VALUE&quot;&quot;&quot;),&quot;https://vt.tiktok.com/ZSHwAMDtA8jhH-OLzm6/&quot;)"/>
    <hyperlink ref="C26" r:id="rId25" display="=IFERROR(@__xludf.DUMMYFUNCTION(&quot;&quot;&quot;COMPUTED_VALUE&quot;&quot;&quot;),&quot;https://vt.tiktok.com/ZSHTSbo3w6mXD-cozI2/&quot;)"/>
    <hyperlink ref="C27" r:id="rId26" display="=IFERROR(@__xludf.DUMMYFUNCTION(&quot;&quot;&quot;COMPUTED_VALUE&quot;&quot;&quot;),&quot;https://vt.tiktok.com/ZSHTSneAsfaEs-TqgvN/&quot;)"/>
    <hyperlink ref="C28" r:id="rId27" display="=IFERROR(@__xludf.DUMMYFUNCTION(&quot;&quot;&quot;COMPUTED_VALUE&quot;&quot;&quot;),&quot;vt.tiktok.com/ZSHTWSmTnRXo8-XlASB/&quot;)"/>
    <hyperlink ref="C29" r:id="rId28" display="=IFERROR(@__xludf.DUMMYFUNCTION(&quot;&quot;&quot;COMPUTED_VALUE&quot;&quot;&quot;),&quot;https://vt.tiktok.com/ZSHTWSw5PFFtU-MpYVp/&quot;)"/>
    <hyperlink ref="C30" r:id="rId29" display="=IFERROR(@__xludf.DUMMYFUNCTION(&quot;&quot;&quot;COMPUTED_VALUE&quot;&quot;&quot;),&quot;vt.tiktok.com/ZSHTWANfKajGR-tAF94/&quot;)"/>
    <hyperlink ref="C31" r:id="rId30" display="=IFERROR(@__xludf.DUMMYFUNCTION(&quot;&quot;&quot;COMPUTED_VALUE&quot;&quot;&quot;),&quot;https://vt.tiktok.com/ZSHTStVC6km29-Sn06N/&quot;)"/>
    <hyperlink ref="C32" r:id="rId31" display="=IFERROR(@__xludf.DUMMYFUNCTION(&quot;&quot;&quot;COMPUTED_VALUE&quot;&quot;&quot;),&quot;https://vt.tiktok.com/ZSHTaUJ9eHPUJ-Dbwim/&quot;)"/>
    <hyperlink ref="C33" r:id="rId32" display="=IFERROR(@__xludf.DUMMYFUNCTION(&quot;&quot;&quot;COMPUTED_VALUE&quot;&quot;&quot;),&quot;https://vt.tiktok.com/ZSHTaUwUdXXYF-bt7Ie/&quot;)"/>
    <hyperlink ref="C34" r:id="rId33" display="=IFERROR(@__xludf.DUMMYFUNCTION(&quot;&quot;&quot;COMPUTED_VALUE&quot;&quot;&quot;),&quot;https://vt.tiktok.com/ZSHTVL8T2jEMq-8MFbs/&quot;)"/>
    <hyperlink ref="C35" r:id="rId34" display="=IFERROR(@__xludf.DUMMYFUNCTION(&quot;&quot;&quot;COMPUTED_VALUE&quot;&quot;&quot;),&quot;vt.tiktok.com/ZSHEeAJw5MB8d-klbLb/&quot;)"/>
    <hyperlink ref="C36" r:id="rId35" display="=IFERROR(@__xludf.DUMMYFUNCTION(&quot;&quot;&quot;COMPUTED_VALUE&quot;&quot;&quot;),&quot;https://vt.tiktok.com/ZSHTVeKpb6R9w-gaMbK/&quot;)"/>
    <hyperlink ref="C37" r:id="rId36" display="=IFERROR(@__xludf.DUMMYFUNCTION(&quot;&quot;&quot;COMPUTED_VALUE&quot;&quot;&quot;),&quot;https://vt.tiktok.com/ZSHTgnmkLBUbw-WKVcU/&quot;)"/>
    <hyperlink ref="C38" r:id="rId37" display="=IFERROR(@__xludf.DUMMYFUNCTION(&quot;&quot;&quot;COMPUTED_VALUE&quot;&quot;&quot;),&quot;https://vt.tiktok.com/ZSHTWAXnq6cE5-Y32lO/&quot;)"/>
    <hyperlink ref="C39" r:id="rId38" display="=IFERROR(@__xludf.DUMMYFUNCTION(&quot;&quot;&quot;COMPUTED_VALUE&quot;&quot;&quot;),&quot;vt.tiktok.com/ZSHwAMcMKPLHu-fBC1g/&quot;)"/>
    <hyperlink ref="C40" r:id="rId39" display="=IFERROR(@__xludf.DUMMYFUNCTION(&quot;&quot;&quot;COMPUTED_VALUE&quot;&quot;&quot;),&quot;https://vt.tiktok.com/ZSHcFWcWBFpcP-xt8MJ/&quot;)"/>
    <hyperlink ref="C41" r:id="rId40" display="=IFERROR(@__xludf.DUMMYFUNCTION(&quot;&quot;&quot;COMPUTED_VALUE&quot;&quot;&quot;),&quot;https://vt.tiktok.com/ZSHcF38gMMbuK-BTlQT/&quot;)"/>
    <hyperlink ref="C42" r:id="rId41" display="=IFERROR(@__xludf.DUMMYFUNCTION(&quot;&quot;&quot;COMPUTED_VALUE&quot;&quot;&quot;),&quot;https://vt.tiktok.com/ZSHcgSLA5fd3x-npGIG/&quot;)"/>
    <hyperlink ref="C43" r:id="rId42" display="=IFERROR(@__xludf.DUMMYFUNCTION(&quot;&quot;&quot;COMPUTED_VALUE&quot;&quot;&quot;),&quot;https://vt.tiktok.com/ZSHcgD4bSj2wY-GCMUR/&quot;)"/>
    <hyperlink ref="C44" r:id="rId43" display="=IFERROR(@__xludf.DUMMYFUNCTION(&quot;&quot;&quot;COMPUTED_VALUE&quot;&quot;&quot;),&quot;https://vt.tiktok.com/ZSHTSsJxuqWCj-YJUuj/&quot;)"/>
    <hyperlink ref="C45" r:id="rId44" display="=IFERROR(@__xludf.DUMMYFUNCTION(&quot;&quot;&quot;COMPUTED_VALUE&quot;&quot;&quot;),&quot;https://vt.tiktok.com/ZSHcgUeYGdLXC-bf6a2/&quot;)"/>
    <hyperlink ref="C46" r:id="rId45" display="=IFERROR(@__xludf.DUMMYFUNCTION(&quot;&quot;&quot;COMPUTED_VALUE&quot;&quot;&quot;),&quot;vt.tiktok.com/ZSH3AQ9SW7NED-RxqPB/&quot;)"/>
    <hyperlink ref="C47" r:id="rId46" display="=IFERROR(@__xludf.DUMMYFUNCTION(&quot;&quot;&quot;COMPUTED_VALUE&quot;&quot;&quot;),&quot;https://vt.tiktok.com/ZSH3DeEGCuEcH-IOEQC/&quot;)"/>
    <hyperlink ref="C48" r:id="rId47" display="=IFERROR(@__xludf.DUMMYFUNCTION(&quot;&quot;&quot;COMPUTED_VALUE&quot;&quot;&quot;),&quot;https://vt.tiktok.com/ZSH3DdteawToA-c6kVT/&quot;)"/>
    <hyperlink ref="C49" r:id="rId48" display="=IFERROR(@__xludf.DUMMYFUNCTION(&quot;&quot;&quot;COMPUTED_VALUE&quot;&quot;&quot;),&quot;vt.tiktok.com/ZSH3DLu92enht-KPJ71/&quot;)"/>
    <hyperlink ref="C50" r:id="rId49" display="=IFERROR(@__xludf.DUMMYFUNCTION(&quot;&quot;&quot;COMPUTED_VALUE&quot;&quot;&quot;),&quot;vt.tiktok.com/ZSH3DeNgvWVNA-EFYfC/&quot;)"/>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00"/>
  <sheetViews>
    <sheetView workbookViewId="0">
      <pane ySplit="1" topLeftCell="A2" activePane="bottomLeft" state="frozen"/>
      <selection/>
      <selection pane="bottomLeft" activeCell="B3" sqref="B3"/>
    </sheetView>
  </sheetViews>
  <sheetFormatPr defaultColWidth="12.6285714285714" defaultRowHeight="15.75" customHeight="1" outlineLevelCol="5"/>
  <cols>
    <col min="2" max="2" width="23.8761904761905" customWidth="1"/>
    <col min="3" max="6" width="19.1333333333333" customWidth="1"/>
    <col min="7" max="7" width="18.1333333333333" customWidth="1"/>
  </cols>
  <sheetData>
    <row r="1" ht="12.75" spans="1:6">
      <c r="A1" s="1" t="str">
        <f>IFERROR(__xludf.DUMMYFUNCTION("QUERY(
  IMPORTRANGE(""https://docs.google.com/spreadsheets/d/1-HW-0kx8jOa8VOAvgqgjeT8Y1MOs5bhRw9xJzeGk8IM/edit?usp=sharing"",""'Tổng'!A:Z""),
  ""select Col1, Col3, Col5, Col18, Col19 where Col14='Đã có hàng'order by Col18 asc"",
  1
)"),"Ngày")</f>
        <v>Ngày</v>
      </c>
      <c r="B1" s="1" t="str">
        <f>IFERROR(__xludf.DUMMYFUNCTION("""COMPUTED_VALUE"""),"Tên sản phẩm")</f>
        <v>Tên sản phẩm</v>
      </c>
      <c r="C1" s="1" t="str">
        <f>IFERROR(__xludf.DUMMYFUNCTION("""COMPUTED_VALUE"""),"Link sp")</f>
        <v>Link sp</v>
      </c>
      <c r="D1" s="1" t="str">
        <f>IFERROR(__xludf.DUMMYFUNCTION("""COMPUTED_VALUE"""),"Mã sản phẩm")</f>
        <v>Mã sản phẩm</v>
      </c>
      <c r="E1" s="1" t="str">
        <f>IFERROR(__xludf.DUMMYFUNCTION("""COMPUTED_VALUE"""),"Content")</f>
        <v>Content</v>
      </c>
      <c r="F1" s="2"/>
    </row>
    <row r="2" ht="120.75" customHeight="1" spans="1:6">
      <c r="A2" s="9">
        <f>IFERROR(__xludf.DUMMYFUNCTION("""COMPUTED_VALUE"""),45994)</f>
        <v>45994</v>
      </c>
      <c r="B2" s="5" t="str">
        <f>IFERROR(__xludf.DUMMYFUNCTION("""COMPUTED_VALUE"""),"Iron coat door behind the door nail-free no trace hook hanging door on the door back type coat hook clothes hook hanging towel rack hanger rack Organiser Bilog")</f>
        <v>Iron coat door behind the door nail-free no trace hook hanging door on the door back type coat hook clothes hook hanging towel rack hanger rack Organiser Bilog</v>
      </c>
      <c r="C2" s="6" t="str">
        <f>IFERROR(__xludf.DUMMYFUNCTION("""COMPUTED_VALUE"""),"https://vt.tiktok.com/ZSH33gDKeCE38-KKZw9/")</f>
        <v>https://vt.tiktok.com/ZSH33gDKeCE38-KKZw9/</v>
      </c>
      <c r="D2" s="5" t="str">
        <f>IFERROR(__xludf.DUMMYFUNCTION("""COMPUTED_VALUE"""),"HS_BR_BA_001")</f>
        <v>HS_BR_BA_001</v>
      </c>
      <c r="E2" s="5" t="str">
        <f>IFERROR(__xludf.DUMMYFUNCTION("""COMPUTED_VALUE"""),"Over Door Hook Rack #doorhook #organizer")</f>
        <v>Over Door Hook Rack #doorhook #organizer</v>
      </c>
      <c r="F2" s="3"/>
    </row>
    <row r="3" ht="76.5" spans="1:6">
      <c r="A3" s="9">
        <f>IFERROR(__xludf.DUMMYFUNCTION("""COMPUTED_VALUE"""),45994)</f>
        <v>45994</v>
      </c>
      <c r="B3" s="5" t="str">
        <f>IFERROR(__xludf.DUMMYFUNCTION("""COMPUTED_VALUE"""),"Punch-free Shower Corner Shelf Shampoo
Bathroom Shelf Wall-mounted Metal Kitchen
Shelf Organiser Racks Multicolor")</f>
        <v>Punch-free Shower Corner Shelf Shampoo
Bathroom Shelf Wall-mounted Metal Kitchen
Shelf Organiser Racks Multicolor</v>
      </c>
      <c r="C3" s="6" t="str">
        <f>IFERROR(__xludf.DUMMYFUNCTION("""COMPUTED_VALUE"""),"vt.tiktok.com/ZSHTn4KNMuCWS-Ch5TU/")</f>
        <v>vt.tiktok.com/ZSHTn4KNMuCWS-Ch5TU/</v>
      </c>
      <c r="D3" s="5" t="str">
        <f>IFERROR(__xludf.DUMMYFUNCTION("""COMPUTED_VALUE"""),"HS_BR_BA_002")</f>
        <v>HS_BR_BA_002</v>
      </c>
      <c r="E3" s="5" t="str">
        <f>IFERROR(__xludf.DUMMYFUNCTION("""COMPUTED_VALUE"""),"Shower Corner Shelf #bathroomshelf #organizer")</f>
        <v>Shower Corner Shelf #bathroomshelf #organizer</v>
      </c>
      <c r="F3" s="3"/>
    </row>
    <row r="4" ht="102" spans="1:6">
      <c r="A4" s="9">
        <f>IFERROR(__xludf.DUMMYFUNCTION("""COMPUTED_VALUE"""),45994)</f>
        <v>45994</v>
      </c>
      <c r="B4" s="5" t="str">
        <f>IFERROR(__xludf.DUMMYFUNCTION("""COMPUTED_VALUE"""),"Adhesive Bathroom Shelf Wall Mounted Storage Rack Without Drill Soap Holder with Cover Dustproof and Waterproof Soap Box toothbrush case soapcase for travel sustainable with lid soap dishes")</f>
        <v>Adhesive Bathroom Shelf Wall Mounted Storage Rack Without Drill Soap Holder with Cover Dustproof and Waterproof Soap Box toothbrush case soapcase for travel sustainable with lid soap dishes</v>
      </c>
      <c r="C4" s="6" t="str">
        <f>IFERROR(__xludf.DUMMYFUNCTION("""COMPUTED_VALUE"""),"vt.tiktok.com/ZSHTnVgqajpEW-Ps3gE/")</f>
        <v>vt.tiktok.com/ZSHTnVgqajpEW-Ps3gE/</v>
      </c>
      <c r="D4" s="5" t="str">
        <f>IFERROR(__xludf.DUMMYFUNCTION("""COMPUTED_VALUE"""),"HS_BR_BA_004")</f>
        <v>HS_BR_BA_004</v>
      </c>
      <c r="E4" s="5" t="str">
        <f>IFERROR(__xludf.DUMMYFUNCTION("""COMPUTED_VALUE"""),"Adhesive Bathroom Shelf #bathroomrack #organizer")</f>
        <v>Adhesive Bathroom Shelf #bathroomrack #organizer</v>
      </c>
      <c r="F4" s="3"/>
    </row>
    <row r="5" ht="89.25" spans="1:6">
      <c r="A5" s="9">
        <f>IFERROR(__xludf.DUMMYFUNCTION("""COMPUTED_VALUE"""),45994)</f>
        <v>45994</v>
      </c>
      <c r="B5" s="5" t="str">
        <f>IFERROR(__xludf.DUMMYFUNCTION("""COMPUTED_VALUE"""),"Clear Plastic Pump Bottles Kitchen Liquid Soap Dispenser Hand Sanitizer Shower Empty Pump Shampoo Dish Soap Container Bathroom Shower 500ML/300ML")</f>
        <v>Clear Plastic Pump Bottles Kitchen Liquid Soap Dispenser Hand Sanitizer Shower Empty Pump Shampoo Dish Soap Container Bathroom Shower 500ML/300ML</v>
      </c>
      <c r="C5" s="6" t="str">
        <f>IFERROR(__xludf.DUMMYFUNCTION("""COMPUTED_VALUE"""),"vt.tiktok.com/ZSHTnbPERWSQj-pMmbz/")</f>
        <v>vt.tiktok.com/ZSHTnbPERWSQj-pMmbz/</v>
      </c>
      <c r="D5" s="5" t="str">
        <f>IFERROR(__xludf.DUMMYFUNCTION("""COMPUTED_VALUE"""),"HS_BR_BA_005")</f>
        <v>HS_BR_BA_005</v>
      </c>
      <c r="E5" s="5" t="str">
        <f>IFERROR(__xludf.DUMMYFUNCTION("""COMPUTED_VALUE"""),"Clear Pump Bottle 500ML #soapdispenser #bathroomaccessory")</f>
        <v>Clear Pump Bottle 500ML #soapdispenser #bathroomaccessory</v>
      </c>
      <c r="F5" s="3"/>
    </row>
    <row r="6" ht="63.75" spans="1:6">
      <c r="A6" s="9">
        <f>IFERROR(__xludf.DUMMYFUNCTION("""COMPUTED_VALUE"""),45994)</f>
        <v>45994</v>
      </c>
      <c r="B6" s="5" t="str">
        <f>IFERROR(__xludf.DUMMYFUNCTION("""COMPUTED_VALUE"""),"IKEA Design Super Absorbent Anti Slip Bath Mat Bathroom Non-slip Floor Mats Quick Dry Shower Rug")</f>
        <v>IKEA Design Super Absorbent Anti Slip Bath Mat Bathroom Non-slip Floor Mats Quick Dry Shower Rug</v>
      </c>
      <c r="C6" s="6" t="str">
        <f>IFERROR(__xludf.DUMMYFUNCTION("""COMPUTED_VALUE"""),"vt.tiktok.com/ZSHTno6Jvh6E5-OhBap/")</f>
        <v>vt.tiktok.com/ZSHTno6Jvh6E5-OhBap/</v>
      </c>
      <c r="D6" s="5" t="str">
        <f>IFERROR(__xludf.DUMMYFUNCTION("""COMPUTED_VALUE"""),"HS_BR_BA_006")</f>
        <v>HS_BR_BA_006</v>
      </c>
      <c r="E6" s="5" t="str">
        <f>IFERROR(__xludf.DUMMYFUNCTION("""COMPUTED_VALUE"""),"Anti-Slip Bath Mat #bathmat #showerrug")</f>
        <v>Anti-Slip Bath Mat #bathmat #showerrug</v>
      </c>
      <c r="F6" s="3"/>
    </row>
    <row r="7" ht="51" spans="1:6">
      <c r="A7" s="9">
        <f>IFERROR(__xludf.DUMMYFUNCTION("""COMPUTED_VALUE"""),45994)</f>
        <v>45994</v>
      </c>
      <c r="B7" s="5" t="str">
        <f>IFERROR(__xludf.DUMMYFUNCTION("""COMPUTED_VALUE"""),"Shaggy Cashmere Absorbent Bath Mat Anti Slip 40X60 cm Floor Rug for Bathroom Door Mats")</f>
        <v>Shaggy Cashmere Absorbent Bath Mat Anti Slip 40X60 cm Floor Rug for Bathroom Door Mats</v>
      </c>
      <c r="C7" s="6" t="str">
        <f>IFERROR(__xludf.DUMMYFUNCTION("""COMPUTED_VALUE"""),"https://vt.tiktok.com/ZSHTW1YHfKjd5-6jLP1/")</f>
        <v>https://vt.tiktok.com/ZSHTW1YHfKjd5-6jLP1/</v>
      </c>
      <c r="D7" s="5" t="str">
        <f>IFERROR(__xludf.DUMMYFUNCTION("""COMPUTED_VALUE"""),"HS_BR_BA_007")</f>
        <v>HS_BR_BA_007</v>
      </c>
      <c r="E7" s="5" t="str">
        <f>IFERROR(__xludf.DUMMYFUNCTION("""COMPUTED_VALUE"""),"Shaggy Bath Mat #bathmat #showerrug")</f>
        <v>Shaggy Bath Mat #bathmat #showerrug</v>
      </c>
      <c r="F7" s="3"/>
    </row>
    <row r="8" ht="76.5" spans="1:6">
      <c r="A8" s="9">
        <f>IFERROR(__xludf.DUMMYFUNCTION("""COMPUTED_VALUE"""),45994)</f>
        <v>45994</v>
      </c>
      <c r="B8" s="5" t="str">
        <f>IFERROR(__xludf.DUMMYFUNCTION("""COMPUTED_VALUE"""),"Bathroom Storage Stand Holder Corner Shelf Cute White Doll Wall Hanging Kitchen Rack
Adhesive Wall Plastic Organizer Toilet")</f>
        <v>Bathroom Storage Stand Holder Corner Shelf Cute White Doll Wall Hanging Kitchen Rack
Adhesive Wall Plastic Organizer Toilet</v>
      </c>
      <c r="C8" s="6" t="str">
        <f>IFERROR(__xludf.DUMMYFUNCTION("""COMPUTED_VALUE"""),"vt.tiktok.com/ZSHT31YDuQ7q2-dzrRd/")</f>
        <v>vt.tiktok.com/ZSHT31YDuQ7q2-dzrRd/</v>
      </c>
      <c r="D8" s="5" t="str">
        <f>IFERROR(__xludf.DUMMYFUNCTION("""COMPUTED_VALUE"""),"HS_BR_BA_008")</f>
        <v>HS_BR_BA_008</v>
      </c>
      <c r="E8" s="5" t="str">
        <f>IFERROR(__xludf.DUMMYFUNCTION("""COMPUTED_VALUE"""),"Bathroom Corner Shelf #bathroomshelf #organizer")</f>
        <v>Bathroom Corner Shelf #bathroomshelf #organizer</v>
      </c>
      <c r="F8" s="3"/>
    </row>
    <row r="9" ht="114.75" spans="1:6">
      <c r="A9" s="9">
        <f>IFERROR(__xludf.DUMMYFUNCTION("""COMPUTED_VALUE"""),45995)</f>
        <v>45995</v>
      </c>
      <c r="B9" s="5" t="str">
        <f>IFERROR(__xludf.DUMMYFUNCTION("""COMPUTED_VALUE"""),"Rotating toothbrush and toothpaste storage rack Bathroom 360 Rotatable Barrel storage rack Storage Drainer Kitchen Rack Rotating spoon organizer Black Utensils Mounted For Spoon Fork
Chopstick MΗ")</f>
        <v>Rotating toothbrush and toothpaste storage rack Bathroom 360 Rotatable Barrel storage rack Storage Drainer Kitchen Rack Rotating spoon organizer Black Utensils Mounted For Spoon Fork
Chopstick MΗ</v>
      </c>
      <c r="C9" s="6" t="str">
        <f>IFERROR(__xludf.DUMMYFUNCTION("""COMPUTED_VALUE"""),"vt.tiktok.com/ZSHT3JV5p6aup-flQzs/")</f>
        <v>vt.tiktok.com/ZSHT3JV5p6aup-flQzs/</v>
      </c>
      <c r="D9" s="5" t="str">
        <f>IFERROR(__xludf.DUMMYFUNCTION("""COMPUTED_VALUE"""),"HS_BR_BA_010")</f>
        <v>HS_BR_BA_010</v>
      </c>
      <c r="E9" s="5" t="str">
        <f>IFERROR(__xludf.DUMMYFUNCTION("""COMPUTED_VALUE"""),"Rotating Bathroom Rack #bathroomshelf #organizer")</f>
        <v>Rotating Bathroom Rack #bathroomshelf #organizer</v>
      </c>
      <c r="F9" s="3"/>
    </row>
    <row r="10" ht="76.5" spans="1:6">
      <c r="A10" s="9">
        <f>IFERROR(__xludf.DUMMYFUNCTION("""COMPUTED_VALUE"""),46000)</f>
        <v>46000</v>
      </c>
      <c r="B10" s="5" t="str">
        <f>IFERROR(__xludf.DUMMYFUNCTION("""COMPUTED_VALUE"""),"Felt Storage Basket Large Toy Storage Box Cute Lion Collapsible Toy Baskets Home Laundry
Bucket Dirty Clothes Basket Organizer")</f>
        <v>Felt Storage Basket Large Toy Storage Box Cute Lion Collapsible Toy Baskets Home Laundry
Bucket Dirty Clothes Basket Organizer</v>
      </c>
      <c r="C10" s="6" t="str">
        <f>IFERROR(__xludf.DUMMYFUNCTION("""COMPUTED_VALUE"""),"vt.tiktok.com/ZSHwr7RbfJxQm-iyjTA/")</f>
        <v>vt.tiktok.com/ZSHwr7RbfJxQm-iyjTA/</v>
      </c>
      <c r="D10" s="5" t="str">
        <f>IFERROR(__xludf.DUMMYFUNCTION("""COMPUTED_VALUE"""),"HS_BR_BA_011")</f>
        <v>HS_BR_BA_011</v>
      </c>
      <c r="E10" s="5" t="str">
        <f>IFERROR(__xludf.DUMMYFUNCTION("""COMPUTED_VALUE"""),"Felt Storage Basket
#storagebasket #homeorganizer")</f>
        <v>Felt Storage Basket
#storagebasket #homeorganizer</v>
      </c>
      <c r="F10" s="3"/>
    </row>
    <row r="11" ht="63.75" spans="1:6">
      <c r="A11" s="9">
        <f>IFERROR(__xludf.DUMMYFUNCTION("""COMPUTED_VALUE"""),46000)</f>
        <v>46000</v>
      </c>
      <c r="B11" s="5" t="str">
        <f>IFERROR(__xludf.DUMMYFUNCTION("""COMPUTED_VALUE"""),"Portable Shower Caddy Basket Portable Storage Baskets Tote Storage Organizer for Cleaning Supplies Plastic")</f>
        <v>Portable Shower Caddy Basket Portable Storage Baskets Tote Storage Organizer for Cleaning Supplies Plastic</v>
      </c>
      <c r="C11" s="6" t="str">
        <f>IFERROR(__xludf.DUMMYFUNCTION("""COMPUTED_VALUE"""),"vt.tiktok.com/ZSHwr7nMgQceL-mSUob/")</f>
        <v>vt.tiktok.com/ZSHwr7nMgQceL-mSUob/</v>
      </c>
      <c r="D11" s="5" t="str">
        <f>IFERROR(__xludf.DUMMYFUNCTION("""COMPUTED_VALUE"""),"HS_BR_BA_012")</f>
        <v>HS_BR_BA_012</v>
      </c>
      <c r="E11" s="5" t="str">
        <f>IFERROR(__xludf.DUMMYFUNCTION("""COMPUTED_VALUE"""),"Portable Shower Caddy
#bathroomorganizer #storagetote")</f>
        <v>Portable Shower Caddy
#bathroomorganizer #storagetote</v>
      </c>
      <c r="F11" s="3"/>
    </row>
    <row r="12" ht="38.25" spans="1:6">
      <c r="A12" s="9"/>
      <c r="B12" s="5" t="str">
        <f>IFERROR(__xludf.DUMMYFUNCTION("""COMPUTED_VALUE"""),"Compartment Soap Dispencer Plastic Silicone Wall")</f>
        <v>Compartment Soap Dispencer Plastic Silicone Wall</v>
      </c>
      <c r="C12" s="6" t="str">
        <f>IFERROR(__xludf.DUMMYFUNCTION("""COMPUTED_VALUE"""),"vt.tiktok.com/ZSHwTkKW98EQN-vKpPs/")</f>
        <v>vt.tiktok.com/ZSHwTkKW98EQN-vKpPs/</v>
      </c>
      <c r="D12" s="5" t="str">
        <f>IFERROR(__xludf.DUMMYFUNCTION("""COMPUTED_VALUE"""),"HS_BR_BA_014")</f>
        <v>HS_BR_BA_014</v>
      </c>
      <c r="E12" s="5" t="str">
        <f>IFERROR(__xludf.DUMMYFUNCTION("""COMPUTED_VALUE"""),"Wall Soap
#soapdispenser #wallmounted")</f>
        <v>Wall Soap
#soapdispenser #wallmounted</v>
      </c>
      <c r="F12" s="3"/>
    </row>
    <row r="13" ht="51" spans="1:6">
      <c r="A13" s="9">
        <f>IFERROR(__xludf.DUMMYFUNCTION("""COMPUTED_VALUE"""),45994)</f>
        <v>45994</v>
      </c>
      <c r="B13" s="5" t="str">
        <f>IFERROR(__xludf.DUMMYFUNCTION("""COMPUTED_VALUE"""),"12 in 1 Cotton White Towel With Box Designs Face towel/Back towel (12pcs)(28 * 48cm)")</f>
        <v>12 in 1 Cotton White Towel With Box Designs Face towel/Back towel (12pcs)(28 * 48cm)</v>
      </c>
      <c r="C13" s="6" t="str">
        <f>IFERROR(__xludf.DUMMYFUNCTION("""COMPUTED_VALUE"""),"vt.tiktok.com/ZSHTWNDbkExes-WfQqQ/")</f>
        <v>vt.tiktok.com/ZSHTWNDbkExes-WfQqQ/</v>
      </c>
      <c r="D13" s="5" t="str">
        <f>IFERROR(__xludf.DUMMYFUNCTION("""COMPUTED_VALUE"""),"HS_BR_TL_001")</f>
        <v>HS_BR_TL_001</v>
      </c>
      <c r="E13" s="5" t="str">
        <f>IFERROR(__xludf.DUMMYFUNCTION("""COMPUTED_VALUE"""),"12-in-1 Cotton Towel Set #towelforhome #bathroomaccessory")</f>
        <v>12-in-1 Cotton Towel Set #towelforhome #bathroomaccessory</v>
      </c>
      <c r="F13" s="3"/>
    </row>
    <row r="14" ht="127.5" spans="1:6">
      <c r="A14" s="9">
        <f>IFERROR(__xludf.DUMMYFUNCTION("""COMPUTED_VALUE"""),45994)</f>
        <v>45994</v>
      </c>
      <c r="B14" s="5" t="str">
        <f>IFERROR(__xludf.DUMMYFUNCTION("""COMPUTED_VALUE"""),"BUY 1 GET 1 Super Soft Microfiber Bath Towel
Adult Three Second Dry Bath Towel Bath Towel
Super Absorbent Beach Towel Soft Microfiber Plush Fabric Magic Absorbent Dry Wipe Bath Towel Fashion Towel Beach Towel adult
Microfiber Bath Towel")</f>
        <v>BUY 1 GET 1 Super Soft Microfiber Bath Towel
Adult Three Second Dry Bath Towel Bath Towel
Super Absorbent Beach Towel Soft Microfiber Plush Fabric Magic Absorbent Dry Wipe Bath Towel Fashion Towel Beach Towel adult
Microfiber Bath Towel</v>
      </c>
      <c r="C14" s="6" t="str">
        <f>IFERROR(__xludf.DUMMYFUNCTION("""COMPUTED_VALUE"""),"vt.tiktok.com/ZSHTWFLwdUANv-07tFR/")</f>
        <v>vt.tiktok.com/ZSHTWFLwdUANv-07tFR/</v>
      </c>
      <c r="D14" s="5" t="str">
        <f>IFERROR(__xludf.DUMMYFUNCTION("""COMPUTED_VALUE"""),"HS_BR_TL_002")</f>
        <v>HS_BR_TL_002</v>
      </c>
      <c r="E14" s="5" t="str">
        <f>IFERROR(__xludf.DUMMYFUNCTION("""COMPUTED_VALUE"""),"Microfiber Bath Towel #bathtowel #bathroomaccessory #bathroomaccessory")</f>
        <v>Microfiber Bath Towel #bathtowel #bathroomaccessory #bathroomaccessory</v>
      </c>
      <c r="F14" s="3"/>
    </row>
    <row r="15" ht="63.75" spans="1:6">
      <c r="A15" s="9">
        <f>IFERROR(__xludf.DUMMYFUNCTION("""COMPUTED_VALUE"""),45994)</f>
        <v>45994</v>
      </c>
      <c r="B15" s="5" t="str">
        <f>IFERROR(__xludf.DUMMYFUNCTION("""COMPUTED_VALUE"""),"2in1 Set Towel Gift High Quality Microfiber Hand/Face Towel Bath Towel Super Soft Comfortable Coral")</f>
        <v>2in1 Set Towel Gift High Quality Microfiber Hand/Face Towel Bath Towel Super Soft Comfortable Coral</v>
      </c>
      <c r="C15" s="6" t="str">
        <f>IFERROR(__xludf.DUMMYFUNCTION("""COMPUTED_VALUE"""),"vt.tiktok.com/ZSHTWFppPLQds-EtOmN/")</f>
        <v>vt.tiktok.com/ZSHTWFppPLQds-EtOmN/</v>
      </c>
      <c r="D15" s="5" t="str">
        <f>IFERROR(__xludf.DUMMYFUNCTION("""COMPUTED_VALUE"""),"HS_BR_TL_004")</f>
        <v>HS_BR_TL_004</v>
      </c>
      <c r="E15" s="5" t="str">
        <f>IFERROR(__xludf.DUMMYFUNCTION("""COMPUTED_VALUE"""),"2-in-1 Microfiber Towel Set #bathtowel #bathroomaccessory")</f>
        <v>2-in-1 Microfiber Towel Set #bathtowel #bathroomaccessory</v>
      </c>
      <c r="F15" s="3"/>
    </row>
    <row r="16" ht="102" spans="1:6">
      <c r="A16" s="9">
        <f>IFERROR(__xludf.DUMMYFUNCTION("""COMPUTED_VALUE"""),45994)</f>
        <v>45994</v>
      </c>
      <c r="B16" s="5" t="str">
        <f>IFERROR(__xludf.DUMMYFUNCTION("""COMPUTED_VALUE"""),"New Arrival!6PCS/Set Family-Box for Gift, Limited Time Offer!, Advanced Sense, Convex Toothbrushes with Wide Head gum protection, Mountain Type and Soft Bristles Home Use Oral")</f>
        <v>New Arrival!6PCS/Set Family-Box for Gift, Limited Time Offer!, Advanced Sense, Convex Toothbrushes with Wide Head gum protection, Mountain Type and Soft Bristles Home Use Oral</v>
      </c>
      <c r="C16" s="6" t="str">
        <f>IFERROR(__xludf.DUMMYFUNCTION("""COMPUTED_VALUE"""),"vt.tiktok.com/ZSHTW2hoxQPtq-7Zv5x/")</f>
        <v>vt.tiktok.com/ZSHTW2hoxQPtq-7Zv5x/</v>
      </c>
      <c r="D16" s="5" t="str">
        <f>IFERROR(__xludf.DUMMYFUNCTION("""COMPUTED_VALUE"""),"HS_BR_TL_005")</f>
        <v>HS_BR_TL_005</v>
      </c>
      <c r="E16" s="5" t="str">
        <f>IFERROR(__xludf.DUMMYFUNCTION("""COMPUTED_VALUE"""),"6PCS Family Toothbrush Set #toothbrush #oralcare")</f>
        <v>6PCS Family Toothbrush Set #toothbrush #oralcare</v>
      </c>
      <c r="F16" s="3"/>
    </row>
    <row r="17" ht="51" spans="1:6">
      <c r="A17" s="9">
        <f>IFERROR(__xludf.DUMMYFUNCTION("""COMPUTED_VALUE"""),45994)</f>
        <v>45994</v>
      </c>
      <c r="B17" s="5" t="str">
        <f>IFERROR(__xludf.DUMMYFUNCTION("""COMPUTED_VALUE"""),"200pcs box Double end Cotton Buds For Baby Mini Cotton Buds Disposable Baby Cotton Buds")</f>
        <v>200pcs box Double end Cotton Buds For Baby Mini Cotton Buds Disposable Baby Cotton Buds</v>
      </c>
      <c r="C17" s="6" t="str">
        <f>IFERROR(__xludf.DUMMYFUNCTION("""COMPUTED_VALUE"""),"https://vt.tiktok.com/ZSH33b8GtX8c1-7HJaj/")</f>
        <v>https://vt.tiktok.com/ZSH33b8GtX8c1-7HJaj/</v>
      </c>
      <c r="D17" s="5" t="str">
        <f>IFERROR(__xludf.DUMMYFUNCTION("""COMPUTED_VALUE"""),"HS_BR_TL_008")</f>
        <v>HS_BR_TL_008</v>
      </c>
      <c r="E17" s="5" t="str">
        <f>IFERROR(__xludf.DUMMYFUNCTION("""COMPUTED_VALUE"""),"Double End Cotton Buds 200pcs
#cottonbuds #cottonswab")</f>
        <v>Double End Cotton Buds 200pcs
#cottonbuds #cottonswab</v>
      </c>
      <c r="F17" s="3"/>
    </row>
    <row r="18" ht="76.5" spans="1:6">
      <c r="A18" s="9">
        <f>IFERROR(__xludf.DUMMYFUNCTION("""COMPUTED_VALUE"""),46011)</f>
        <v>46011</v>
      </c>
      <c r="B18" s="5" t="str">
        <f>IFERROR(__xludf.DUMMYFUNCTION("""COMPUTED_VALUE"""),"Cute Teddy Bear Folded Towel Hand Towel Cotton Face Towel with Free Mesh Bag Gift Set Wedding Gifts In Transparent Bags Bath
Sold by Fashion Decor")</f>
        <v>Cute Teddy Bear Folded Towel Hand Towel Cotton Face Towel with Free Mesh Bag Gift Set Wedding Gifts In Transparent Bags Bath
Sold by Fashion Decor</v>
      </c>
      <c r="C18" s="6" t="str">
        <f>IFERROR(__xludf.DUMMYFUNCTION("""COMPUTED_VALUE"""),"vt.tiktok.com/ZSHKYqJXaEYFT-S2yhu/")</f>
        <v>vt.tiktok.com/ZSHKYqJXaEYFT-S2yhu/</v>
      </c>
      <c r="D18" s="5" t="str">
        <f>IFERROR(__xludf.DUMMYFUNCTION("""COMPUTED_VALUE"""),"HS_BR_TL_009")</f>
        <v>HS_BR_TL_009</v>
      </c>
      <c r="E18" s="5" t="str">
        <f>IFERROR(__xludf.DUMMYFUNCTION("""COMPUTED_VALUE"""),"Cute Teddy Bear Cotton Towel Gift Set
#handtowel #towelgift")</f>
        <v>Cute Teddy Bear Cotton Towel Gift Set
#handtowel #towelgift</v>
      </c>
      <c r="F18" s="3"/>
    </row>
    <row r="19" ht="63.75" spans="1:6">
      <c r="A19" s="9">
        <f>IFERROR(__xludf.DUMMYFUNCTION("""COMPUTED_VALUE"""),46014)</f>
        <v>46014</v>
      </c>
      <c r="B19" s="5" t="str">
        <f>IFERROR(__xludf.DUMMYFUNCTION("""COMPUTED_VALUE"""),"【3 Seconds Quick Dry) Korean Cute Hair Cap Embroidery Shower Cap Bathroom Turban Wrap Towel Shower Hat")</f>
        <v>【3 Seconds Quick Dry) Korean Cute Hair Cap Embroidery Shower Cap Bathroom Turban Wrap Towel Shower Hat</v>
      </c>
      <c r="C19" s="6" t="str">
        <f>IFERROR(__xludf.DUMMYFUNCTION("""COMPUTED_VALUE"""),"vt.tiktok.com/ZSHKyG6rdSHos-Xs9X4/")</f>
        <v>vt.tiktok.com/ZSHKyG6rdSHos-Xs9X4/</v>
      </c>
      <c r="D19" s="5" t="str">
        <f>IFERROR(__xludf.DUMMYFUNCTION("""COMPUTED_VALUE"""),"HS_BR_TL_010")</f>
        <v>HS_BR_TL_010</v>
      </c>
      <c r="E19" s="5" t="str">
        <f>IFERROR(__xludf.DUMMYFUNCTION("""COMPUTED_VALUE"""),"Quick Dry Cute Hair Cap Shower Towel
#haircap #showertowel")</f>
        <v>Quick Dry Cute Hair Cap Shower Towel
#haircap #showertowel</v>
      </c>
      <c r="F19" s="3"/>
    </row>
    <row r="20" ht="51" spans="1:6">
      <c r="A20" s="9">
        <f>IFERROR(__xludf.DUMMYFUNCTION("""COMPUTED_VALUE"""),46015)</f>
        <v>46015</v>
      </c>
      <c r="B20" s="5" t="str">
        <f>IFERROR(__xludf.DUMMYFUNCTION("""COMPUTED_VALUE"""),"2 In1 Classic-a High Quality Super Soft Microfiber Stripe Bath Towel &amp; Hand Towel Gift Set")</f>
        <v>2 In1 Classic-a High Quality Super Soft Microfiber Stripe Bath Towel &amp; Hand Towel Gift Set</v>
      </c>
      <c r="C20" s="6" t="str">
        <f>IFERROR(__xludf.DUMMYFUNCTION("""COMPUTED_VALUE"""),"vt.tiktok.com/ZSHKm6H9kuX14-ejNnQ/")</f>
        <v>vt.tiktok.com/ZSHKm6H9kuX14-ejNnQ/</v>
      </c>
      <c r="D20" s="5" t="str">
        <f>IFERROR(__xludf.DUMMYFUNCTION("""COMPUTED_VALUE"""),"HS_BR_TL_011")</f>
        <v>HS_BR_TL_011</v>
      </c>
      <c r="E20" s="5" t="str">
        <f>IFERROR(__xludf.DUMMYFUNCTION("""COMPUTED_VALUE"""),"2 In 1 Microfiber Bath &amp; Hand Towel Set
#bathtowel #handtowel")</f>
        <v>2 In 1 Microfiber Bath &amp; Hand Towel Set
#bathtowel #handtowel</v>
      </c>
      <c r="F20" s="3"/>
    </row>
    <row r="21" ht="89.25" spans="1:6">
      <c r="A21" s="9">
        <f>IFERROR(__xludf.DUMMYFUNCTION("""COMPUTED_VALUE"""),45994)</f>
        <v>45994</v>
      </c>
      <c r="B21" s="5" t="str">
        <f>IFERROR(__xludf.DUMMYFUNCTION("""COMPUTED_VALUE"""),"BUY 1 TAKE 1 total 2/4/8pcs Four-sided Toothbrush Ultra Fine Soft Teeth Gum Care Tongue Cleaning Daily Use Set Deep Cleaning
Oral Care Cleanser")</f>
        <v>BUY 1 TAKE 1 total 2/4/8pcs Four-sided Toothbrush Ultra Fine Soft Teeth Gum Care Tongue Cleaning Daily Use Set Deep Cleaning
Oral Care Cleanser</v>
      </c>
      <c r="C21" s="6" t="str">
        <f>IFERROR(__xludf.DUMMYFUNCTION("""COMPUTED_VALUE"""),"vt.tiktok.com/ZSHTWYESAsdjV-aa3rY/")</f>
        <v>vt.tiktok.com/ZSHTWYESAsdjV-aa3rY/</v>
      </c>
      <c r="D21" s="5" t="str">
        <f>IFERROR(__xludf.DUMMYFUNCTION("""COMPUTED_VALUE"""),"HS_BR_TL_012")</f>
        <v>HS_BR_TL_012</v>
      </c>
      <c r="E21" s="5" t="str">
        <f>IFERROR(__xludf.DUMMYFUNCTION("""COMPUTED_VALUE"""),"Four-sided Toothbrush Set #toothbrush #oralcare")</f>
        <v>Four-sided Toothbrush Set #toothbrush #oralcare</v>
      </c>
      <c r="F21" s="3"/>
    </row>
    <row r="22" ht="63.75" spans="1:5">
      <c r="A22" s="9">
        <f>IFERROR(__xludf.DUMMYFUNCTION("""COMPUTED_VALUE"""),45994)</f>
        <v>45994</v>
      </c>
      <c r="B22" s="5" t="str">
        <f>IFERROR(__xludf.DUMMYFUNCTION("""COMPUTED_VALUE"""),"(BUY 1 TAKE 4) 5 pcs M/LHanging Wall Tissue 1280 Sheets Household Hand Paper Air Cushion Toilet Paper")</f>
        <v>(BUY 1 TAKE 4) 5 pcs M/LHanging Wall Tissue 1280 Sheets Household Hand Paper Air Cushion Toilet Paper</v>
      </c>
      <c r="C22" s="6" t="str">
        <f>IFERROR(__xludf.DUMMYFUNCTION("""COMPUTED_VALUE"""),"vt.tiktok.com/ZSHTWjsEBfhHt-bOa3b/")</f>
        <v>vt.tiktok.com/ZSHTWjsEBfhHt-bOa3b/</v>
      </c>
      <c r="D22" s="5" t="str">
        <f>IFERROR(__xludf.DUMMYFUNCTION("""COMPUTED_VALUE"""),"HS_BR_TP_001")</f>
        <v>HS_BR_TP_001</v>
      </c>
      <c r="E22" s="5" t="str">
        <f>IFERROR(__xludf.DUMMYFUNCTION("""COMPUTED_VALUE"""),"Wall Tissue Paper 5pcs #toiletpaper #papertowel")</f>
        <v>Wall Tissue Paper 5pcs #toiletpaper #papertowel</v>
      </c>
    </row>
    <row r="23" ht="38.25" spans="1:5">
      <c r="A23" s="9">
        <f>IFERROR(__xludf.DUMMYFUNCTION("""COMPUTED_VALUE"""),45994)</f>
        <v>45994</v>
      </c>
      <c r="B23" s="5" t="str">
        <f>IFERROR(__xludf.DUMMYFUNCTION("""COMPUTED_VALUE""")," Generic 120 Sheets Interfolded Paper Towel -
(Pack of 3)")</f>
        <v> Generic 120 Sheets Interfolded Paper Towel -
(Pack of 3)</v>
      </c>
      <c r="C23" s="6" t="str">
        <f>IFERROR(__xludf.DUMMYFUNCTION("""COMPUTED_VALUE"""),"vt.tiktok.com/ZSHwPKEspepcu-Nu8Oi/")</f>
        <v>vt.tiktok.com/ZSHwPKEspepcu-Nu8Oi/</v>
      </c>
      <c r="D23" s="5" t="str">
        <f>IFERROR(__xludf.DUMMYFUNCTION("""COMPUTED_VALUE"""),"HS_BR_TP_003")</f>
        <v>HS_BR_TP_003</v>
      </c>
      <c r="E23" s="5" t="str">
        <f>IFERROR(__xludf.DUMMYFUNCTION("""COMPUTED_VALUE"""),"Kitchen Tissue Paper
#tissuepaper #kitchenessentials""")</f>
        <v>Kitchen Tissue Paper
#tissuepaper #kitchenessentials"</v>
      </c>
    </row>
    <row r="24" ht="63.75" spans="1:5">
      <c r="A24" s="9">
        <f>IFERROR(__xludf.DUMMYFUNCTION("""COMPUTED_VALUE"""),45995)</f>
        <v>45995</v>
      </c>
      <c r="B24" s="5" t="str">
        <f>IFERROR(__xludf.DUMMYFUNCTION("""COMPUTED_VALUE"""),"BUY 1 TAKE 1 BIGGEST HANGING TISSUE
(SOMYTH HANGING TISSUE) 1800 SHEETS 4 PLY")</f>
        <v>BUY 1 TAKE 1 BIGGEST HANGING TISSUE
(SOMYTH HANGING TISSUE) 1800 SHEETS 4 PLY</v>
      </c>
      <c r="C24" s="6" t="str">
        <f>IFERROR(__xludf.DUMMYFUNCTION("""COMPUTED_VALUE"""),"vt.tiktok.com/ZSHTKd6p15AdJ-sjjec/")</f>
        <v>vt.tiktok.com/ZSHTKd6p15AdJ-sjjec/</v>
      </c>
      <c r="D24" s="5" t="str">
        <f>IFERROR(__xludf.DUMMYFUNCTION("""COMPUTED_VALUE"""),"HS_BR_TP_005")</f>
        <v>HS_BR_TP_005</v>
      </c>
      <c r="E24" s="5" t="str">
        <f>IFERROR(__xludf.DUMMYFUNCTION("""COMPUTED_VALUE"""),"Somyth Hanging Tissue #bathroompaper #papertowel")</f>
        <v>Somyth Hanging Tissue #bathroompaper #papertowel</v>
      </c>
    </row>
    <row r="25" ht="63.75" spans="1:5">
      <c r="A25" s="9">
        <f>IFERROR(__xludf.DUMMYFUNCTION("""COMPUTED_VALUE"""),45995)</f>
        <v>45995</v>
      </c>
      <c r="B25" s="5" t="str">
        <f>IFERROR(__xludf.DUMMYFUNCTION("""COMPUTED_VALUE"""),"BUY 1 TAKE 2 30 pcs DREAMERS Facial Tissue Table Napkins Face Friendly Soft Affordable PaperTowel Personal")</f>
        <v>BUY 1 TAKE 2 30 pcs DREAMERS Facial Tissue Table Napkins Face Friendly Soft Affordable PaperTowel Personal</v>
      </c>
      <c r="C25" s="6" t="str">
        <f>IFERROR(__xludf.DUMMYFUNCTION("""COMPUTED_VALUE"""),"vt.tiktok.com/ZSHTK8jCLbCj9-Iqe3t/")</f>
        <v>vt.tiktok.com/ZSHTK8jCLbCj9-Iqe3t/</v>
      </c>
      <c r="D25" s="5" t="str">
        <f>IFERROR(__xludf.DUMMYFUNCTION("""COMPUTED_VALUE"""),"HS_BR_TP_006")</f>
        <v>HS_BR_TP_006</v>
      </c>
      <c r="E25" s="5" t="str">
        <f>IFERROR(__xludf.DUMMYFUNCTION("""COMPUTED_VALUE"""),"Dreamers Facial Tissue 30pcs #bathroompaper #papertowel")</f>
        <v>Dreamers Facial Tissue 30pcs #bathroompaper #papertowel</v>
      </c>
    </row>
    <row r="26" ht="63.75" spans="1:5">
      <c r="A26" s="9">
        <f>IFERROR(__xludf.DUMMYFUNCTION("""COMPUTED_VALUE"""),45998)</f>
        <v>45998</v>
      </c>
      <c r="B26" s="5" t="str">
        <f>IFERROR(__xludf.DUMMYFUNCTION("""COMPUTED_VALUE"""),"【BreezeLife】 Party Kitchen Towel 1Ply 50 Pulls x1 Rolls Tissue Paper Towel Disposable wipe blotting paper")</f>
        <v>【BreezeLife】 Party Kitchen Towel 1Ply 50 Pulls x1 Rolls Tissue Paper Towel Disposable wipe blotting paper</v>
      </c>
      <c r="C26" s="6" t="str">
        <f>IFERROR(__xludf.DUMMYFUNCTION("""COMPUTED_VALUE"""),"vt.tiktok.com/ZSHwhvQnsB58o-6icrx/")</f>
        <v>vt.tiktok.com/ZSHwhvQnsB58o-6icrx/</v>
      </c>
      <c r="D26" s="5" t="str">
        <f>IFERROR(__xludf.DUMMYFUNCTION("""COMPUTED_VALUE"""),"HS_BR_TP_007")</f>
        <v>HS_BR_TP_007</v>
      </c>
      <c r="E26" s="5" t="str">
        <f>IFERROR(__xludf.DUMMYFUNCTION("""COMPUTED_VALUE"""),"Party Kitchen Towel
#kitchentowel #tissuepaper")</f>
        <v>Party Kitchen Towel
#kitchentowel #tissuepaper</v>
      </c>
    </row>
    <row r="27" ht="63.75" spans="1:5">
      <c r="A27" s="9">
        <f>IFERROR(__xludf.DUMMYFUNCTION("""COMPUTED_VALUE"""),46013)</f>
        <v>46013</v>
      </c>
      <c r="B27" s="5" t="str">
        <f>IFERROR(__xludf.DUMMYFUNCTION("""COMPUTED_VALUE"""),"【buy 1 take 3】 4pcs Pink Blooming Flowers
tissue hanging pull down soft toliet paper 4 layers napkin M size")</f>
        <v>【buy 1 take 3】 4pcs Pink Blooming Flowers
tissue hanging pull down soft toliet paper 4 layers napkin M size</v>
      </c>
      <c r="C27" s="6" t="str">
        <f>IFERROR(__xludf.DUMMYFUNCTION("""COMPUTED_VALUE"""),"vt.tiktok.com/ZSHKBxKmFEpDW-bCZWb/")</f>
        <v>vt.tiktok.com/ZSHKBxKmFEpDW-bCZWb/</v>
      </c>
      <c r="D27" s="5" t="str">
        <f>IFERROR(__xludf.DUMMYFUNCTION("""COMPUTED_VALUE"""),"HS_BR_TP_015")</f>
        <v>HS_BR_TP_015</v>
      </c>
      <c r="E27" s="5" t="str">
        <f>IFERROR(__xludf.DUMMYFUNCTION("""COMPUTED_VALUE"""),"Pink Hanging Tissue 4pcs
#toiletpaper #tissuepaper")</f>
        <v>Pink Hanging Tissue 4pcs
#toiletpaper #tissuepaper</v>
      </c>
    </row>
    <row r="28" ht="38.25" spans="1:5">
      <c r="A28" s="9">
        <f>IFERROR(__xludf.DUMMYFUNCTION("""COMPUTED_VALUE"""),46013)</f>
        <v>46013</v>
      </c>
      <c r="B28" s="5" t="str">
        <f>IFERROR(__xludf.DUMMYFUNCTION("""COMPUTED_VALUE"""),"Toilet Paper 4 layers thickened Bottom tissue M-size Pull Down Napkin")</f>
        <v>Toilet Paper 4 layers thickened Bottom tissue M-size Pull Down Napkin</v>
      </c>
      <c r="C28" s="6" t="str">
        <f>IFERROR(__xludf.DUMMYFUNCTION("""COMPUTED_VALUE"""),"vt.tiktok.com/ZSHKQfCV8v6c4-ZEg1j/")</f>
        <v>vt.tiktok.com/ZSHKQfCV8v6c4-ZEg1j/</v>
      </c>
      <c r="D28" s="5" t="str">
        <f>IFERROR(__xludf.DUMMYFUNCTION("""COMPUTED_VALUE"""),"HS_BR_TP_016")</f>
        <v>HS_BR_TP_016</v>
      </c>
      <c r="E28" s="5" t="str">
        <f>IFERROR(__xludf.DUMMYFUNCTION("""COMPUTED_VALUE"""),"Toilet Paper #toiletpaper #tissuepaper")</f>
        <v>Toilet Paper #toiletpaper #tissuepaper</v>
      </c>
    </row>
    <row r="29" ht="76.5" spans="1:5">
      <c r="A29" s="9">
        <f>IFERROR(__xludf.DUMMYFUNCTION("""COMPUTED_VALUE"""),45994)</f>
        <v>45994</v>
      </c>
      <c r="B29" s="5" t="str">
        <f>IFERROR(__xludf.DUMMYFUNCTION("""COMPUTED_VALUE"""),"[Buy 1 Get 4 Free] 5 pieces of 25*25 double-sided thickened towels, household car coral velvet super absorbent towels, hand towels Cleaning")</f>
        <v>[Buy 1 Get 4 Free] 5 pieces of 25*25 double-sided thickened towels, household car coral velvet super absorbent towels, hand towels Cleaning</v>
      </c>
      <c r="C29" s="6" t="str">
        <f>IFERROR(__xludf.DUMMYFUNCTION("""COMPUTED_VALUE"""),"https://vt.tiktok.com/ZSHTnnXyxWjK6-wJ4iJ/")</f>
        <v>https://vt.tiktok.com/ZSHTnnXyxWjK6-wJ4iJ/</v>
      </c>
      <c r="D29" s="5" t="str">
        <f>IFERROR(__xludf.DUMMYFUNCTION("""COMPUTED_VALUE"""),"HS_KC_CS_001")</f>
        <v>HS_KC_CS_001</v>
      </c>
      <c r="E29" s="5" t="str">
        <f>IFERROR(__xludf.DUMMYFUNCTION("""COMPUTED_VALUE"""),"Thickened Coral Velvet Towels 5pcs 
#cleaningtowel #homeessentials")</f>
        <v>Thickened Coral Velvet Towels 5pcs 
#cleaningtowel #homeessentials</v>
      </c>
    </row>
    <row r="30" ht="51" spans="1:5">
      <c r="A30" s="9">
        <f>IFERROR(__xludf.DUMMYFUNCTION("""COMPUTED_VALUE"""),45994)</f>
        <v>45994</v>
      </c>
      <c r="B30" s="5" t="str">
        <f>IFERROR(__xludf.DUMMYFUNCTION("""COMPUTED_VALUE"""),"2-in-1 Multifunctional rotating gap cleaning brush
360-Degree Rotatable Head Scrubber Cleaner")</f>
        <v>2-in-1 Multifunctional rotating gap cleaning brush
360-Degree Rotatable Head Scrubber Cleaner</v>
      </c>
      <c r="C30" s="6" t="str">
        <f>IFERROR(__xludf.DUMMYFUNCTION("""COMPUTED_VALUE"""),"vt.tiktok.com/ZSHTcoAMmGoMv-zrM19/")</f>
        <v>vt.tiktok.com/ZSHTcoAMmGoMv-zrM19/</v>
      </c>
      <c r="D30" s="5" t="str">
        <f>IFERROR(__xludf.DUMMYFUNCTION("""COMPUTED_VALUE"""),"HS_KC_CS_002")</f>
        <v>HS_KC_CS_002</v>
      </c>
      <c r="E30" s="5" t="str">
        <f>IFERROR(__xludf.DUMMYFUNCTION("""COMPUTED_VALUE"""),"2-in-1 Rotating Cleaning Brush #cleaningbrush #cleaningtool")</f>
        <v>2-in-1 Rotating Cleaning Brush #cleaningbrush #cleaningtool</v>
      </c>
    </row>
    <row r="31" ht="63.75" spans="1:5">
      <c r="A31" s="9">
        <f>IFERROR(__xludf.DUMMYFUNCTION("""COMPUTED_VALUE"""),46006)</f>
        <v>46006</v>
      </c>
      <c r="B31" s="5" t="str">
        <f>IFERROR(__xludf.DUMMYFUNCTION("""COMPUTED_VALUE"""),"Mini Handheld Mop Portable Cleaning Mop Bathroom Car Window Glass Sponge Cleaner ToolsD87")</f>
        <v>Mini Handheld Mop Portable Cleaning Mop Bathroom Car Window Glass Sponge Cleaner ToolsD87</v>
      </c>
      <c r="C31" s="6" t="str">
        <f>IFERROR(__xludf.DUMMYFUNCTION("""COMPUTED_VALUE"""),"vt.tiktok.com/ZSHwsGf5R7VPv-CGziB/")</f>
        <v>vt.tiktok.com/ZSHwsGf5R7VPv-CGziB/</v>
      </c>
      <c r="D31" s="5" t="str">
        <f>IFERROR(__xludf.DUMMYFUNCTION("""COMPUTED_VALUE"""),"HS_KC_CS_003")</f>
        <v>HS_KC_CS_003</v>
      </c>
      <c r="E31" s="5" t="str">
        <f>IFERROR(__xludf.DUMMYFUNCTION("""COMPUTED_VALUE"""),"Mini Handheld Cleaning Mop
#handheldmop #cleaningtools")</f>
        <v>Mini Handheld Cleaning Mop
#handheldmop #cleaningtools</v>
      </c>
    </row>
    <row r="32" ht="140.25" spans="1:5">
      <c r="A32" s="9">
        <f>IFERROR(__xludf.DUMMYFUNCTION("""COMPUTED_VALUE"""),46008)</f>
        <v>46008</v>
      </c>
      <c r="B32" s="5" t="str">
        <f>IFERROR(__xludf.DUMMYFUNCTION("""COMPUTED_VALUE"""),"(Buy 2 Take 1 ) 20pcs/box Removable Dishcloth Reusable Absorbent Microfiber kitchen rags Comfortable kitchen microfiber towels with box super absorbent cleaning dishcloth home multiple crcycling use Kitchen Dishcloth Scouring Pad Lazy Rag Cleaning Towel")</f>
        <v>(Buy 2 Take 1 ) 20pcs/box Removable Dishcloth Reusable Absorbent Microfiber kitchen rags Comfortable kitchen microfiber towels with box super absorbent cleaning dishcloth home multiple crcycling use Kitchen Dishcloth Scouring Pad Lazy Rag Cleaning Towel</v>
      </c>
      <c r="C32" s="6" t="str">
        <f>IFERROR(__xludf.DUMMYFUNCTION("""COMPUTED_VALUE"""),"vt.tiktok.com/ZSHwTaXMBeCGg-NMo0X/")</f>
        <v>vt.tiktok.com/ZSHwTaXMBeCGg-NMo0X/</v>
      </c>
      <c r="D32" s="5" t="str">
        <f>IFERROR(__xludf.DUMMYFUNCTION("""COMPUTED_VALUE"""),"HS_KC_CS_004")</f>
        <v>HS_KC_CS_004</v>
      </c>
      <c r="E32" s="5" t="str">
        <f>IFERROR(__xludf.DUMMYFUNCTION("""COMPUTED_VALUE"""),"Reusable Microfiber Dishcloth 20pcs
#microfiberdishcloth #kitchentowel")</f>
        <v>Reusable Microfiber Dishcloth 20pcs
#microfiberdishcloth #kitchentowel</v>
      </c>
    </row>
    <row r="33" ht="51" spans="1:5">
      <c r="A33" s="9">
        <f>IFERROR(__xludf.DUMMYFUNCTION("""COMPUTED_VALUE"""),46014)</f>
        <v>46014</v>
      </c>
      <c r="B33" s="5" t="str">
        <f>IFERROR(__xludf.DUMMYFUNCTION("""COMPUTED_VALUE"""),"1pair Household Gloves / Laundry Gloves /kitchen washing gloves/Rubber Gloves(RED)")</f>
        <v>1pair Household Gloves / Laundry Gloves /kitchen washing gloves/Rubber Gloves(RED)</v>
      </c>
      <c r="C33" s="6" t="str">
        <f>IFERROR(__xludf.DUMMYFUNCTION("""COMPUTED_VALUE"""),"vt.tiktok.com/ZSHKytaFYs9rr-Kqc8B/")</f>
        <v>vt.tiktok.com/ZSHKytaFYs9rr-Kqc8B/</v>
      </c>
      <c r="D33" s="5" t="str">
        <f>IFERROR(__xludf.DUMMYFUNCTION("""COMPUTED_VALUE"""),"HS_KC_CS_005")</f>
        <v>HS_KC_CS_005</v>
      </c>
      <c r="E33" s="5" t="str">
        <f>IFERROR(__xludf.DUMMYFUNCTION("""COMPUTED_VALUE"""),"Household Rubber Gloves
#rubbergloves #householdgloves")</f>
        <v>Household Rubber Gloves
#rubbergloves #householdgloves</v>
      </c>
    </row>
    <row r="34" ht="114.75" spans="1:5">
      <c r="A34" s="9">
        <f>IFERROR(__xludf.DUMMYFUNCTION("""COMPUTED_VALUE"""),45994)</f>
        <v>45994</v>
      </c>
      <c r="B34" s="5" t="str">
        <f>IFERROR(__xludf.DUMMYFUNCTION("""COMPUTED_VALUE"""),"Locaupin (Sold per Box) Multipurpose Kitchen
Plastic Resealable Zipper Lock Bag Seal Food
Storage Waterproof Refrigerator Food Fresh
Keeping Sandwich Snack Storage Pack
Containers Utensils")</f>
        <v>Locaupin (Sold per Box) Multipurpose Kitchen
Plastic Resealable Zipper Lock Bag Seal Food
Storage Waterproof Refrigerator Food Fresh
Keeping Sandwich Snack Storage Pack
Containers Utensils</v>
      </c>
      <c r="C34" s="6" t="str">
        <f>IFERROR(__xludf.DUMMYFUNCTION("""COMPUTED_VALUE"""),"vt.tiktok.com/ZSHTK8aR43Ng7-dODbO/")</f>
        <v>vt.tiktok.com/ZSHTK8aR43Ng7-dODbO/</v>
      </c>
      <c r="D34" s="5" t="str">
        <f>IFERROR(__xludf.DUMMYFUNCTION("""COMPUTED_VALUE"""),"HS_KC_KC_002")</f>
        <v>HS_KC_KC_002</v>
      </c>
      <c r="E34" s="5" t="str">
        <f>IFERROR(__xludf.DUMMYFUNCTION("""COMPUTED_VALUE"""),"Plastic Zipper Bag #zipperbag #kitchenmusthave")</f>
        <v>Plastic Zipper Bag #zipperbag #kitchenmusthave</v>
      </c>
    </row>
    <row r="35" ht="89.25" spans="1:5">
      <c r="A35" s="9">
        <f>IFERROR(__xludf.DUMMYFUNCTION("""COMPUTED_VALUE"""),45994)</f>
        <v>45994</v>
      </c>
      <c r="B35" s="5" t="str">
        <f>IFERROR(__xludf.DUMMYFUNCTION("""COMPUTED_VALUE"""),"Japanese Original Fresh Keeping Bags Thicken Transparent Reusable Food Storage Bags Waterproof Refrigerator Anti-cross Smell Food
Storage Pouch Organizer")</f>
        <v>Japanese Original Fresh Keeping Bags Thicken Transparent Reusable Food Storage Bags Waterproof Refrigerator Anti-cross Smell Food
Storage Pouch Organizer</v>
      </c>
      <c r="C35" s="6" t="str">
        <f>IFERROR(__xludf.DUMMYFUNCTION("""COMPUTED_VALUE"""),"vt.tiktok.com/ZSHTWhrywnUCu-9oE7a/")</f>
        <v>vt.tiktok.com/ZSHTWhrywnUCu-9oE7a/</v>
      </c>
      <c r="D35" s="5" t="str">
        <f>IFERROR(__xludf.DUMMYFUNCTION("""COMPUTED_VALUE"""),"HS_KC_KC_003")</f>
        <v>HS_KC_KC_003</v>
      </c>
      <c r="E35" s="5" t="str">
        <f>IFERROR(__xludf.DUMMYFUNCTION("""COMPUTED_VALUE"""),"Plastic Zipper Bag #zipperbag #kitchenmusthave")</f>
        <v>Plastic Zipper Bag #zipperbag #kitchenmusthave</v>
      </c>
    </row>
    <row r="36" ht="63.75" spans="1:5">
      <c r="A36" s="9">
        <f>IFERROR(__xludf.DUMMYFUNCTION("""COMPUTED_VALUE"""),45995)</f>
        <v>45995</v>
      </c>
      <c r="B36" s="5" t="str">
        <f>IFERROR(__xludf.DUMMYFUNCTION("""COMPUTED_VALUE"""),"100pcs Drawstring Garbage Bag Thickened Bedroom Kitchen Bathroom Automatic Closing Garbage Bag Cartoon")</f>
        <v>100pcs Drawstring Garbage Bag Thickened Bedroom Kitchen Bathroom Automatic Closing Garbage Bag Cartoon</v>
      </c>
      <c r="C36" s="6" t="str">
        <f>IFERROR(__xludf.DUMMYFUNCTION("""COMPUTED_VALUE"""),"vt.tiktok.com/ZSHTcKdf8Sawj-7Jbhn/")</f>
        <v>vt.tiktok.com/ZSHTcKdf8Sawj-7Jbhn/</v>
      </c>
      <c r="D36" s="5" t="str">
        <f>IFERROR(__xludf.DUMMYFUNCTION("""COMPUTED_VALUE"""),"HS_KC_KC_004")</f>
        <v>HS_KC_KC_004</v>
      </c>
      <c r="E36" s="5" t="str">
        <f>IFERROR(__xludf.DUMMYFUNCTION("""COMPUTED_VALUE"""),"Trashbag #trashbag #garbagebag")</f>
        <v>Trashbag #trashbag #garbagebag</v>
      </c>
    </row>
    <row r="37" ht="76.5" spans="1:5">
      <c r="A37" s="9">
        <f>IFERROR(__xludf.DUMMYFUNCTION("""COMPUTED_VALUE"""),46013)</f>
        <v>46013</v>
      </c>
      <c r="B37" s="5" t="str">
        <f>IFERROR(__xludf.DUMMYFUNCTION("""COMPUTED_VALUE"""),"VeryGood-50PCS Thank You Printed Plastic Bags Smiley Face Plastic Bags Sando Bags Transparent Clear Tear Resistant Indoor Disposable Garbage Bags")</f>
        <v>VeryGood-50PCS Thank You Printed Plastic Bags Smiley Face Plastic Bags Sando Bags Transparent Clear Tear Resistant Indoor Disposable Garbage Bags</v>
      </c>
      <c r="C37" s="6" t="str">
        <f>IFERROR(__xludf.DUMMYFUNCTION("""COMPUTED_VALUE"""),"vt.tiktok.com/ZSHKBtS9vWS9v-SQKog/")</f>
        <v>vt.tiktok.com/ZSHKBtS9vWS9v-SQKog/</v>
      </c>
      <c r="D37" s="5" t="str">
        <f>IFERROR(__xludf.DUMMYFUNCTION("""COMPUTED_VALUE"""),"HS_KC_KC_007")</f>
        <v>HS_KC_KC_007</v>
      </c>
      <c r="E37" s="5" t="str">
        <f>IFERROR(__xludf.DUMMYFUNCTION("""COMPUTED_VALUE""")," Thank You Printed Plastic Bags 50pcs
#plasticbags #thankyoubags")</f>
        <v> Thank You Printed Plastic Bags 50pcs
#plasticbags #thankyoubags</v>
      </c>
    </row>
    <row r="38" ht="63.75" spans="1:5">
      <c r="A38" s="9">
        <f>IFERROR(__xludf.DUMMYFUNCTION("""COMPUTED_VALUE"""),46013)</f>
        <v>46013</v>
      </c>
      <c r="B38" s="5" t="str">
        <f>IFERROR(__xludf.DUMMYFUNCTION("""COMPUTED_VALUE"""),"100pcs Roll Thickened Garbage Bag Disposable Plastic Bag Household Kitchen Garbage Bag Drawstring")</f>
        <v>100pcs Roll Thickened Garbage Bag Disposable Plastic Bag Household Kitchen Garbage Bag Drawstring</v>
      </c>
      <c r="C38" s="6" t="str">
        <f>IFERROR(__xludf.DUMMYFUNCTION("""COMPUTED_VALUE"""),"vt.tiktok.com/ZSHKBnJfeSfRC-kgX2v/")</f>
        <v>vt.tiktok.com/ZSHKBnJfeSfRC-kgX2v/</v>
      </c>
      <c r="D38" s="5" t="str">
        <f>IFERROR(__xludf.DUMMYFUNCTION("""COMPUTED_VALUE"""),"HS_KC_KC_008")</f>
        <v>HS_KC_KC_008</v>
      </c>
      <c r="E38" s="5" t="str">
        <f>IFERROR(__xludf.DUMMYFUNCTION("""COMPUTED_VALUE"""),"Thickened Drawstring Garbage Bags 100pcs
#garbagebags #trashbags")</f>
        <v>Thickened Drawstring Garbage Bags 100pcs
#garbagebags #trashbags</v>
      </c>
    </row>
    <row r="39" ht="63.75" spans="1:5">
      <c r="A39" s="9">
        <f>IFERROR(__xludf.DUMMYFUNCTION("""COMPUTED_VALUE"""),46013)</f>
        <v>46013</v>
      </c>
      <c r="B39" s="5" t="str">
        <f>IFERROR(__xludf.DUMMYFUNCTION("""COMPUTED_VALUE"""),"50PCS Plastic Shot Glass Disposable Cups Plastic Cake Cups Cups Plastic Shot Glass for Dessert
Party Transparent Clear")</f>
        <v>50PCS Plastic Shot Glass Disposable Cups Plastic Cake Cups Cups Plastic Shot Glass for Dessert
Party Transparent Clear</v>
      </c>
      <c r="C39" s="6" t="str">
        <f>IFERROR(__xludf.DUMMYFUNCTION("""COMPUTED_VALUE"""),"vt.tiktok.com/ZSHKSqG1UrBNw-EKczA/")</f>
        <v>vt.tiktok.com/ZSHKSqG1UrBNw-EKczA/</v>
      </c>
      <c r="D39" s="5" t="str">
        <f>IFERROR(__xludf.DUMMYFUNCTION("""COMPUTED_VALUE"""),"HS_KC_KC_009")</f>
        <v>HS_KC_KC_009</v>
      </c>
      <c r="E39" s="5" t="str">
        <f>IFERROR(__xludf.DUMMYFUNCTION("""COMPUTED_VALUE"""),"Disposable Plastic Shot Glass 50pcs
#shotglass #plasticcups")</f>
        <v>Disposable Plastic Shot Glass 50pcs
#shotglass #plasticcups</v>
      </c>
    </row>
    <row r="40" ht="63.75" spans="1:5">
      <c r="A40" s="9">
        <f>IFERROR(__xludf.DUMMYFUNCTION("""COMPUTED_VALUE"""),46014)</f>
        <v>46014</v>
      </c>
      <c r="B40" s="5" t="str">
        <f>IFERROR(__xludf.DUMMYFUNCTION("""COMPUTED_VALUE"""),"200pcs PE Disposable Gloves Thickened with Box Dispenser Food Safe Prep Handling Home Care Supplies Cleaning Gloves")</f>
        <v>200pcs PE Disposable Gloves Thickened with Box Dispenser Food Safe Prep Handling Home Care Supplies Cleaning Gloves</v>
      </c>
      <c r="C40" s="6" t="str">
        <f>IFERROR(__xludf.DUMMYFUNCTION("""COMPUTED_VALUE"""),"vt.tiktok.com/ZSHKyntJc2PQW-eEfqP/")</f>
        <v>vt.tiktok.com/ZSHKyntJc2PQW-eEfqP/</v>
      </c>
      <c r="D40" s="5" t="str">
        <f>IFERROR(__xludf.DUMMYFUNCTION("""COMPUTED_VALUE"""),"HS_KC_KC_011")</f>
        <v>HS_KC_KC_011</v>
      </c>
      <c r="E40" s="5" t="str">
        <f>IFERROR(__xludf.DUMMYFUNCTION("""COMPUTED_VALUE"""),"Disposable PE Gloves 200pcs
#disposablegloves #pegloves")</f>
        <v>Disposable PE Gloves 200pcs
#disposablegloves #pegloves</v>
      </c>
    </row>
    <row r="41" ht="63.75" spans="1:5">
      <c r="A41" s="9">
        <f>IFERROR(__xludf.DUMMYFUNCTION("""COMPUTED_VALUE"""),45994)</f>
        <v>45994</v>
      </c>
      <c r="B41" s="5" t="str">
        <f>IFERROR(__xludf.DUMMYFUNCTION("""COMPUTED_VALUE"""),"12Pcs Spoon and Fork Set Cutlery Korean Stainless Steel Golden Soup Spoons Stylish Kitchen Dinnerware Gift Sets")</f>
        <v>12Pcs Spoon and Fork Set Cutlery Korean Stainless Steel Golden Soup Spoons Stylish Kitchen Dinnerware Gift Sets</v>
      </c>
      <c r="C41" s="6" t="str">
        <f>IFERROR(__xludf.DUMMYFUNCTION("""COMPUTED_VALUE"""),"http://vt.tiktok.com/ZSHTnxyACuUHp-SguEE/")</f>
        <v>http://vt.tiktok.com/ZSHTnxyACuUHp-SguEE/</v>
      </c>
      <c r="D41" s="5" t="str">
        <f>IFERROR(__xludf.DUMMYFUNCTION("""COMPUTED_VALUE"""),"HS_KC_KU_001")</f>
        <v>HS_KC_KU_001</v>
      </c>
      <c r="E41" s="5" t="str">
        <f>IFERROR(__xludf.DUMMYFUNCTION("""COMPUTED_VALUE"""),"Korean Cutlery Set #cutleryset #dinnerware")</f>
        <v>Korean Cutlery Set #cutleryset #dinnerware</v>
      </c>
    </row>
    <row r="42" ht="89.25" spans="1:5">
      <c r="A42" s="9">
        <f>IFERROR(__xludf.DUMMYFUNCTION("""COMPUTED_VALUE"""),45994)</f>
        <v>45994</v>
      </c>
      <c r="B42" s="5" t="str">
        <f>IFERROR(__xludf.DUMMYFUNCTION("""COMPUTED_VALUE"""),"KIRA silicone kitchen utensils set 12 pcs Non-stick Silicone Cooking Utensils Spatula Set Heat Resistant 446° Plastic Wooden Cookware Oil Stirring")</f>
        <v>KIRA silicone kitchen utensils set 12 pcs Non-stick Silicone Cooking Utensils Spatula Set Heat Resistant 446° Plastic Wooden Cookware Oil Stirring</v>
      </c>
      <c r="C42" s="6" t="str">
        <f>IFERROR(__xludf.DUMMYFUNCTION("""COMPUTED_VALUE"""),"vt.tiktok.com/ZSHTnQ8Ae3tFd-pYwlR/")</f>
        <v>vt.tiktok.com/ZSHTnQ8Ae3tFd-pYwlR/</v>
      </c>
      <c r="D42" s="5" t="str">
        <f>IFERROR(__xludf.DUMMYFUNCTION("""COMPUTED_VALUE"""),"HS_KC_KU_002")</f>
        <v>HS_KC_KU_002</v>
      </c>
      <c r="E42" s="5" t="str">
        <f>IFERROR(__xludf.DUMMYFUNCTION("""COMPUTED_VALUE"""),"KIRA Silicone Utensils Set #kitchenutensils #cookingset")</f>
        <v>KIRA Silicone Utensils Set #kitchenutensils #cookingset</v>
      </c>
    </row>
    <row r="43" ht="51" spans="1:5">
      <c r="A43" s="9">
        <f>IFERROR(__xludf.DUMMYFUNCTION("""COMPUTED_VALUE"""),45994)</f>
        <v>45994</v>
      </c>
      <c r="B43" s="5" t="str">
        <f>IFERROR(__xludf.DUMMYFUNCTION("""COMPUTED_VALUE"""),"6pcs/set Draining Basket Fruit Storage Basin Space-Saving Household Supplies Kitchen Utensils")</f>
        <v>6pcs/set Draining Basket Fruit Storage Basin Space-Saving Household Supplies Kitchen Utensils</v>
      </c>
      <c r="C43" s="6" t="str">
        <f>IFERROR(__xludf.DUMMYFUNCTION("""COMPUTED_VALUE"""),"https://vt.tiktok.com/ZSHTnCg4SsW16-DebZj/")</f>
        <v>https://vt.tiktok.com/ZSHTnCg4SsW16-DebZj/</v>
      </c>
      <c r="D43" s="5" t="str">
        <f>IFERROR(__xludf.DUMMYFUNCTION("""COMPUTED_VALUE"""),"HS_KC_KU_003")</f>
        <v>HS_KC_KU_003</v>
      </c>
      <c r="E43" s="5" t="str">
        <f>IFERROR(__xludf.DUMMYFUNCTION("""COMPUTED_VALUE"""),"Draining Basket Set #kitchenutensils #storagebasket")</f>
        <v>Draining Basket Set #kitchenutensils #storagebasket</v>
      </c>
    </row>
    <row r="44" ht="51" spans="1:5">
      <c r="A44" s="9">
        <f>IFERROR(__xludf.DUMMYFUNCTION("""COMPUTED_VALUE"""),45994)</f>
        <v>45994</v>
      </c>
      <c r="B44" s="5" t="str">
        <f>IFERROR(__xludf.DUMMYFUNCTION("""COMPUTED_VALUE"""),"QANUL kitchen condiments organizer rack wall hanging seasoning storage onion fruit basket vegetable shelf")</f>
        <v>QANUL kitchen condiments organizer rack wall hanging seasoning storage onion fruit basket vegetable shelf</v>
      </c>
      <c r="C44" s="6" t="str">
        <f>IFERROR(__xludf.DUMMYFUNCTION("""COMPUTED_VALUE"""),"vt.tiktok.com/ZSHTn4gkA24yf-X7lGb/")</f>
        <v>vt.tiktok.com/ZSHTn4gkA24yf-X7lGb/</v>
      </c>
      <c r="D44" s="5" t="str">
        <f>IFERROR(__xludf.DUMMYFUNCTION("""COMPUTED_VALUE"""),"HS_KC_KU_004")</f>
        <v>HS_KC_KU_004</v>
      </c>
      <c r="E44" s="5" t="str">
        <f>IFERROR(__xludf.DUMMYFUNCTION("""COMPUTED_VALUE"""),"Kitchen Organizer Rack #kitchenstorage #organizer")</f>
        <v>Kitchen Organizer Rack #kitchenstorage #organizer</v>
      </c>
    </row>
    <row r="45" ht="89.25" spans="1:5">
      <c r="A45" s="9">
        <f>IFERROR(__xludf.DUMMYFUNCTION("""COMPUTED_VALUE"""),45994)</f>
        <v>45994</v>
      </c>
      <c r="B45" s="5" t="str">
        <f>IFERROR(__xludf.DUMMYFUNCTION("""COMPUTED_VALUE"""),"kitchen storage rack tap Plastic Sponge Drainer Rack With Towl Holder Kitchen Bathroom Sink Organizer Rack Soap Holder Orgaizer rack tap hanging rack")</f>
        <v>kitchen storage rack tap Plastic Sponge Drainer Rack With Towl Holder Kitchen Bathroom Sink Organizer Rack Soap Holder Orgaizer rack tap hanging rack</v>
      </c>
      <c r="C45" s="6" t="str">
        <f>IFERROR(__xludf.DUMMYFUNCTION("""COMPUTED_VALUE"""),"https://vt.tiktok.com/ZSHTnqe34C8Hh-ntdNB/")</f>
        <v>https://vt.tiktok.com/ZSHTnqe34C8Hh-ntdNB/</v>
      </c>
      <c r="D45" s="5" t="str">
        <f>IFERROR(__xludf.DUMMYFUNCTION("""COMPUTED_VALUE"""),"HS_KC_KU_005")</f>
        <v>HS_KC_KU_005</v>
      </c>
      <c r="E45" s="5" t="str">
        <f>IFERROR(__xludf.DUMMYFUNCTION("""COMPUTED_VALUE"""),"Kitchen Sink Organizer Rack #kitchenrack #organizer")</f>
        <v>Kitchen Sink Organizer Rack #kitchenrack #organizer</v>
      </c>
    </row>
    <row r="46" ht="89.25" spans="1:5">
      <c r="A46" s="9">
        <f>IFERROR(__xludf.DUMMYFUNCTION("""COMPUTED_VALUE"""),46000)</f>
        <v>46000</v>
      </c>
      <c r="B46" s="5" t="str">
        <f>IFERROR(__xludf.DUMMYFUNCTION("""COMPUTED_VALUE"""),"Square Silicone Ice Cube Molds - Large Size Make 4/6/8 Ice Cubes Trays with Leak Proof Removable Lid - for Cocktails, Whiskey, Soups and Frozen Treats - Kitchen Utensils")</f>
        <v>Square Silicone Ice Cube Molds - Large Size Make 4/6/8 Ice Cubes Trays with Leak Proof Removable Lid - for Cocktails, Whiskey, Soups and Frozen Treats - Kitchen Utensils</v>
      </c>
      <c r="C46" s="6" t="str">
        <f>IFERROR(__xludf.DUMMYFUNCTION("""COMPUTED_VALUE"""),"vt.tiktok.com/ZSHwkYjpsjS7X-Wj267/")</f>
        <v>vt.tiktok.com/ZSHwkYjpsjS7X-Wj267/</v>
      </c>
      <c r="D46" s="5" t="str">
        <f>IFERROR(__xludf.DUMMYFUNCTION("""COMPUTED_VALUE"""),"HS_KC_KU_007")</f>
        <v>HS_KC_KU_007</v>
      </c>
      <c r="E46" s="5" t="str">
        <f>IFERROR(__xludf.DUMMYFUNCTION("""COMPUTED_VALUE"""),"Silicone Ice Cube Mold
#icecube #kitchenware")</f>
        <v>Silicone Ice Cube Mold
#icecube #kitchenware</v>
      </c>
    </row>
    <row r="47" ht="51" spans="1:5">
      <c r="A47" s="9">
        <f>IFERROR(__xludf.DUMMYFUNCTION("""COMPUTED_VALUE"""),46006)</f>
        <v>46006</v>
      </c>
      <c r="B47" s="5" t="str">
        <f>IFERROR(__xludf.DUMMYFUNCTION("""COMPUTED_VALUE"""),"【BreezeLife】 6PCS Kitchen Knife Set
Corrugated Colorful Stainless Steel Chef Knife")</f>
        <v>【BreezeLife】 6PCS Kitchen Knife Set
Corrugated Colorful Stainless Steel Chef Knife</v>
      </c>
      <c r="C47" s="6" t="str">
        <f>IFERROR(__xludf.DUMMYFUNCTION("""COMPUTED_VALUE"""),"vt.tiktok.com/ZSHwGUv6QEP5F-tSjZV/")</f>
        <v>vt.tiktok.com/ZSHwGUv6QEP5F-tSjZV/</v>
      </c>
      <c r="D47" s="5" t="str">
        <f>IFERROR(__xludf.DUMMYFUNCTION("""COMPUTED_VALUE"""),"HS_KC_KU_008")</f>
        <v>HS_KC_KU_008</v>
      </c>
      <c r="E47" s="5" t="str">
        <f>IFERROR(__xludf.DUMMYFUNCTION("""COMPUTED_VALUE"""),"BreezeLife 6pcs Kitchen Knife Set
#kitchenknifeset #chefknife")</f>
        <v>BreezeLife 6pcs Kitchen Knife Set
#kitchenknifeset #chefknife</v>
      </c>
    </row>
    <row r="48" ht="89.25" spans="1:5">
      <c r="A48" s="9">
        <f>IFERROR(__xludf.DUMMYFUNCTION("""COMPUTED_VALUE"""),46008)</f>
        <v>46008</v>
      </c>
      <c r="B48" s="5" t="str">
        <f>IFERROR(__xludf.DUMMYFUNCTION("""COMPUTED_VALUE"""),"Locaupin Sponge Rack Drainer Kitchen Sink Top Organizer with Bottom Hole Design for Household Supplies Dishwashing Soap Sponge Holder Basket Drain Rack Clear")</f>
        <v>Locaupin Sponge Rack Drainer Kitchen Sink Top Organizer with Bottom Hole Design for Household Supplies Dishwashing Soap Sponge Holder Basket Drain Rack Clear</v>
      </c>
      <c r="C48" s="6" t="str">
        <f>IFERROR(__xludf.DUMMYFUNCTION("""COMPUTED_VALUE"""),"vt.tiktok.com/ZSHwTrjQqmFjF-fSQnp/")</f>
        <v>vt.tiktok.com/ZSHwTrjQqmFjF-fSQnp/</v>
      </c>
      <c r="D48" s="5" t="str">
        <f>IFERROR(__xludf.DUMMYFUNCTION("""COMPUTED_VALUE"""),"HS_KC_KU_009")</f>
        <v>HS_KC_KU_009</v>
      </c>
      <c r="E48" s="5" t="str">
        <f>IFERROR(__xludf.DUMMYFUNCTION("""COMPUTED_VALUE"""),"Sink Rack Drainer
#spongerack #sinkorganizer")</f>
        <v>Sink Rack Drainer
#spongerack #sinkorganizer</v>
      </c>
    </row>
    <row r="49" ht="51" spans="1:5">
      <c r="A49" s="9">
        <f>IFERROR(__xludf.DUMMYFUNCTION("""COMPUTED_VALUE"""),46011)</f>
        <v>46011</v>
      </c>
      <c r="B49" s="5" t="str">
        <f>IFERROR(__xludf.DUMMYFUNCTION("""COMPUTED_VALUE"""),"SF400 Digital Electonic Kitchen Scale with Automatic Power-off Feature Measuring Utensils")</f>
        <v>SF400 Digital Electonic Kitchen Scale with Automatic Power-off Feature Measuring Utensils</v>
      </c>
      <c r="C49" s="6" t="str">
        <f>IFERROR(__xludf.DUMMYFUNCTION("""COMPUTED_VALUE"""),"vt.tiktok.com/ZSHKFHMSykB4J-lkL3m/")</f>
        <v>vt.tiktok.com/ZSHKFHMSykB4J-lkL3m/</v>
      </c>
      <c r="D49" s="5" t="str">
        <f>IFERROR(__xludf.DUMMYFUNCTION("""COMPUTED_VALUE"""),"HS_KC_KU_010")</f>
        <v>HS_KC_KU_010</v>
      </c>
      <c r="E49" s="5" t="str">
        <f>IFERROR(__xludf.DUMMYFUNCTION("""COMPUTED_VALUE"""),"SF400 Digital Kitchen Scale
#kitchenscale #digitalscale")</f>
        <v>SF400 Digital Kitchen Scale
#kitchenscale #digitalscale</v>
      </c>
    </row>
    <row r="50" ht="63.75" spans="1:5">
      <c r="A50" s="9">
        <f>IFERROR(__xludf.DUMMYFUNCTION("""COMPUTED_VALUE"""),45994)</f>
        <v>45994</v>
      </c>
      <c r="B50" s="5" t="str">
        <f>IFERROR(__xludf.DUMMYFUNCTION("""COMPUTED_VALUE""")," Thebest Glass seasoning bottle press type quantitative seasoning jar kitchen sealed seasoning box")</f>
        <v> Thebest Glass seasoning bottle press type quantitative seasoning jar kitchen sealed seasoning box</v>
      </c>
      <c r="C50" s="6" t="str">
        <f>IFERROR(__xludf.DUMMYFUNCTION("""COMPUTED_VALUE"""),"https://vt.tiktok.com/ZSH33bUxgCykd-iNc4r/")</f>
        <v>https://vt.tiktok.com/ZSH33bUxgCykd-iNc4r/</v>
      </c>
      <c r="D50" s="5" t="str">
        <f>IFERROR(__xludf.DUMMYFUNCTION("""COMPUTED_VALUE"""),"HS_KC_SS_001")</f>
        <v>HS_KC_SS_001</v>
      </c>
      <c r="E50" s="5" t="str">
        <f>IFERROR(__xludf.DUMMYFUNCTION("""COMPUTED_VALUE"""),"Glass Seasoning Bottle #seasoningbottle #kitchenmusthave")</f>
        <v>Glass Seasoning Bottle #seasoningbottle #kitchenmusthave</v>
      </c>
    </row>
    <row r="51" ht="63.75" spans="1:5">
      <c r="A51" s="9">
        <f>IFERROR(__xludf.DUMMYFUNCTION("""COMPUTED_VALUE"""),45994)</f>
        <v>45994</v>
      </c>
      <c r="B51" s="5" t="str">
        <f>IFERROR(__xludf.DUMMYFUNCTION("""COMPUTED_VALUE"""),"5pcs 304 Multifunctional Stainless Steel Food Box with Silicone Cover for Home Kitchen, Hotel, and Dessert Shop - Utensils")</f>
        <v>5pcs 304 Multifunctional Stainless Steel Food Box with Silicone Cover for Home Kitchen, Hotel, and Dessert Shop - Utensils</v>
      </c>
      <c r="C51" s="6" t="str">
        <f>IFERROR(__xludf.DUMMYFUNCTION("""COMPUTED_VALUE"""),"https://vt.tiktok.com/ZSHTgwyTt82j6-1aDXw/")</f>
        <v>https://vt.tiktok.com/ZSHTgwyTt82j6-1aDXw/</v>
      </c>
      <c r="D51" s="5" t="str">
        <f>IFERROR(__xludf.DUMMYFUNCTION("""COMPUTED_VALUE"""),"HS_KC_SS_002")</f>
        <v>HS_KC_SS_002</v>
      </c>
      <c r="E51" s="5" t="str">
        <f>IFERROR(__xludf.DUMMYFUNCTION("""COMPUTED_VALUE"""),"Steel Food box #foodstorage #kitchenmusthave")</f>
        <v>Steel Food box #foodstorage #kitchenmusthave</v>
      </c>
    </row>
    <row r="52" ht="114.75" spans="1:5">
      <c r="A52" s="9">
        <f>IFERROR(__xludf.DUMMYFUNCTION("""COMPUTED_VALUE"""),45995)</f>
        <v>45995</v>
      </c>
      <c r="B52" s="5" t="str">
        <f>IFERROR(__xludf.DUMMYFUNCTION("""COMPUTED_VALUE"""),"【Local Delivery】 MGL Japanese Style Double Slayer Bento Box Leakproof Lunch Boxes lunch bag Sealed Multi-Compartment Bento Box lunchbox for teens lunch box for school Set Food Prep Tableware Lightweight Plastic")</f>
        <v>【Local Delivery】 MGL Japanese Style Double Slayer Bento Box Leakproof Lunch Boxes lunch bag Sealed Multi-Compartment Bento Box lunchbox for teens lunch box for school Set Food Prep Tableware Lightweight Plastic</v>
      </c>
      <c r="C52" s="6" t="str">
        <f>IFERROR(__xludf.DUMMYFUNCTION("""COMPUTED_VALUE"""),"vt.tiktok.com/ZSHTccbqXqehK-DU6il/")</f>
        <v>vt.tiktok.com/ZSHTccbqXqehK-DU6il/</v>
      </c>
      <c r="D52" s="5" t="str">
        <f>IFERROR(__xludf.DUMMYFUNCTION("""COMPUTED_VALUE"""),"HS_KC_SS_003")</f>
        <v>HS_KC_SS_003</v>
      </c>
      <c r="E52" s="5" t="str">
        <f>IFERROR(__xludf.DUMMYFUNCTION("""COMPUTED_VALUE"""),"Lunch box #lunchbox #bentobox")</f>
        <v>Lunch box #lunchbox #bentobox</v>
      </c>
    </row>
    <row r="53" ht="63.75" spans="1:5">
      <c r="A53" s="9">
        <f>IFERROR(__xludf.DUMMYFUNCTION("""COMPUTED_VALUE"""),45995)</f>
        <v>45995</v>
      </c>
      <c r="B53" s="5" t="str">
        <f>IFERROR(__xludf.DUMMYFUNCTION("""COMPUTED_VALUE"""),"【BUY 1 TAKE 3】 Glass Oil Pot Leak-Proof
Seasoning Bottle Soy Sauce Vinegar Sesame Oil
Dispenser Kitchen Utensils")</f>
        <v>【BUY 1 TAKE 3】 Glass Oil Pot Leak-Proof
Seasoning Bottle Soy Sauce Vinegar Sesame Oil
Dispenser Kitchen Utensils</v>
      </c>
      <c r="C53" s="6" t="str">
        <f>IFERROR(__xludf.DUMMYFUNCTION("""COMPUTED_VALUE"""),"vt.tiktok.com/ZSHT3FSEYUSN7-DAAuc/")</f>
        <v>vt.tiktok.com/ZSHT3FSEYUSN7-DAAuc/</v>
      </c>
      <c r="D53" s="5" t="str">
        <f>IFERROR(__xludf.DUMMYFUNCTION("""COMPUTED_VALUE"""),"HS_KC_SS_004")</f>
        <v>HS_KC_SS_004</v>
      </c>
      <c r="E53" s="5" t="str">
        <f>IFERROR(__xludf.DUMMYFUNCTION("""COMPUTED_VALUE"""),"Glass Oil Pot #seasoningbottle #kitchenmusthave")</f>
        <v>Glass Oil Pot #seasoningbottle #kitchenmusthave</v>
      </c>
    </row>
    <row r="54" ht="114.75" spans="1:5">
      <c r="A54" s="9">
        <f>IFERROR(__xludf.DUMMYFUNCTION("""COMPUTED_VALUE"""),45998)</f>
        <v>45998</v>
      </c>
      <c r="B54" s="5" t="str">
        <f>IFERROR(__xludf.DUMMYFUNCTION("""COMPUTED_VALUE"""),"Double-layer Multifunction Kitchen Storage Rack
Household Plastic Floor-standing Countertop
Organizer with Knife Holder Spice Shelf Condiment Rack Punch-free Multi-layer Stand for Soy Sauce Vinegar Utensils Bottles")</f>
        <v>Double-layer Multifunction Kitchen Storage Rack
Household Plastic Floor-standing Countertop
Organizer with Knife Holder Spice Shelf Condiment Rack Punch-free Multi-layer Stand for Soy Sauce Vinegar Utensils Bottles</v>
      </c>
      <c r="C54" s="6" t="str">
        <f>IFERROR(__xludf.DUMMYFUNCTION("""COMPUTED_VALUE"""),"vt.tiktok.com/ZSHwrv2x1XaEB-w3Txc/")</f>
        <v>vt.tiktok.com/ZSHwrv2x1XaEB-w3Txc/</v>
      </c>
      <c r="D54" s="5" t="str">
        <f>IFERROR(__xludf.DUMMYFUNCTION("""COMPUTED_VALUE"""),"HS_KC_SS_005")</f>
        <v>HS_KC_SS_005</v>
      </c>
      <c r="E54" s="5" t="str">
        <f>IFERROR(__xludf.DUMMYFUNCTION("""COMPUTED_VALUE"""),"Punch-Free Double-Layer Kitchen Rack
#kitchenrack #storagerack")</f>
        <v>Punch-Free Double-Layer Kitchen Rack
#kitchenrack #storagerack</v>
      </c>
    </row>
    <row r="55" ht="76.5" spans="1:5">
      <c r="A55" s="9">
        <f>IFERROR(__xludf.DUMMYFUNCTION("""COMPUTED_VALUE"""),45998)</f>
        <v>45998</v>
      </c>
      <c r="B55" s="5" t="str">
        <f>IFERROR(__xludf.DUMMYFUNCTION("""COMPUTED_VALUE"""),"Laluckily Valentine gifts Tumbler Vacuum Insulated Flask Set Multiple colors Stainless Steel 500mL with 3PCS 240mL Coffee Mugs Bottle Drinkware")</f>
        <v>Laluckily Valentine gifts Tumbler Vacuum Insulated Flask Set Multiple colors Stainless Steel 500mL with 3PCS 240mL Coffee Mugs Bottle Drinkware</v>
      </c>
      <c r="C55" s="6" t="str">
        <f>IFERROR(__xludf.DUMMYFUNCTION("""COMPUTED_VALUE"""),"http://vt.tiktok.com/ZSHwhWQhhGtyJ-KcZaI/")</f>
        <v>http://vt.tiktok.com/ZSHwhWQhhGtyJ-KcZaI/</v>
      </c>
      <c r="D55" s="5" t="str">
        <f>IFERROR(__xludf.DUMMYFUNCTION("""COMPUTED_VALUE"""),"HS_KC_SS_006")</f>
        <v>HS_KC_SS_006</v>
      </c>
      <c r="E55" s="5" t="str">
        <f>IFERROR(__xludf.DUMMYFUNCTION("""COMPUTED_VALUE"""),"Laluckily Valentine Tumbler Set
#valentinegift #tumblerset")</f>
        <v>Laluckily Valentine Tumbler Set
#valentinegift #tumblerset</v>
      </c>
    </row>
    <row r="56" ht="102" spans="1:5">
      <c r="A56" s="9">
        <f>IFERROR(__xludf.DUMMYFUNCTION("""COMPUTED_VALUE"""),45998)</f>
        <v>45998</v>
      </c>
      <c r="B56" s="5" t="str">
        <f>IFERROR(__xludf.DUMMYFUNCTION("""COMPUTED_VALUE"""),"Locaupin Nordic Transparent Cup Smooth Wave Shape Borosilicate Glass for Hot Cold Beverages Coffee Tea Smoothie Milk Juice Drinkware Mug Tumblers Bottles")</f>
        <v>Locaupin Nordic Transparent Cup Smooth Wave Shape Borosilicate Glass for Hot Cold Beverages Coffee Tea Smoothie Milk Juice Drinkware Mug Tumblers Bottles</v>
      </c>
      <c r="C56" s="6" t="str">
        <f>IFERROR(__xludf.DUMMYFUNCTION("""COMPUTED_VALUE"""),"vt.tiktok.com/ZSHwkFrQc9c3m-BAwdy/")</f>
        <v>vt.tiktok.com/ZSHwkFrQc9c3m-BAwdy/</v>
      </c>
      <c r="D56" s="5" t="str">
        <f>IFERROR(__xludf.DUMMYFUNCTION("""COMPUTED_VALUE"""),"HS_KC_SS_008")</f>
        <v>HS_KC_SS_008</v>
      </c>
      <c r="E56" s="5" t="str">
        <f>IFERROR(__xludf.DUMMYFUNCTION("""COMPUTED_VALUE"""),"Locaupin Wave Glass Cup
#glasscup #drinkware")</f>
        <v>Locaupin Wave Glass Cup
#glasscup #drinkware</v>
      </c>
    </row>
    <row r="57" ht="63.75" spans="1:5">
      <c r="A57" s="9">
        <f>IFERROR(__xludf.DUMMYFUNCTION("""COMPUTED_VALUE"""),46001)</f>
        <v>46001</v>
      </c>
      <c r="B57" s="5" t="str">
        <f>IFERROR(__xludf.DUMMYFUNCTION("""COMPUTED_VALUE"""),"FASH Glass Lunch Box for Adults Crisper Airtight Food Keeper Leakproof Microwavable Oven Safe Bento Lunch Box ")</f>
        <v>FASH Glass Lunch Box for Adults Crisper Airtight Food Keeper Leakproof Microwavable Oven Safe Bento Lunch Box </v>
      </c>
      <c r="C57" s="6" t="str">
        <f>IFERROR(__xludf.DUMMYFUNCTION("""COMPUTED_VALUE"""),"vt.tiktok.com/ZSHwAP8jrkbyt-JDXNc/")</f>
        <v>vt.tiktok.com/ZSHwAP8jrkbyt-JDXNc/</v>
      </c>
      <c r="D57" s="5" t="str">
        <f>IFERROR(__xludf.DUMMYFUNCTION("""COMPUTED_VALUE"""),"HS_KC_SS_009")</f>
        <v>HS_KC_SS_009</v>
      </c>
      <c r="E57" s="5" t="str">
        <f>IFERROR(__xludf.DUMMYFUNCTION("""COMPUTED_VALUE"""),"FASH Borosilicate Glass Lunch Box
#lunchbox #foodcontainer")</f>
        <v>FASH Borosilicate Glass Lunch Box
#lunchbox #foodcontainer</v>
      </c>
    </row>
    <row r="58" ht="76.5" spans="1:5">
      <c r="A58" s="9">
        <f>IFERROR(__xludf.DUMMYFUNCTION("""COMPUTED_VALUE"""),46004)</f>
        <v>46004</v>
      </c>
      <c r="B58" s="5" t="str">
        <f>IFERROR(__xludf.DUMMYFUNCTION("""COMPUTED_VALUE"""),"Mercury Fantasy Series
600ml/1000ml/1200ml Hydration Vacuum Flask Spout Lid Wide Mouth Insulation Hot &amp; Cold Tumbler")</f>
        <v>Mercury Fantasy Series
600ml/1000ml/1200ml Hydration Vacuum Flask Spout Lid Wide Mouth Insulation Hot &amp; Cold Tumbler</v>
      </c>
      <c r="C58" s="6" t="str">
        <f>IFERROR(__xludf.DUMMYFUNCTION("""COMPUTED_VALUE"""),"vt.tiktok.com/ZSHw93fF9Er81-oq2kC/")</f>
        <v>vt.tiktok.com/ZSHw93fF9Er81-oq2kC/</v>
      </c>
      <c r="D58" s="5" t="str">
        <f>IFERROR(__xludf.DUMMYFUNCTION("""COMPUTED_VALUE"""),"HS_KC_SS_010")</f>
        <v>HS_KC_SS_010</v>
      </c>
      <c r="E58" s="5" t="str">
        <f>IFERROR(__xludf.DUMMYFUNCTION("""COMPUTED_VALUE"""),"Mercury Bottle Water #Mercurybottle #bottlewater")</f>
        <v>Mercury Bottle Water #Mercurybottle #bottlewater</v>
      </c>
    </row>
    <row r="59" ht="76.5" spans="1:5">
      <c r="A59" s="9">
        <f>IFERROR(__xludf.DUMMYFUNCTION("""COMPUTED_VALUE"""),46008)</f>
        <v>46008</v>
      </c>
      <c r="B59" s="5" t="str">
        <f>IFERROR(__xludf.DUMMYFUNCTION("""COMPUTED_VALUE"""),"Locaupin 3pcs Transparent Multipurpose Fridge Organizer Bin Refrigerator Side Door Storage Shelf Pantry Cabinet Cupboard Basket Boxes Inspired")</f>
        <v>Locaupin 3pcs Transparent Multipurpose Fridge Organizer Bin Refrigerator Side Door Storage Shelf Pantry Cabinet Cupboard Basket Boxes Inspired</v>
      </c>
      <c r="C59" s="6" t="str">
        <f>IFERROR(__xludf.DUMMYFUNCTION("""COMPUTED_VALUE"""),"vt.tiktok.com/ZSHwTkrqtprTk-VSx6I/")</f>
        <v>vt.tiktok.com/ZSHwTkrqtprTk-VSx6I/</v>
      </c>
      <c r="D59" s="5" t="str">
        <f>IFERROR(__xludf.DUMMYFUNCTION("""COMPUTED_VALUE"""),"HS_KC_SS_011")</f>
        <v>HS_KC_SS_011</v>
      </c>
      <c r="E59" s="5" t="str">
        <f>IFERROR(__xludf.DUMMYFUNCTION("""COMPUTED_VALUE"""),"Locaupin Fridge Organizer Bin
#fridgeorganizer #kitchenstorage")</f>
        <v>Locaupin Fridge Organizer Bin
#fridgeorganizer #kitchenstorage</v>
      </c>
    </row>
    <row r="60" ht="63.75" spans="1:5">
      <c r="A60" s="9">
        <f>IFERROR(__xludf.DUMMYFUNCTION("""COMPUTED_VALUE"""),46008)</f>
        <v>46008</v>
      </c>
      <c r="B60" s="5" t="str">
        <f>IFERROR(__xludf.DUMMYFUNCTION("""COMPUTED_VALUE"""),"Thick &amp; Transparent Airtight Container - for Rice, Sugar, Coffee &amp; Snacks | Leak-Proof Easy Lock
Lid | Durable PET Plastic")</f>
        <v>Thick &amp; Transparent Airtight Container - for Rice, Sugar, Coffee &amp; Snacks | Leak-Proof Easy Lock
Lid | Durable PET Plastic</v>
      </c>
      <c r="C60" s="6" t="str">
        <f>IFERROR(__xludf.DUMMYFUNCTION("""COMPUTED_VALUE"""),"vt.tiktok.com/ZSHwTSfMsmxTE-5K8Q9/")</f>
        <v>vt.tiktok.com/ZSHwTSfMsmxTE-5K8Q9/</v>
      </c>
      <c r="D60" s="5" t="str">
        <f>IFERROR(__xludf.DUMMYFUNCTION("""COMPUTED_VALUE"""),"HS_KC_SS_012")</f>
        <v>HS_KC_SS_012</v>
      </c>
      <c r="E60" s="5" t="str">
        <f>IFERROR(__xludf.DUMMYFUNCTION("""COMPUTED_VALUE"""),"Transparent Airtight Food Container
#foodcontainer #kitchenstorage")</f>
        <v>Transparent Airtight Food Container
#foodcontainer #kitchenstorage</v>
      </c>
    </row>
    <row r="61" ht="76.5" spans="1:5">
      <c r="A61" s="9">
        <f>IFERROR(__xludf.DUMMYFUNCTION("""COMPUTED_VALUE"""),46008)</f>
        <v>46008</v>
      </c>
      <c r="B61" s="5" t="str">
        <f>IFERROR(__xludf.DUMMYFUNCTION("""COMPUTED_VALUE"""),"304 Portable Tableware Three-layer Stainless Steel Lunch Box Round Bucket Tableware Set Double Lunch Box for Working Students Food Grade")</f>
        <v>304 Portable Tableware Three-layer Stainless Steel Lunch Box Round Bucket Tableware Set Double Lunch Box for Working Students Food Grade</v>
      </c>
      <c r="C61" s="6" t="str">
        <f>IFERROR(__xludf.DUMMYFUNCTION("""COMPUTED_VALUE"""),"vt.tiktok.com/ZSHwTadQDjpWh-dy6m7/")</f>
        <v>vt.tiktok.com/ZSHwTadQDjpWh-dy6m7/</v>
      </c>
      <c r="D61" s="5" t="str">
        <f>IFERROR(__xludf.DUMMYFUNCTION("""COMPUTED_VALUE"""),"HS_KC_SS_013")</f>
        <v>HS_KC_SS_013</v>
      </c>
      <c r="E61" s="5" t="str">
        <f>IFERROR(__xludf.DUMMYFUNCTION("""COMPUTED_VALUE"""),"304 Stainless Steel Lunch Box Set
#lunchbox #3layerlunchbox")</f>
        <v>304 Stainless Steel Lunch Box Set
#lunchbox #3layerlunchbox</v>
      </c>
    </row>
    <row r="62" ht="63.75" spans="1:5">
      <c r="A62" s="9">
        <f>IFERROR(__xludf.DUMMYFUNCTION("""COMPUTED_VALUE"""),46008)</f>
        <v>46008</v>
      </c>
      <c r="B62" s="5" t="str">
        <f>IFERROR(__xludf.DUMMYFUNCTION("""COMPUTED_VALUE"""),"600ML American Coffee Cup with Straw Stainless Steel Thermos Iced Coffee American Mug Drinkware Flasks")</f>
        <v>600ML American Coffee Cup with Straw Stainless Steel Thermos Iced Coffee American Mug Drinkware Flasks</v>
      </c>
      <c r="C62" s="6" t="str">
        <f>IFERROR(__xludf.DUMMYFUNCTION("""COMPUTED_VALUE"""),"vt.tiktok.com/ZSHwTuDm7Hmkf-E1zvr/")</f>
        <v>vt.tiktok.com/ZSHwTuDm7Hmkf-E1zvr/</v>
      </c>
      <c r="D62" s="5" t="str">
        <f>IFERROR(__xludf.DUMMYFUNCTION("""COMPUTED_VALUE"""),"HS_KC_SS_015")</f>
        <v>HS_KC_SS_015</v>
      </c>
      <c r="E62" s="5" t="str">
        <f>IFERROR(__xludf.DUMMYFUNCTION("""COMPUTED_VALUE"""),"600ML Stainless Steel Coffee Cup with Straw
#coffeecup #tumbler")</f>
        <v>600ML Stainless Steel Coffee Cup with Straw
#coffeecup #tumbler</v>
      </c>
    </row>
    <row r="63" ht="51" spans="1:5">
      <c r="A63" s="9">
        <f>IFERROR(__xludf.DUMMYFUNCTION("""COMPUTED_VALUE"""),46009)</f>
        <v>46009</v>
      </c>
      <c r="B63" s="5" t="str">
        <f>IFERROR(__xludf.DUMMYFUNCTION("""COMPUTED_VALUE"""),"Glacier Bear water cup with lid glass gift coffee cup with handle and spoon office water")</f>
        <v>Glacier Bear water cup with lid glass gift coffee cup with handle and spoon office water</v>
      </c>
      <c r="C63" s="6" t="str">
        <f>IFERROR(__xludf.DUMMYFUNCTION("""COMPUTED_VALUE"""),"vt.tiktok.com/ZSHK1eSNbFN9h-7r5JZ/")</f>
        <v>vt.tiktok.com/ZSHK1eSNbFN9h-7r5JZ/</v>
      </c>
      <c r="D63" s="5" t="str">
        <f>IFERROR(__xludf.DUMMYFUNCTION("""COMPUTED_VALUE"""),"HS_KC_SS_017")</f>
        <v>HS_KC_SS_017</v>
      </c>
      <c r="E63" s="5" t="str">
        <f>IFERROR(__xludf.DUMMYFUNCTION("""COMPUTED_VALUE"""),"Glacier Bear Glass Coffee Cup with Lid
#glasscup #coffeecup")</f>
        <v>Glacier Bear Glass Coffee Cup with Lid
#glasscup #coffeecup</v>
      </c>
    </row>
    <row r="64" ht="63.75" spans="1:5">
      <c r="A64" s="9">
        <f>IFERROR(__xludf.DUMMYFUNCTION("""COMPUTED_VALUE"""),46009)</f>
        <v>46009</v>
      </c>
      <c r="B64" s="5" t="str">
        <f>IFERROR(__xludf.DUMMYFUNCTION("""COMPUTED_VALUE"""),"600ML Collapsible Travel Bottles Sport Folding Drinking Sports Silicone Foldable Water Bottle Leak Proof Outdoor Bottle")</f>
        <v>600ML Collapsible Travel Bottles Sport Folding Drinking Sports Silicone Foldable Water Bottle Leak Proof Outdoor Bottle</v>
      </c>
      <c r="C64" s="6" t="str">
        <f>IFERROR(__xludf.DUMMYFUNCTION("""COMPUTED_VALUE"""),"vt.tiktok.com/ZSHK1VJoMfYg6-UZTHf/")</f>
        <v>vt.tiktok.com/ZSHK1VJoMfYg6-UZTHf/</v>
      </c>
      <c r="D64" s="5" t="str">
        <f>IFERROR(__xludf.DUMMYFUNCTION("""COMPUTED_VALUE"""),"HS_KC_SS_018")</f>
        <v>HS_KC_SS_018</v>
      </c>
      <c r="E64" s="5" t="str">
        <f>IFERROR(__xludf.DUMMYFUNCTION("""COMPUTED_VALUE"""),"600ML Collapsible Travel Bottles #foldingtumbler #foldabletumbler")</f>
        <v>600ML Collapsible Travel Bottles #foldingtumbler #foldabletumbler</v>
      </c>
    </row>
    <row r="65" ht="51" spans="1:5">
      <c r="A65" s="9">
        <f>IFERROR(__xludf.DUMMYFUNCTION("""COMPUTED_VALUE"""),46009)</f>
        <v>46009</v>
      </c>
      <c r="B65" s="5" t="str">
        <f>IFERROR(__xludf.DUMMYFUNCTION("""COMPUTED_VALUE"""),"500ml multi-color sports water bottle with a straight drinking spout, outdoor sports thermos, travel bottle")</f>
        <v>500ml multi-color sports water bottle with a straight drinking spout, outdoor sports thermos, travel bottle</v>
      </c>
      <c r="C65" s="6" t="str">
        <f>IFERROR(__xludf.DUMMYFUNCTION("""COMPUTED_VALUE"""),"https://vt.tiktok.com/ZSHK1q8YhMvWK-eTocm/")</f>
        <v>https://vt.tiktok.com/ZSHK1q8YhMvWK-eTocm/</v>
      </c>
      <c r="D65" s="5" t="str">
        <f>IFERROR(__xludf.DUMMYFUNCTION("""COMPUTED_VALUE"""),"HS_KC_SS_019")</f>
        <v>HS_KC_SS_019</v>
      </c>
      <c r="E65" s="5" t="str">
        <f>IFERROR(__xludf.DUMMYFUNCTION("""COMPUTED_VALUE"""),"Sports water bottle #tumbler #tumberforkids")</f>
        <v>Sports water bottle #tumbler #tumberforkids</v>
      </c>
    </row>
    <row r="66" ht="89.25" spans="1:5">
      <c r="A66" s="9">
        <f>IFERROR(__xludf.DUMMYFUNCTION("""COMPUTED_VALUE"""),46010)</f>
        <v>46010</v>
      </c>
      <c r="B66" s="5" t="str">
        <f>IFERROR(__xludf.DUMMYFUNCTION("""COMPUTED_VALUE"""),"FRIYAY (Free Gift】 900ml Cute Large Capacity Straw Tumbler With Straw Cover Outdoor Portable Straw Cup Dopamine Plastic Water Bottle With Handle BΡΑ FREE")</f>
        <v>FRIYAY (Free Gift】 900ml Cute Large Capacity Straw Tumbler With Straw Cover Outdoor Portable Straw Cup Dopamine Plastic Water Bottle With Handle BΡΑ FREE</v>
      </c>
      <c r="C66" s="6" t="str">
        <f>IFERROR(__xludf.DUMMYFUNCTION("""COMPUTED_VALUE"""),"vt.tiktok.com/ZSHK88eJSR2fJ-wODqV/")</f>
        <v>vt.tiktok.com/ZSHK88eJSR2fJ-wODqV/</v>
      </c>
      <c r="D66" s="5" t="str">
        <f>IFERROR(__xludf.DUMMYFUNCTION("""COMPUTED_VALUE"""),"HS_KC_SS_020")</f>
        <v>HS_KC_SS_020</v>
      </c>
      <c r="E66" s="5" t="str">
        <f>IFERROR(__xludf.DUMMYFUNCTION("""COMPUTED_VALUE"""),"Cute Tumbler #tumbler #mug")</f>
        <v>Cute Tumbler #tumbler #mug</v>
      </c>
    </row>
    <row r="67" ht="114.75" spans="1:5">
      <c r="A67" s="9">
        <f>IFERROR(__xludf.DUMMYFUNCTION("""COMPUTED_VALUE"""),46014)</f>
        <v>46014</v>
      </c>
      <c r="B67" s="5" t="str">
        <f>IFERROR(__xludf.DUMMYFUNCTION("""COMPUTED_VALUE"""),"Mercury 350ML (may cup rope) coffee cup na may leak-proof na takip na may vacuum insulated hindi kinakalawang na asero drinkware tasa ng kape bote ng tubig portable na tasa ng bote ng plastik na takip ng silicone")</f>
        <v>Mercury 350ML (may cup rope) coffee cup na may leak-proof na takip na may vacuum insulated hindi kinakalawang na asero drinkware tasa ng kape bote ng tubig portable na tasa ng bote ng plastik na takip ng silicone</v>
      </c>
      <c r="C67" s="6" t="str">
        <f>IFERROR(__xludf.DUMMYFUNCTION("""COMPUTED_VALUE"""),"vt.tiktok.com/ZSHTKr9GuDS2j-D37mB/")</f>
        <v>vt.tiktok.com/ZSHTKr9GuDS2j-D37mB/</v>
      </c>
      <c r="D67" s="5" t="str">
        <f>IFERROR(__xludf.DUMMYFUNCTION("""COMPUTED_VALUE"""),"HS_KC_SS_026")</f>
        <v>HS_KC_SS_026</v>
      </c>
      <c r="E67" s="5" t="str">
        <f>IFERROR(__xludf.DUMMYFUNCTION("""COMPUTED_VALUE"""),"Mercury Bottle Water #Mercurybottle #bottlewater")</f>
        <v>Mercury Bottle Water #Mercurybottle #bottlewater</v>
      </c>
    </row>
    <row r="68" ht="76.5" spans="1:5">
      <c r="A68" s="9">
        <f>IFERROR(__xludf.DUMMYFUNCTION("""COMPUTED_VALUE"""),46010)</f>
        <v>46010</v>
      </c>
      <c r="B68" s="5" t="str">
        <f>IFERROR(__xludf.DUMMYFUNCTION("""COMPUTED_VALUE"""),"100Pcs/Box Disposable Synthetic Vinyl Nitrile Gloves Powder Free Food Grade Gloves Latex gloves Tattoo gloves Surgical Gloves Cleaning Hand")</f>
        <v>100Pcs/Box Disposable Synthetic Vinyl Nitrile Gloves Powder Free Food Grade Gloves Latex gloves Tattoo gloves Surgical Gloves Cleaning Hand</v>
      </c>
      <c r="C68" s="6" t="str">
        <f>IFERROR(__xludf.DUMMYFUNCTION("""COMPUTED_VALUE"""),"vt.tiktok.com/ZSHKRoE2Fro9u-8pfJ5/")</f>
        <v>vt.tiktok.com/ZSHKRoE2Fro9u-8pfJ5/</v>
      </c>
      <c r="D68" s="5" t="str">
        <f>IFERROR(__xludf.DUMMYFUNCTION("""COMPUTED_VALUE"""),"t")</f>
        <v>t</v>
      </c>
      <c r="E68" s="5" t="str">
        <f>IFERROR(__xludf.DUMMYFUNCTION("""COMPUTED_VALUE"""),"Disposable Gloves #disposablegloves #gloves")</f>
        <v>Disposable Gloves #disposablegloves #gloves</v>
      </c>
    </row>
    <row r="69" ht="12.75" spans="1:5">
      <c r="A69" s="5"/>
      <c r="B69" s="5"/>
      <c r="C69" s="5"/>
      <c r="D69" s="5"/>
      <c r="E69" s="5"/>
    </row>
    <row r="70" ht="12.75" spans="1:5">
      <c r="A70" s="5"/>
      <c r="B70" s="5"/>
      <c r="C70" s="5"/>
      <c r="D70" s="5"/>
      <c r="E70" s="5"/>
    </row>
    <row r="71" ht="12.75" spans="1:5">
      <c r="A71" s="5"/>
      <c r="B71" s="5"/>
      <c r="C71" s="5"/>
      <c r="D71" s="5"/>
      <c r="E71" s="5"/>
    </row>
    <row r="72" ht="12.75" spans="1:5">
      <c r="A72" s="5"/>
      <c r="B72" s="5"/>
      <c r="C72" s="5"/>
      <c r="D72" s="5"/>
      <c r="E72" s="5"/>
    </row>
    <row r="73" ht="12.75" spans="1:5">
      <c r="A73" s="5"/>
      <c r="B73" s="5"/>
      <c r="C73" s="5"/>
      <c r="D73" s="5"/>
      <c r="E73" s="5"/>
    </row>
    <row r="74" ht="12.75" spans="1:5">
      <c r="A74" s="5"/>
      <c r="B74" s="5"/>
      <c r="C74" s="5"/>
      <c r="D74" s="5"/>
      <c r="E74" s="5"/>
    </row>
    <row r="75" ht="12.75" spans="1:5">
      <c r="A75" s="5"/>
      <c r="B75" s="5"/>
      <c r="C75" s="5"/>
      <c r="D75" s="5"/>
      <c r="E75" s="5"/>
    </row>
    <row r="76" ht="12.75" spans="1:5">
      <c r="A76" s="5"/>
      <c r="B76" s="5"/>
      <c r="C76" s="5"/>
      <c r="D76" s="5"/>
      <c r="E76" s="5"/>
    </row>
    <row r="77" ht="12.75" spans="1:5">
      <c r="A77" s="5"/>
      <c r="B77" s="5"/>
      <c r="C77" s="5"/>
      <c r="D77" s="5"/>
      <c r="E77" s="5"/>
    </row>
    <row r="78" ht="12.75" spans="1:5">
      <c r="A78" s="5"/>
      <c r="B78" s="5"/>
      <c r="C78" s="5"/>
      <c r="D78" s="5"/>
      <c r="E78" s="5"/>
    </row>
    <row r="79" ht="12.75" spans="1:5">
      <c r="A79" s="5"/>
      <c r="B79" s="5"/>
      <c r="C79" s="5"/>
      <c r="D79" s="5"/>
      <c r="E79" s="5"/>
    </row>
    <row r="80" ht="12.75" spans="1:5">
      <c r="A80" s="5"/>
      <c r="B80" s="5"/>
      <c r="C80" s="5"/>
      <c r="D80" s="5"/>
      <c r="E80" s="5"/>
    </row>
    <row r="81" ht="12.75" spans="1:5">
      <c r="A81" s="5"/>
      <c r="B81" s="5"/>
      <c r="C81" s="5"/>
      <c r="D81" s="5"/>
      <c r="E81" s="5"/>
    </row>
    <row r="82" ht="12.75" spans="1:5">
      <c r="A82" s="5"/>
      <c r="B82" s="5"/>
      <c r="C82" s="5"/>
      <c r="D82" s="5"/>
      <c r="E82" s="5"/>
    </row>
    <row r="83" ht="12.75" spans="1:5">
      <c r="A83" s="5"/>
      <c r="B83" s="5"/>
      <c r="C83" s="5"/>
      <c r="D83" s="5"/>
      <c r="E83" s="5"/>
    </row>
    <row r="84" ht="12.75" spans="1:5">
      <c r="A84" s="5"/>
      <c r="B84" s="5"/>
      <c r="C84" s="5"/>
      <c r="D84" s="5"/>
      <c r="E84" s="5"/>
    </row>
    <row r="85" ht="12.75" spans="1:5">
      <c r="A85" s="5"/>
      <c r="B85" s="5"/>
      <c r="C85" s="5"/>
      <c r="D85" s="5"/>
      <c r="E85" s="5"/>
    </row>
    <row r="86" ht="12.75" spans="1:5">
      <c r="A86" s="5"/>
      <c r="B86" s="5"/>
      <c r="C86" s="5"/>
      <c r="D86" s="5"/>
      <c r="E86" s="5"/>
    </row>
    <row r="87" ht="12.75" spans="1:5">
      <c r="A87" s="5"/>
      <c r="B87" s="5"/>
      <c r="C87" s="5"/>
      <c r="D87" s="5"/>
      <c r="E87" s="5"/>
    </row>
    <row r="88" ht="12.75" spans="1:5">
      <c r="A88" s="5"/>
      <c r="B88" s="5"/>
      <c r="C88" s="5"/>
      <c r="D88" s="5"/>
      <c r="E88" s="5"/>
    </row>
    <row r="89" ht="12.75" spans="1:5">
      <c r="A89" s="5"/>
      <c r="B89" s="5"/>
      <c r="C89" s="5"/>
      <c r="D89" s="5"/>
      <c r="E89" s="5"/>
    </row>
    <row r="90" ht="12.75" spans="1:5">
      <c r="A90" s="5"/>
      <c r="B90" s="5"/>
      <c r="C90" s="5"/>
      <c r="D90" s="5"/>
      <c r="E90" s="5"/>
    </row>
    <row r="91" ht="12.75" spans="1:5">
      <c r="A91" s="5"/>
      <c r="B91" s="5"/>
      <c r="C91" s="5"/>
      <c r="D91" s="5"/>
      <c r="E91" s="5"/>
    </row>
    <row r="92" ht="12.75" spans="1:5">
      <c r="A92" s="5"/>
      <c r="B92" s="5"/>
      <c r="C92" s="5"/>
      <c r="D92" s="5"/>
      <c r="E92" s="5"/>
    </row>
    <row r="93" ht="12.75" spans="1:5">
      <c r="A93" s="5"/>
      <c r="B93" s="5"/>
      <c r="C93" s="5"/>
      <c r="D93" s="5"/>
      <c r="E93" s="5"/>
    </row>
    <row r="94" ht="12.75" spans="1:5">
      <c r="A94" s="5"/>
      <c r="B94" s="5"/>
      <c r="C94" s="5"/>
      <c r="D94" s="5"/>
      <c r="E94" s="5"/>
    </row>
    <row r="95" ht="12.75" spans="1:5">
      <c r="A95" s="5"/>
      <c r="B95" s="5"/>
      <c r="C95" s="5"/>
      <c r="D95" s="5"/>
      <c r="E95" s="5"/>
    </row>
    <row r="96" ht="12.75" spans="1:5">
      <c r="A96" s="5"/>
      <c r="B96" s="5"/>
      <c r="C96" s="5"/>
      <c r="D96" s="5"/>
      <c r="E96" s="5"/>
    </row>
    <row r="97" ht="12.75" spans="1:5">
      <c r="A97" s="5"/>
      <c r="B97" s="5"/>
      <c r="C97" s="5"/>
      <c r="D97" s="5"/>
      <c r="E97" s="5"/>
    </row>
    <row r="98" ht="12.75" spans="1:5">
      <c r="A98" s="5"/>
      <c r="B98" s="5"/>
      <c r="C98" s="5"/>
      <c r="D98" s="5"/>
      <c r="E98" s="5"/>
    </row>
    <row r="99" ht="12.75" spans="1:5">
      <c r="A99" s="5"/>
      <c r="B99" s="5"/>
      <c r="C99" s="5"/>
      <c r="D99" s="5"/>
      <c r="E99" s="5"/>
    </row>
    <row r="100" ht="12.75" spans="1:5">
      <c r="A100" s="5"/>
      <c r="B100" s="5"/>
      <c r="C100" s="5"/>
      <c r="D100" s="5"/>
      <c r="E100" s="5"/>
    </row>
    <row r="101" ht="12.75" spans="1:5">
      <c r="A101" s="5"/>
      <c r="B101" s="5"/>
      <c r="C101" s="5"/>
      <c r="D101" s="5"/>
      <c r="E101" s="5"/>
    </row>
    <row r="102" ht="12.75" spans="1:5">
      <c r="A102" s="5"/>
      <c r="B102" s="5"/>
      <c r="C102" s="5"/>
      <c r="D102" s="5"/>
      <c r="E102" s="5"/>
    </row>
    <row r="103" ht="12.75" spans="1:5">
      <c r="A103" s="5"/>
      <c r="B103" s="5"/>
      <c r="C103" s="5"/>
      <c r="D103" s="5"/>
      <c r="E103" s="5"/>
    </row>
    <row r="104" ht="12.75" spans="1:5">
      <c r="A104" s="5"/>
      <c r="B104" s="5"/>
      <c r="C104" s="5"/>
      <c r="D104" s="5"/>
      <c r="E104" s="5"/>
    </row>
    <row r="105" ht="12.75" spans="1:5">
      <c r="A105" s="5"/>
      <c r="B105" s="5"/>
      <c r="C105" s="5"/>
      <c r="D105" s="5"/>
      <c r="E105" s="5"/>
    </row>
    <row r="106" ht="12.75" spans="1:5">
      <c r="A106" s="5"/>
      <c r="B106" s="5"/>
      <c r="C106" s="5"/>
      <c r="D106" s="5"/>
      <c r="E106" s="5"/>
    </row>
    <row r="107" ht="12.75" spans="1:5">
      <c r="A107" s="5"/>
      <c r="B107" s="5"/>
      <c r="C107" s="5"/>
      <c r="D107" s="5"/>
      <c r="E107" s="5"/>
    </row>
    <row r="108" ht="12.75" spans="1:5">
      <c r="A108" s="5"/>
      <c r="B108" s="5"/>
      <c r="C108" s="5"/>
      <c r="D108" s="5"/>
      <c r="E108" s="5"/>
    </row>
    <row r="109" ht="12.75" spans="1:5">
      <c r="A109" s="5"/>
      <c r="B109" s="5"/>
      <c r="C109" s="5"/>
      <c r="D109" s="5"/>
      <c r="E109" s="5"/>
    </row>
    <row r="110" ht="12.75" spans="1:5">
      <c r="A110" s="5"/>
      <c r="B110" s="5"/>
      <c r="C110" s="5"/>
      <c r="D110" s="5"/>
      <c r="E110" s="5"/>
    </row>
    <row r="111" ht="12.75" spans="1:5">
      <c r="A111" s="5"/>
      <c r="B111" s="5"/>
      <c r="C111" s="5"/>
      <c r="D111" s="5"/>
      <c r="E111" s="5"/>
    </row>
    <row r="112" ht="12.75" spans="1:5">
      <c r="A112" s="5"/>
      <c r="B112" s="5"/>
      <c r="C112" s="5"/>
      <c r="D112" s="5"/>
      <c r="E112" s="5"/>
    </row>
    <row r="113" ht="12.75" spans="1:5">
      <c r="A113" s="5"/>
      <c r="B113" s="5"/>
      <c r="C113" s="5"/>
      <c r="D113" s="5"/>
      <c r="E113" s="5"/>
    </row>
    <row r="114" ht="12.75" spans="1:5">
      <c r="A114" s="5"/>
      <c r="B114" s="5"/>
      <c r="C114" s="5"/>
      <c r="D114" s="5"/>
      <c r="E114" s="5"/>
    </row>
    <row r="115" ht="12.75" spans="1:5">
      <c r="A115" s="5"/>
      <c r="B115" s="5"/>
      <c r="C115" s="5"/>
      <c r="D115" s="5"/>
      <c r="E115" s="5"/>
    </row>
    <row r="116" ht="12.75" spans="1:5">
      <c r="A116" s="5"/>
      <c r="B116" s="5"/>
      <c r="C116" s="5"/>
      <c r="D116" s="5"/>
      <c r="E116" s="5"/>
    </row>
    <row r="117" ht="12.75" spans="1:5">
      <c r="A117" s="5"/>
      <c r="B117" s="5"/>
      <c r="C117" s="5"/>
      <c r="D117" s="5"/>
      <c r="E117" s="5"/>
    </row>
    <row r="118" ht="12.75" spans="1:5">
      <c r="A118" s="5"/>
      <c r="B118" s="5"/>
      <c r="C118" s="5"/>
      <c r="D118" s="5"/>
      <c r="E118" s="5"/>
    </row>
    <row r="119" ht="12.75" spans="1:5">
      <c r="A119" s="5"/>
      <c r="B119" s="5"/>
      <c r="C119" s="5"/>
      <c r="D119" s="5"/>
      <c r="E119" s="5"/>
    </row>
    <row r="120" ht="12.75" spans="1:5">
      <c r="A120" s="5"/>
      <c r="B120" s="5"/>
      <c r="C120" s="5"/>
      <c r="D120" s="5"/>
      <c r="E120" s="5"/>
    </row>
    <row r="121" ht="12.75" spans="1:5">
      <c r="A121" s="5"/>
      <c r="B121" s="5"/>
      <c r="C121" s="5"/>
      <c r="D121" s="5"/>
      <c r="E121" s="5"/>
    </row>
    <row r="122" ht="12.75" spans="1:5">
      <c r="A122" s="5"/>
      <c r="B122" s="5"/>
      <c r="C122" s="5"/>
      <c r="D122" s="5"/>
      <c r="E122" s="5"/>
    </row>
    <row r="123" ht="12.75" spans="1:5">
      <c r="A123" s="5"/>
      <c r="B123" s="5"/>
      <c r="C123" s="5"/>
      <c r="D123" s="5"/>
      <c r="E123" s="5"/>
    </row>
    <row r="124" ht="12.75" spans="1:5">
      <c r="A124" s="5"/>
      <c r="B124" s="5"/>
      <c r="C124" s="5"/>
      <c r="D124" s="5"/>
      <c r="E124" s="5"/>
    </row>
    <row r="125" ht="12.75" spans="1:5">
      <c r="A125" s="5"/>
      <c r="B125" s="5"/>
      <c r="C125" s="5"/>
      <c r="D125" s="5"/>
      <c r="E125" s="5"/>
    </row>
    <row r="126" ht="12.75" spans="1:5">
      <c r="A126" s="5"/>
      <c r="B126" s="5"/>
      <c r="C126" s="5"/>
      <c r="D126" s="5"/>
      <c r="E126" s="5"/>
    </row>
    <row r="127" ht="12.75" spans="1:5">
      <c r="A127" s="5"/>
      <c r="B127" s="5"/>
      <c r="C127" s="5"/>
      <c r="D127" s="5"/>
      <c r="E127" s="5"/>
    </row>
    <row r="128" ht="12.75" spans="1:5">
      <c r="A128" s="5"/>
      <c r="B128" s="5"/>
      <c r="C128" s="5"/>
      <c r="D128" s="5"/>
      <c r="E128" s="5"/>
    </row>
    <row r="129" ht="12.75" spans="1:5">
      <c r="A129" s="5"/>
      <c r="B129" s="5"/>
      <c r="C129" s="5"/>
      <c r="D129" s="5"/>
      <c r="E129" s="5"/>
    </row>
    <row r="130" ht="12.75" spans="1:5">
      <c r="A130" s="5"/>
      <c r="B130" s="5"/>
      <c r="C130" s="5"/>
      <c r="D130" s="5"/>
      <c r="E130" s="5"/>
    </row>
    <row r="131" ht="12.75" spans="1:5">
      <c r="A131" s="5"/>
      <c r="B131" s="5"/>
      <c r="C131" s="5"/>
      <c r="D131" s="5"/>
      <c r="E131" s="5"/>
    </row>
    <row r="132" ht="12.75" spans="1:5">
      <c r="A132" s="5"/>
      <c r="B132" s="5"/>
      <c r="C132" s="5"/>
      <c r="D132" s="5"/>
      <c r="E132" s="5"/>
    </row>
    <row r="133" ht="12.75" spans="1:5">
      <c r="A133" s="5"/>
      <c r="B133" s="5"/>
      <c r="C133" s="5"/>
      <c r="D133" s="5"/>
      <c r="E133" s="5"/>
    </row>
    <row r="134" ht="12.75" spans="1:5">
      <c r="A134" s="5"/>
      <c r="B134" s="5"/>
      <c r="C134" s="5"/>
      <c r="D134" s="5"/>
      <c r="E134" s="5"/>
    </row>
    <row r="135" ht="12.75" spans="1:5">
      <c r="A135" s="5"/>
      <c r="B135" s="5"/>
      <c r="C135" s="5"/>
      <c r="D135" s="5"/>
      <c r="E135" s="5"/>
    </row>
    <row r="136" ht="12.75" spans="1:5">
      <c r="A136" s="5"/>
      <c r="B136" s="5"/>
      <c r="C136" s="5"/>
      <c r="D136" s="5"/>
      <c r="E136" s="5"/>
    </row>
    <row r="137" ht="12.75" spans="1:5">
      <c r="A137" s="5"/>
      <c r="B137" s="5"/>
      <c r="C137" s="5"/>
      <c r="D137" s="5"/>
      <c r="E137" s="5"/>
    </row>
    <row r="138" ht="12.75" spans="1:5">
      <c r="A138" s="5"/>
      <c r="B138" s="5"/>
      <c r="C138" s="5"/>
      <c r="D138" s="5"/>
      <c r="E138" s="5"/>
    </row>
    <row r="139" ht="12.75" spans="1:5">
      <c r="A139" s="5"/>
      <c r="B139" s="5"/>
      <c r="C139" s="5"/>
      <c r="D139" s="5"/>
      <c r="E139" s="5"/>
    </row>
    <row r="140" ht="12.75" spans="1:5">
      <c r="A140" s="5"/>
      <c r="B140" s="5"/>
      <c r="C140" s="5"/>
      <c r="D140" s="5"/>
      <c r="E140" s="5"/>
    </row>
    <row r="141" ht="12.75" spans="1:5">
      <c r="A141" s="5"/>
      <c r="B141" s="5"/>
      <c r="C141" s="5"/>
      <c r="D141" s="5"/>
      <c r="E141" s="5"/>
    </row>
    <row r="142" ht="12.75" spans="1:5">
      <c r="A142" s="5"/>
      <c r="B142" s="5"/>
      <c r="C142" s="5"/>
      <c r="D142" s="5"/>
      <c r="E142" s="5"/>
    </row>
    <row r="143" ht="12.75" spans="1:5">
      <c r="A143" s="5"/>
      <c r="B143" s="5"/>
      <c r="C143" s="5"/>
      <c r="D143" s="5"/>
      <c r="E143" s="5"/>
    </row>
    <row r="144" ht="12.75" spans="1:5">
      <c r="A144" s="5"/>
      <c r="B144" s="5"/>
      <c r="C144" s="5"/>
      <c r="D144" s="5"/>
      <c r="E144" s="5"/>
    </row>
    <row r="145" ht="12.75" spans="1:5">
      <c r="A145" s="5"/>
      <c r="B145" s="5"/>
      <c r="C145" s="5"/>
      <c r="D145" s="5"/>
      <c r="E145" s="5"/>
    </row>
    <row r="146" ht="12.75" spans="1:5">
      <c r="A146" s="5"/>
      <c r="B146" s="5"/>
      <c r="C146" s="5"/>
      <c r="D146" s="5"/>
      <c r="E146" s="5"/>
    </row>
    <row r="147" ht="12.75" spans="1:5">
      <c r="A147" s="5"/>
      <c r="B147" s="5"/>
      <c r="C147" s="5"/>
      <c r="D147" s="5"/>
      <c r="E147" s="5"/>
    </row>
    <row r="148" ht="12.75" spans="1:5">
      <c r="A148" s="5"/>
      <c r="B148" s="5"/>
      <c r="C148" s="5"/>
      <c r="D148" s="5"/>
      <c r="E148" s="5"/>
    </row>
    <row r="149" ht="12.75" spans="1:5">
      <c r="A149" s="5"/>
      <c r="B149" s="5"/>
      <c r="C149" s="5"/>
      <c r="D149" s="5"/>
      <c r="E149" s="5"/>
    </row>
    <row r="150" ht="12.75" spans="1:5">
      <c r="A150" s="5"/>
      <c r="B150" s="5"/>
      <c r="C150" s="5"/>
      <c r="D150" s="5"/>
      <c r="E150" s="5"/>
    </row>
    <row r="151" ht="12.75" spans="1:5">
      <c r="A151" s="5"/>
      <c r="B151" s="5"/>
      <c r="C151" s="5"/>
      <c r="D151" s="5"/>
      <c r="E151" s="5"/>
    </row>
    <row r="152" ht="12.75" spans="1:5">
      <c r="A152" s="5"/>
      <c r="B152" s="5"/>
      <c r="C152" s="5"/>
      <c r="D152" s="5"/>
      <c r="E152" s="5"/>
    </row>
    <row r="153" ht="12.75" spans="1:5">
      <c r="A153" s="5"/>
      <c r="B153" s="5"/>
      <c r="C153" s="5"/>
      <c r="D153" s="5"/>
      <c r="E153" s="5"/>
    </row>
    <row r="154" ht="12.75" spans="1:5">
      <c r="A154" s="5"/>
      <c r="B154" s="5"/>
      <c r="C154" s="5"/>
      <c r="D154" s="5"/>
      <c r="E154" s="5"/>
    </row>
    <row r="155" ht="12.75" spans="1:5">
      <c r="A155" s="5"/>
      <c r="B155" s="5"/>
      <c r="C155" s="5"/>
      <c r="D155" s="5"/>
      <c r="E155" s="5"/>
    </row>
    <row r="156" ht="12.75" spans="1:5">
      <c r="A156" s="5"/>
      <c r="B156" s="5"/>
      <c r="C156" s="5"/>
      <c r="D156" s="5"/>
      <c r="E156" s="5"/>
    </row>
    <row r="157" ht="12.75" spans="1:5">
      <c r="A157" s="5"/>
      <c r="B157" s="5"/>
      <c r="C157" s="5"/>
      <c r="D157" s="5"/>
      <c r="E157" s="5"/>
    </row>
    <row r="158" ht="12.75" spans="1:5">
      <c r="A158" s="5"/>
      <c r="B158" s="5"/>
      <c r="C158" s="5"/>
      <c r="D158" s="5"/>
      <c r="E158" s="5"/>
    </row>
    <row r="159" ht="12.75" spans="1:5">
      <c r="A159" s="5"/>
      <c r="B159" s="5"/>
      <c r="C159" s="5"/>
      <c r="D159" s="5"/>
      <c r="E159" s="5"/>
    </row>
    <row r="160" ht="12.75" spans="1:5">
      <c r="A160" s="5"/>
      <c r="B160" s="5"/>
      <c r="C160" s="5"/>
      <c r="D160" s="5"/>
      <c r="E160" s="5"/>
    </row>
    <row r="161" ht="12.75" spans="1:5">
      <c r="A161" s="5"/>
      <c r="B161" s="5"/>
      <c r="C161" s="5"/>
      <c r="D161" s="5"/>
      <c r="E161" s="5"/>
    </row>
    <row r="162" ht="12.75" spans="1:5">
      <c r="A162" s="5"/>
      <c r="B162" s="5"/>
      <c r="C162" s="5"/>
      <c r="D162" s="5"/>
      <c r="E162" s="5"/>
    </row>
    <row r="163" ht="12.75" spans="1:5">
      <c r="A163" s="5"/>
      <c r="B163" s="5"/>
      <c r="C163" s="5"/>
      <c r="D163" s="5"/>
      <c r="E163" s="5"/>
    </row>
    <row r="164" ht="12.75" spans="1:5">
      <c r="A164" s="5"/>
      <c r="B164" s="5"/>
      <c r="C164" s="5"/>
      <c r="D164" s="5"/>
      <c r="E164" s="5"/>
    </row>
    <row r="165" ht="12.75" spans="1:5">
      <c r="A165" s="5"/>
      <c r="B165" s="5"/>
      <c r="C165" s="5"/>
      <c r="D165" s="5"/>
      <c r="E165" s="5"/>
    </row>
    <row r="166" ht="12.75" spans="1:5">
      <c r="A166" s="5"/>
      <c r="B166" s="5"/>
      <c r="C166" s="5"/>
      <c r="D166" s="5"/>
      <c r="E166" s="5"/>
    </row>
    <row r="167" ht="12.75" spans="1:5">
      <c r="A167" s="5"/>
      <c r="B167" s="5"/>
      <c r="C167" s="5"/>
      <c r="D167" s="5"/>
      <c r="E167" s="5"/>
    </row>
    <row r="168" ht="12.75" spans="1:5">
      <c r="A168" s="5"/>
      <c r="B168" s="5"/>
      <c r="C168" s="5"/>
      <c r="D168" s="5"/>
      <c r="E168" s="5"/>
    </row>
    <row r="169" ht="12.75" spans="1:5">
      <c r="A169" s="5"/>
      <c r="B169" s="5"/>
      <c r="C169" s="5"/>
      <c r="D169" s="5"/>
      <c r="E169" s="5"/>
    </row>
    <row r="170" ht="12.75" spans="1:5">
      <c r="A170" s="5"/>
      <c r="B170" s="5"/>
      <c r="C170" s="5"/>
      <c r="D170" s="5"/>
      <c r="E170" s="5"/>
    </row>
    <row r="171" ht="12.75" spans="1:5">
      <c r="A171" s="5"/>
      <c r="B171" s="5"/>
      <c r="C171" s="5"/>
      <c r="D171" s="5"/>
      <c r="E171" s="5"/>
    </row>
    <row r="172" ht="12.75" spans="1:5">
      <c r="A172" s="5"/>
      <c r="B172" s="5"/>
      <c r="C172" s="5"/>
      <c r="D172" s="5"/>
      <c r="E172" s="5"/>
    </row>
    <row r="173" ht="12.75" spans="1:5">
      <c r="A173" s="5"/>
      <c r="B173" s="5"/>
      <c r="C173" s="5"/>
      <c r="D173" s="5"/>
      <c r="E173" s="5"/>
    </row>
    <row r="174" ht="12.75" spans="1:5">
      <c r="A174" s="5"/>
      <c r="B174" s="5"/>
      <c r="C174" s="5"/>
      <c r="D174" s="5"/>
      <c r="E174" s="5"/>
    </row>
    <row r="175" ht="12.75" spans="1:5">
      <c r="A175" s="5"/>
      <c r="B175" s="5"/>
      <c r="C175" s="5"/>
      <c r="D175" s="5"/>
      <c r="E175" s="5"/>
    </row>
    <row r="176" ht="12.75" spans="1:5">
      <c r="A176" s="5"/>
      <c r="B176" s="5"/>
      <c r="C176" s="5"/>
      <c r="D176" s="5"/>
      <c r="E176" s="5"/>
    </row>
    <row r="177" ht="12.75" spans="1:5">
      <c r="A177" s="5"/>
      <c r="B177" s="5"/>
      <c r="C177" s="5"/>
      <c r="D177" s="5"/>
      <c r="E177" s="5"/>
    </row>
    <row r="178" ht="12.75" spans="1:5">
      <c r="A178" s="5"/>
      <c r="B178" s="5"/>
      <c r="C178" s="5"/>
      <c r="D178" s="5"/>
      <c r="E178" s="5"/>
    </row>
    <row r="179" ht="12.75" spans="1:5">
      <c r="A179" s="5"/>
      <c r="B179" s="5"/>
      <c r="C179" s="5"/>
      <c r="D179" s="5"/>
      <c r="E179" s="5"/>
    </row>
    <row r="180" ht="12.75" spans="1:5">
      <c r="A180" s="5"/>
      <c r="B180" s="5"/>
      <c r="C180" s="5"/>
      <c r="D180" s="5"/>
      <c r="E180" s="5"/>
    </row>
    <row r="181" ht="12.75" spans="1:5">
      <c r="A181" s="5"/>
      <c r="B181" s="5"/>
      <c r="C181" s="5"/>
      <c r="D181" s="5"/>
      <c r="E181" s="5"/>
    </row>
    <row r="182" ht="12.75" spans="1:5">
      <c r="A182" s="5"/>
      <c r="B182" s="5"/>
      <c r="C182" s="5"/>
      <c r="D182" s="5"/>
      <c r="E182" s="5"/>
    </row>
    <row r="183" ht="12.75" spans="1:5">
      <c r="A183" s="5"/>
      <c r="B183" s="5"/>
      <c r="C183" s="5"/>
      <c r="D183" s="5"/>
      <c r="E183" s="5"/>
    </row>
    <row r="184" ht="12.75" spans="1:5">
      <c r="A184" s="5"/>
      <c r="B184" s="5"/>
      <c r="C184" s="5"/>
      <c r="D184" s="5"/>
      <c r="E184" s="5"/>
    </row>
    <row r="185" ht="12.75" spans="1:5">
      <c r="A185" s="5"/>
      <c r="B185" s="5"/>
      <c r="C185" s="5"/>
      <c r="D185" s="5"/>
      <c r="E185" s="5"/>
    </row>
    <row r="186" ht="12.75" spans="1:5">
      <c r="A186" s="5"/>
      <c r="B186" s="5"/>
      <c r="C186" s="5"/>
      <c r="D186" s="5"/>
      <c r="E186" s="5"/>
    </row>
    <row r="187" ht="12.75" spans="1:5">
      <c r="A187" s="5"/>
      <c r="B187" s="5"/>
      <c r="C187" s="5"/>
      <c r="D187" s="5"/>
      <c r="E187" s="5"/>
    </row>
    <row r="188" ht="12.75" spans="1:5">
      <c r="A188" s="5"/>
      <c r="B188" s="5"/>
      <c r="C188" s="5"/>
      <c r="D188" s="5"/>
      <c r="E188" s="5"/>
    </row>
    <row r="189" ht="12.75" spans="1:5">
      <c r="A189" s="5"/>
      <c r="B189" s="5"/>
      <c r="C189" s="5"/>
      <c r="D189" s="5"/>
      <c r="E189" s="5"/>
    </row>
    <row r="190" ht="12.75" spans="1:5">
      <c r="A190" s="5"/>
      <c r="B190" s="5"/>
      <c r="C190" s="5"/>
      <c r="D190" s="5"/>
      <c r="E190" s="5"/>
    </row>
    <row r="191" ht="12.75" spans="1:5">
      <c r="A191" s="5"/>
      <c r="B191" s="5"/>
      <c r="C191" s="5"/>
      <c r="D191" s="5"/>
      <c r="E191" s="5"/>
    </row>
    <row r="192" ht="12.75" spans="1:5">
      <c r="A192" s="5"/>
      <c r="B192" s="5"/>
      <c r="C192" s="5"/>
      <c r="D192" s="5"/>
      <c r="E192" s="5"/>
    </row>
    <row r="193" ht="12.75" spans="1:5">
      <c r="A193" s="5"/>
      <c r="B193" s="5"/>
      <c r="C193" s="5"/>
      <c r="D193" s="5"/>
      <c r="E193" s="5"/>
    </row>
    <row r="194" ht="12.75" spans="1:5">
      <c r="A194" s="5"/>
      <c r="B194" s="5"/>
      <c r="C194" s="5"/>
      <c r="D194" s="5"/>
      <c r="E194" s="5"/>
    </row>
    <row r="195" ht="12.75" spans="1:5">
      <c r="A195" s="5"/>
      <c r="B195" s="5"/>
      <c r="C195" s="5"/>
      <c r="D195" s="5"/>
      <c r="E195" s="5"/>
    </row>
    <row r="196" ht="12.75" spans="1:5">
      <c r="A196" s="5"/>
      <c r="B196" s="5"/>
      <c r="C196" s="5"/>
      <c r="D196" s="5"/>
      <c r="E196" s="5"/>
    </row>
    <row r="197" ht="12.75" spans="1:5">
      <c r="A197" s="5"/>
      <c r="B197" s="5"/>
      <c r="C197" s="5"/>
      <c r="D197" s="5"/>
      <c r="E197" s="5"/>
    </row>
    <row r="198" ht="12.75" spans="1:5">
      <c r="A198" s="5"/>
      <c r="B198" s="5"/>
      <c r="C198" s="5"/>
      <c r="D198" s="5"/>
      <c r="E198" s="5"/>
    </row>
    <row r="199" ht="12.75" spans="1:5">
      <c r="A199" s="5"/>
      <c r="B199" s="5"/>
      <c r="C199" s="5"/>
      <c r="D199" s="5"/>
      <c r="E199" s="5"/>
    </row>
    <row r="200" ht="12.75" spans="1:5">
      <c r="A200" s="5"/>
      <c r="B200" s="5"/>
      <c r="C200" s="5"/>
      <c r="D200" s="5"/>
      <c r="E200" s="5"/>
    </row>
    <row r="201" ht="12.75" spans="1:5">
      <c r="A201" s="5"/>
      <c r="B201" s="5"/>
      <c r="C201" s="5"/>
      <c r="D201" s="5"/>
      <c r="E201" s="5"/>
    </row>
    <row r="202" ht="12.75" spans="1:5">
      <c r="A202" s="5"/>
      <c r="B202" s="5"/>
      <c r="C202" s="5"/>
      <c r="D202" s="5"/>
      <c r="E202" s="5"/>
    </row>
    <row r="203" ht="12.75" spans="1:5">
      <c r="A203" s="5"/>
      <c r="B203" s="5"/>
      <c r="C203" s="5"/>
      <c r="D203" s="5"/>
      <c r="E203" s="5"/>
    </row>
    <row r="204" ht="12.75" spans="1:5">
      <c r="A204" s="5"/>
      <c r="B204" s="5"/>
      <c r="C204" s="5"/>
      <c r="D204" s="5"/>
      <c r="E204" s="5"/>
    </row>
    <row r="205" ht="12.75" spans="1:5">
      <c r="A205" s="5"/>
      <c r="B205" s="5"/>
      <c r="C205" s="5"/>
      <c r="D205" s="5"/>
      <c r="E205" s="5"/>
    </row>
    <row r="206" ht="12.75" spans="1:5">
      <c r="A206" s="5"/>
      <c r="B206" s="5"/>
      <c r="C206" s="5"/>
      <c r="D206" s="5"/>
      <c r="E206" s="5"/>
    </row>
    <row r="207" ht="12.75" spans="1:5">
      <c r="A207" s="5"/>
      <c r="B207" s="5"/>
      <c r="C207" s="5"/>
      <c r="D207" s="5"/>
      <c r="E207" s="5"/>
    </row>
    <row r="208" ht="12.75" spans="1:5">
      <c r="A208" s="5"/>
      <c r="B208" s="5"/>
      <c r="C208" s="5"/>
      <c r="D208" s="5"/>
      <c r="E208" s="5"/>
    </row>
    <row r="209" ht="12.75" spans="1:5">
      <c r="A209" s="5"/>
      <c r="B209" s="5"/>
      <c r="C209" s="5"/>
      <c r="D209" s="5"/>
      <c r="E209" s="5"/>
    </row>
    <row r="210" ht="12.75" spans="1:5">
      <c r="A210" s="5"/>
      <c r="B210" s="5"/>
      <c r="C210" s="5"/>
      <c r="D210" s="5"/>
      <c r="E210" s="5"/>
    </row>
    <row r="211" ht="12.75" spans="1:5">
      <c r="A211" s="5"/>
      <c r="B211" s="5"/>
      <c r="C211" s="5"/>
      <c r="D211" s="5"/>
      <c r="E211" s="5"/>
    </row>
    <row r="212" ht="12.75" spans="1:5">
      <c r="A212" s="5"/>
      <c r="B212" s="5"/>
      <c r="C212" s="5"/>
      <c r="D212" s="5"/>
      <c r="E212" s="5"/>
    </row>
    <row r="213" ht="12.75" spans="1:5">
      <c r="A213" s="5"/>
      <c r="B213" s="5"/>
      <c r="C213" s="5"/>
      <c r="D213" s="5"/>
      <c r="E213" s="5"/>
    </row>
    <row r="214" ht="12.75" spans="1:5">
      <c r="A214" s="5"/>
      <c r="B214" s="5"/>
      <c r="C214" s="5"/>
      <c r="D214" s="5"/>
      <c r="E214" s="5"/>
    </row>
    <row r="215" ht="12.75" spans="1:5">
      <c r="A215" s="5"/>
      <c r="B215" s="5"/>
      <c r="C215" s="5"/>
      <c r="D215" s="5"/>
      <c r="E215" s="5"/>
    </row>
    <row r="216" ht="12.75" spans="1:5">
      <c r="A216" s="5"/>
      <c r="B216" s="5"/>
      <c r="C216" s="5"/>
      <c r="D216" s="5"/>
      <c r="E216" s="5"/>
    </row>
    <row r="217" ht="12.75" spans="1:5">
      <c r="A217" s="5"/>
      <c r="B217" s="5"/>
      <c r="C217" s="5"/>
      <c r="D217" s="5"/>
      <c r="E217" s="5"/>
    </row>
    <row r="218" ht="12.75" spans="1:5">
      <c r="A218" s="5"/>
      <c r="B218" s="5"/>
      <c r="C218" s="5"/>
      <c r="D218" s="5"/>
      <c r="E218" s="5"/>
    </row>
    <row r="219" ht="12.75" spans="1:5">
      <c r="A219" s="5"/>
      <c r="B219" s="5"/>
      <c r="C219" s="5"/>
      <c r="D219" s="5"/>
      <c r="E219" s="5"/>
    </row>
    <row r="220" ht="12.75" spans="1:5">
      <c r="A220" s="5"/>
      <c r="B220" s="5"/>
      <c r="C220" s="5"/>
      <c r="D220" s="5"/>
      <c r="E220" s="5"/>
    </row>
    <row r="221" ht="12.75" spans="1:5">
      <c r="A221" s="5"/>
      <c r="B221" s="5"/>
      <c r="C221" s="5"/>
      <c r="D221" s="5"/>
      <c r="E221" s="5"/>
    </row>
    <row r="222" ht="12.75" spans="1:5">
      <c r="A222" s="5"/>
      <c r="B222" s="5"/>
      <c r="C222" s="5"/>
      <c r="D222" s="5"/>
      <c r="E222" s="5"/>
    </row>
    <row r="223" ht="12.75" spans="1:5">
      <c r="A223" s="5"/>
      <c r="B223" s="5"/>
      <c r="C223" s="5"/>
      <c r="D223" s="5"/>
      <c r="E223" s="5"/>
    </row>
    <row r="224" ht="12.75" spans="1:5">
      <c r="A224" s="5"/>
      <c r="B224" s="5"/>
      <c r="C224" s="5"/>
      <c r="D224" s="5"/>
      <c r="E224" s="5"/>
    </row>
    <row r="225" ht="12.75" spans="1:5">
      <c r="A225" s="5"/>
      <c r="B225" s="5"/>
      <c r="C225" s="5"/>
      <c r="D225" s="5"/>
      <c r="E225" s="5"/>
    </row>
    <row r="226" ht="12.75" spans="1:5">
      <c r="A226" s="5"/>
      <c r="B226" s="5"/>
      <c r="C226" s="5"/>
      <c r="D226" s="5"/>
      <c r="E226" s="5"/>
    </row>
    <row r="227" ht="12.75" spans="1:5">
      <c r="A227" s="5"/>
      <c r="B227" s="5"/>
      <c r="C227" s="5"/>
      <c r="D227" s="5"/>
      <c r="E227" s="5"/>
    </row>
    <row r="228" ht="12.75" spans="1:5">
      <c r="A228" s="5"/>
      <c r="B228" s="5"/>
      <c r="C228" s="5"/>
      <c r="D228" s="5"/>
      <c r="E228" s="5"/>
    </row>
    <row r="229" ht="12.75" spans="1:5">
      <c r="A229" s="5"/>
      <c r="B229" s="5"/>
      <c r="C229" s="5"/>
      <c r="D229" s="5"/>
      <c r="E229" s="5"/>
    </row>
    <row r="230" ht="12.75" spans="1:5">
      <c r="A230" s="5"/>
      <c r="B230" s="5"/>
      <c r="C230" s="5"/>
      <c r="D230" s="5"/>
      <c r="E230" s="5"/>
    </row>
    <row r="231" ht="12.75" spans="1:5">
      <c r="A231" s="5"/>
      <c r="B231" s="5"/>
      <c r="C231" s="5"/>
      <c r="D231" s="5"/>
      <c r="E231" s="5"/>
    </row>
    <row r="232" ht="12.75" spans="1:5">
      <c r="A232" s="5"/>
      <c r="B232" s="5"/>
      <c r="C232" s="5"/>
      <c r="D232" s="5"/>
      <c r="E232" s="5"/>
    </row>
    <row r="233" ht="12.75" spans="1:5">
      <c r="A233" s="5"/>
      <c r="B233" s="5"/>
      <c r="C233" s="5"/>
      <c r="D233" s="5"/>
      <c r="E233" s="5"/>
    </row>
    <row r="234" ht="12.75" spans="1:5">
      <c r="A234" s="5"/>
      <c r="B234" s="5"/>
      <c r="C234" s="5"/>
      <c r="D234" s="5"/>
      <c r="E234" s="5"/>
    </row>
    <row r="235" ht="12.75" spans="1:5">
      <c r="A235" s="5"/>
      <c r="B235" s="5"/>
      <c r="C235" s="5"/>
      <c r="D235" s="5"/>
      <c r="E235" s="5"/>
    </row>
    <row r="236" ht="12.75" spans="1:5">
      <c r="A236" s="5"/>
      <c r="B236" s="5"/>
      <c r="C236" s="5"/>
      <c r="D236" s="5"/>
      <c r="E236" s="5"/>
    </row>
    <row r="237" ht="12.75" spans="1:5">
      <c r="A237" s="5"/>
      <c r="B237" s="5"/>
      <c r="C237" s="5"/>
      <c r="D237" s="5"/>
      <c r="E237" s="5"/>
    </row>
    <row r="238" ht="12.75" spans="1:5">
      <c r="A238" s="5"/>
      <c r="B238" s="5"/>
      <c r="C238" s="5"/>
      <c r="D238" s="5"/>
      <c r="E238" s="5"/>
    </row>
    <row r="239" ht="12.75" spans="1:5">
      <c r="A239" s="5"/>
      <c r="B239" s="5"/>
      <c r="C239" s="5"/>
      <c r="D239" s="5"/>
      <c r="E239" s="5"/>
    </row>
    <row r="240" ht="12.75" spans="1:5">
      <c r="A240" s="5"/>
      <c r="B240" s="5"/>
      <c r="C240" s="5"/>
      <c r="D240" s="5"/>
      <c r="E240" s="5"/>
    </row>
    <row r="241" ht="12.75" spans="1:5">
      <c r="A241" s="5"/>
      <c r="B241" s="5"/>
      <c r="C241" s="5"/>
      <c r="D241" s="5"/>
      <c r="E241" s="5"/>
    </row>
    <row r="242" ht="12.75" spans="1:5">
      <c r="A242" s="5"/>
      <c r="B242" s="5"/>
      <c r="C242" s="5"/>
      <c r="D242" s="5"/>
      <c r="E242" s="5"/>
    </row>
    <row r="243" ht="12.75" spans="1:5">
      <c r="A243" s="5"/>
      <c r="B243" s="5"/>
      <c r="C243" s="5"/>
      <c r="D243" s="5"/>
      <c r="E243" s="5"/>
    </row>
    <row r="244" ht="12.75" spans="1:5">
      <c r="A244" s="5"/>
      <c r="B244" s="5"/>
      <c r="C244" s="5"/>
      <c r="D244" s="5"/>
      <c r="E244" s="5"/>
    </row>
    <row r="245" ht="12.75" spans="1:5">
      <c r="A245" s="5"/>
      <c r="B245" s="5"/>
      <c r="C245" s="5"/>
      <c r="D245" s="5"/>
      <c r="E245" s="5"/>
    </row>
    <row r="246" ht="12.75" spans="1:5">
      <c r="A246" s="5"/>
      <c r="B246" s="5"/>
      <c r="C246" s="5"/>
      <c r="D246" s="5"/>
      <c r="E246" s="5"/>
    </row>
    <row r="247" ht="12.75" spans="1:5">
      <c r="A247" s="5"/>
      <c r="B247" s="5"/>
      <c r="C247" s="5"/>
      <c r="D247" s="5"/>
      <c r="E247" s="5"/>
    </row>
    <row r="248" ht="12.75" spans="1:5">
      <c r="A248" s="5"/>
      <c r="B248" s="5"/>
      <c r="C248" s="5"/>
      <c r="D248" s="5"/>
      <c r="E248" s="5"/>
    </row>
    <row r="249" ht="12.75" spans="1:5">
      <c r="A249" s="5"/>
      <c r="B249" s="5"/>
      <c r="C249" s="5"/>
      <c r="D249" s="5"/>
      <c r="E249" s="5"/>
    </row>
    <row r="250" ht="12.75" spans="1:5">
      <c r="A250" s="5"/>
      <c r="B250" s="5"/>
      <c r="C250" s="5"/>
      <c r="D250" s="5"/>
      <c r="E250" s="5"/>
    </row>
    <row r="251" ht="12.75" spans="1:5">
      <c r="A251" s="5"/>
      <c r="B251" s="5"/>
      <c r="C251" s="5"/>
      <c r="D251" s="5"/>
      <c r="E251" s="5"/>
    </row>
    <row r="252" ht="12.75" spans="1:5">
      <c r="A252" s="5"/>
      <c r="B252" s="5"/>
      <c r="C252" s="5"/>
      <c r="D252" s="5"/>
      <c r="E252" s="5"/>
    </row>
    <row r="253" ht="12.75" spans="1:5">
      <c r="A253" s="5"/>
      <c r="B253" s="5"/>
      <c r="C253" s="5"/>
      <c r="D253" s="5"/>
      <c r="E253" s="5"/>
    </row>
    <row r="254" ht="12.75" spans="1:5">
      <c r="A254" s="5"/>
      <c r="B254" s="5"/>
      <c r="C254" s="5"/>
      <c r="D254" s="5"/>
      <c r="E254" s="5"/>
    </row>
    <row r="255" ht="12.75" spans="1:5">
      <c r="A255" s="5"/>
      <c r="B255" s="5"/>
      <c r="C255" s="5"/>
      <c r="D255" s="5"/>
      <c r="E255" s="5"/>
    </row>
    <row r="256" ht="12.75" spans="1:5">
      <c r="A256" s="5"/>
      <c r="B256" s="5"/>
      <c r="C256" s="5"/>
      <c r="D256" s="5"/>
      <c r="E256" s="5"/>
    </row>
    <row r="257" ht="12.75" spans="1:5">
      <c r="A257" s="5"/>
      <c r="B257" s="5"/>
      <c r="C257" s="5"/>
      <c r="D257" s="5"/>
      <c r="E257" s="5"/>
    </row>
    <row r="258" ht="12.75" spans="1:5">
      <c r="A258" s="5"/>
      <c r="B258" s="5"/>
      <c r="C258" s="5"/>
      <c r="D258" s="5"/>
      <c r="E258" s="5"/>
    </row>
    <row r="259" ht="12.75" spans="1:5">
      <c r="A259" s="5"/>
      <c r="B259" s="5"/>
      <c r="C259" s="5"/>
      <c r="D259" s="5"/>
      <c r="E259" s="5"/>
    </row>
    <row r="260" ht="12.75" spans="1:5">
      <c r="A260" s="5"/>
      <c r="B260" s="5"/>
      <c r="C260" s="5"/>
      <c r="D260" s="5"/>
      <c r="E260" s="5"/>
    </row>
    <row r="261" ht="12.75" spans="1:5">
      <c r="A261" s="5"/>
      <c r="B261" s="5"/>
      <c r="C261" s="5"/>
      <c r="D261" s="5"/>
      <c r="E261" s="5"/>
    </row>
    <row r="262" ht="12.75" spans="1:5">
      <c r="A262" s="5"/>
      <c r="B262" s="5"/>
      <c r="C262" s="5"/>
      <c r="D262" s="5"/>
      <c r="E262" s="5"/>
    </row>
    <row r="263" ht="12.75" spans="1:5">
      <c r="A263" s="5"/>
      <c r="B263" s="5"/>
      <c r="C263" s="5"/>
      <c r="D263" s="5"/>
      <c r="E263" s="5"/>
    </row>
    <row r="264" ht="12.75" spans="1:5">
      <c r="A264" s="5"/>
      <c r="B264" s="5"/>
      <c r="C264" s="5"/>
      <c r="D264" s="5"/>
      <c r="E264" s="5"/>
    </row>
    <row r="265" ht="12.75" spans="1:5">
      <c r="A265" s="5"/>
      <c r="B265" s="5"/>
      <c r="C265" s="5"/>
      <c r="D265" s="5"/>
      <c r="E265" s="5"/>
    </row>
    <row r="266" ht="12.75" spans="1:5">
      <c r="A266" s="5"/>
      <c r="B266" s="5"/>
      <c r="C266" s="5"/>
      <c r="D266" s="5"/>
      <c r="E266" s="5"/>
    </row>
    <row r="267" ht="12.75" spans="1:5">
      <c r="A267" s="5"/>
      <c r="B267" s="5"/>
      <c r="C267" s="5"/>
      <c r="D267" s="5"/>
      <c r="E267" s="5"/>
    </row>
    <row r="268" ht="12.75" spans="1:5">
      <c r="A268" s="5"/>
      <c r="B268" s="5"/>
      <c r="C268" s="5"/>
      <c r="D268" s="5"/>
      <c r="E268" s="5"/>
    </row>
    <row r="269" ht="12.75" spans="1:5">
      <c r="A269" s="5"/>
      <c r="B269" s="5"/>
      <c r="C269" s="5"/>
      <c r="D269" s="5"/>
      <c r="E269" s="5"/>
    </row>
    <row r="270" ht="12.75" spans="1:5">
      <c r="A270" s="5"/>
      <c r="B270" s="5"/>
      <c r="C270" s="5"/>
      <c r="D270" s="5"/>
      <c r="E270" s="5"/>
    </row>
    <row r="271" ht="12.75" spans="1:5">
      <c r="A271" s="5"/>
      <c r="B271" s="5"/>
      <c r="C271" s="5"/>
      <c r="D271" s="5"/>
      <c r="E271" s="5"/>
    </row>
    <row r="272" ht="12.75" spans="1:5">
      <c r="A272" s="5"/>
      <c r="B272" s="5"/>
      <c r="C272" s="5"/>
      <c r="D272" s="5"/>
      <c r="E272" s="5"/>
    </row>
    <row r="273" ht="12.75" spans="1:5">
      <c r="A273" s="5"/>
      <c r="B273" s="5"/>
      <c r="C273" s="5"/>
      <c r="D273" s="5"/>
      <c r="E273" s="5"/>
    </row>
    <row r="274" ht="12.75" spans="1:5">
      <c r="A274" s="5"/>
      <c r="B274" s="5"/>
      <c r="C274" s="5"/>
      <c r="D274" s="5"/>
      <c r="E274" s="5"/>
    </row>
    <row r="275" ht="12.75" spans="1:5">
      <c r="A275" s="5"/>
      <c r="B275" s="5"/>
      <c r="C275" s="5"/>
      <c r="D275" s="5"/>
      <c r="E275" s="5"/>
    </row>
    <row r="276" ht="12.75" spans="1:5">
      <c r="A276" s="5"/>
      <c r="B276" s="5"/>
      <c r="C276" s="5"/>
      <c r="D276" s="5"/>
      <c r="E276" s="5"/>
    </row>
    <row r="277" ht="12.75" spans="1:5">
      <c r="A277" s="5"/>
      <c r="B277" s="5"/>
      <c r="C277" s="5"/>
      <c r="D277" s="5"/>
      <c r="E277" s="5"/>
    </row>
    <row r="278" ht="12.75" spans="1:5">
      <c r="A278" s="5"/>
      <c r="B278" s="5"/>
      <c r="C278" s="5"/>
      <c r="D278" s="5"/>
      <c r="E278" s="5"/>
    </row>
    <row r="279" ht="12.75" spans="1:5">
      <c r="A279" s="5"/>
      <c r="B279" s="5"/>
      <c r="C279" s="5"/>
      <c r="D279" s="5"/>
      <c r="E279" s="5"/>
    </row>
    <row r="280" ht="12.75" spans="1:5">
      <c r="A280" s="5"/>
      <c r="B280" s="5"/>
      <c r="C280" s="5"/>
      <c r="D280" s="5"/>
      <c r="E280" s="5"/>
    </row>
    <row r="281" ht="12.75" spans="1:5">
      <c r="A281" s="5"/>
      <c r="B281" s="5"/>
      <c r="C281" s="5"/>
      <c r="D281" s="5"/>
      <c r="E281" s="5"/>
    </row>
    <row r="282" ht="12.75" spans="1:5">
      <c r="A282" s="5"/>
      <c r="B282" s="5"/>
      <c r="C282" s="5"/>
      <c r="D282" s="5"/>
      <c r="E282" s="5"/>
    </row>
    <row r="283" ht="12.75" spans="1:5">
      <c r="A283" s="5"/>
      <c r="B283" s="5"/>
      <c r="C283" s="5"/>
      <c r="D283" s="5"/>
      <c r="E283" s="5"/>
    </row>
    <row r="284" ht="12.75" spans="1:5">
      <c r="A284" s="5"/>
      <c r="B284" s="5"/>
      <c r="C284" s="5"/>
      <c r="D284" s="5"/>
      <c r="E284" s="5"/>
    </row>
    <row r="285" ht="12.75" spans="1:5">
      <c r="A285" s="5"/>
      <c r="B285" s="5"/>
      <c r="C285" s="5"/>
      <c r="D285" s="5"/>
      <c r="E285" s="5"/>
    </row>
    <row r="286" ht="12.75" spans="1:5">
      <c r="A286" s="5"/>
      <c r="B286" s="5"/>
      <c r="C286" s="5"/>
      <c r="D286" s="5"/>
      <c r="E286" s="5"/>
    </row>
    <row r="287" ht="12.75" spans="1:5">
      <c r="A287" s="5"/>
      <c r="B287" s="5"/>
      <c r="C287" s="5"/>
      <c r="D287" s="5"/>
      <c r="E287" s="5"/>
    </row>
    <row r="288" ht="12.75" spans="1:5">
      <c r="A288" s="5"/>
      <c r="B288" s="5"/>
      <c r="C288" s="5"/>
      <c r="D288" s="5"/>
      <c r="E288" s="5"/>
    </row>
    <row r="289" ht="12.75" spans="1:5">
      <c r="A289" s="5"/>
      <c r="B289" s="5"/>
      <c r="C289" s="5"/>
      <c r="D289" s="5"/>
      <c r="E289" s="5"/>
    </row>
    <row r="290" ht="12.75" spans="1:5">
      <c r="A290" s="5"/>
      <c r="B290" s="5"/>
      <c r="C290" s="5"/>
      <c r="D290" s="5"/>
      <c r="E290" s="5"/>
    </row>
    <row r="291" ht="12.75" spans="1:5">
      <c r="A291" s="5"/>
      <c r="B291" s="5"/>
      <c r="C291" s="5"/>
      <c r="D291" s="5"/>
      <c r="E291" s="5"/>
    </row>
    <row r="292" ht="12.75" spans="1:5">
      <c r="A292" s="5"/>
      <c r="B292" s="5"/>
      <c r="C292" s="5"/>
      <c r="D292" s="5"/>
      <c r="E292" s="5"/>
    </row>
    <row r="293" ht="12.75" spans="1:5">
      <c r="A293" s="5"/>
      <c r="B293" s="5"/>
      <c r="C293" s="5"/>
      <c r="D293" s="5"/>
      <c r="E293" s="5"/>
    </row>
    <row r="294" ht="12.75" spans="1:5">
      <c r="A294" s="5"/>
      <c r="B294" s="5"/>
      <c r="C294" s="5"/>
      <c r="D294" s="5"/>
      <c r="E294" s="5"/>
    </row>
    <row r="295" ht="12.75" spans="1:5">
      <c r="A295" s="5"/>
      <c r="B295" s="5"/>
      <c r="C295" s="5"/>
      <c r="D295" s="5"/>
      <c r="E295" s="5"/>
    </row>
    <row r="296" ht="12.75" spans="1:5">
      <c r="A296" s="5"/>
      <c r="B296" s="5"/>
      <c r="C296" s="5"/>
      <c r="D296" s="5"/>
      <c r="E296" s="5"/>
    </row>
    <row r="297" ht="12.75" spans="1:5">
      <c r="A297" s="5"/>
      <c r="B297" s="5"/>
      <c r="C297" s="5"/>
      <c r="D297" s="5"/>
      <c r="E297" s="5"/>
    </row>
    <row r="298" ht="12.75" spans="1:5">
      <c r="A298" s="5"/>
      <c r="B298" s="5"/>
      <c r="C298" s="5"/>
      <c r="D298" s="5"/>
      <c r="E298" s="5"/>
    </row>
    <row r="299" ht="12.75" spans="1:5">
      <c r="A299" s="5"/>
      <c r="B299" s="5"/>
      <c r="C299" s="5"/>
      <c r="D299" s="5"/>
      <c r="E299" s="5"/>
    </row>
    <row r="300" ht="12.75" spans="1:5">
      <c r="A300" s="5"/>
      <c r="B300" s="5"/>
      <c r="C300" s="5"/>
      <c r="D300" s="5"/>
      <c r="E300" s="5"/>
    </row>
    <row r="301" ht="12.75" spans="1:5">
      <c r="A301" s="5"/>
      <c r="B301" s="5"/>
      <c r="C301" s="5"/>
      <c r="D301" s="5"/>
      <c r="E301" s="5"/>
    </row>
    <row r="302" ht="12.75" spans="1:5">
      <c r="A302" s="5"/>
      <c r="B302" s="5"/>
      <c r="C302" s="5"/>
      <c r="D302" s="5"/>
      <c r="E302" s="5"/>
    </row>
    <row r="303" ht="12.75" spans="1:5">
      <c r="A303" s="5"/>
      <c r="B303" s="5"/>
      <c r="C303" s="5"/>
      <c r="D303" s="5"/>
      <c r="E303" s="5"/>
    </row>
    <row r="304" ht="12.75" spans="1:5">
      <c r="A304" s="5"/>
      <c r="B304" s="5"/>
      <c r="C304" s="5"/>
      <c r="D304" s="5"/>
      <c r="E304" s="5"/>
    </row>
    <row r="305" ht="12.75" spans="1:5">
      <c r="A305" s="5"/>
      <c r="B305" s="5"/>
      <c r="C305" s="5"/>
      <c r="D305" s="5"/>
      <c r="E305" s="5"/>
    </row>
    <row r="306" ht="12.75" spans="1:5">
      <c r="A306" s="5"/>
      <c r="B306" s="5"/>
      <c r="C306" s="5"/>
      <c r="D306" s="5"/>
      <c r="E306" s="5"/>
    </row>
    <row r="307" ht="12.75" spans="1:5">
      <c r="A307" s="5"/>
      <c r="B307" s="5"/>
      <c r="C307" s="5"/>
      <c r="D307" s="5"/>
      <c r="E307" s="5"/>
    </row>
    <row r="308" ht="12.75" spans="1:5">
      <c r="A308" s="5"/>
      <c r="B308" s="5"/>
      <c r="C308" s="5"/>
      <c r="D308" s="5"/>
      <c r="E308" s="5"/>
    </row>
    <row r="309" ht="12.75" spans="1:5">
      <c r="A309" s="5"/>
      <c r="B309" s="5"/>
      <c r="C309" s="5"/>
      <c r="D309" s="5"/>
      <c r="E309" s="5"/>
    </row>
    <row r="310" ht="12.75" spans="1:5">
      <c r="A310" s="5"/>
      <c r="B310" s="5"/>
      <c r="C310" s="5"/>
      <c r="D310" s="5"/>
      <c r="E310" s="5"/>
    </row>
    <row r="311" ht="12.75" spans="1:5">
      <c r="A311" s="5"/>
      <c r="B311" s="5"/>
      <c r="C311" s="5"/>
      <c r="D311" s="5"/>
      <c r="E311" s="5"/>
    </row>
    <row r="312" ht="12.75" spans="1:5">
      <c r="A312" s="5"/>
      <c r="B312" s="5"/>
      <c r="C312" s="5"/>
      <c r="D312" s="5"/>
      <c r="E312" s="5"/>
    </row>
    <row r="313" ht="12.75" spans="1:5">
      <c r="A313" s="5"/>
      <c r="B313" s="5"/>
      <c r="C313" s="5"/>
      <c r="D313" s="5"/>
      <c r="E313" s="5"/>
    </row>
    <row r="314" ht="12.75" spans="1:5">
      <c r="A314" s="5"/>
      <c r="B314" s="5"/>
      <c r="C314" s="5"/>
      <c r="D314" s="5"/>
      <c r="E314" s="5"/>
    </row>
    <row r="315" ht="12.75" spans="1:5">
      <c r="A315" s="5"/>
      <c r="B315" s="5"/>
      <c r="C315" s="5"/>
      <c r="D315" s="5"/>
      <c r="E315" s="5"/>
    </row>
    <row r="316" ht="12.75" spans="1:5">
      <c r="A316" s="5"/>
      <c r="B316" s="5"/>
      <c r="C316" s="5"/>
      <c r="D316" s="5"/>
      <c r="E316" s="5"/>
    </row>
    <row r="317" ht="12.75" spans="1:5">
      <c r="A317" s="5"/>
      <c r="B317" s="5"/>
      <c r="C317" s="5"/>
      <c r="D317" s="5"/>
      <c r="E317" s="5"/>
    </row>
    <row r="318" ht="12.75" spans="1:5">
      <c r="A318" s="5"/>
      <c r="B318" s="5"/>
      <c r="C318" s="5"/>
      <c r="D318" s="5"/>
      <c r="E318" s="5"/>
    </row>
    <row r="319" ht="12.75" spans="1:5">
      <c r="A319" s="5"/>
      <c r="B319" s="5"/>
      <c r="C319" s="5"/>
      <c r="D319" s="5"/>
      <c r="E319" s="5"/>
    </row>
    <row r="320" ht="12.75" spans="1:5">
      <c r="A320" s="5"/>
      <c r="B320" s="5"/>
      <c r="C320" s="5"/>
      <c r="D320" s="5"/>
      <c r="E320" s="5"/>
    </row>
    <row r="321" ht="12.75" spans="1:5">
      <c r="A321" s="5"/>
      <c r="B321" s="5"/>
      <c r="C321" s="5"/>
      <c r="D321" s="5"/>
      <c r="E321" s="5"/>
    </row>
    <row r="322" ht="12.75" spans="1:5">
      <c r="A322" s="5"/>
      <c r="B322" s="5"/>
      <c r="C322" s="5"/>
      <c r="D322" s="5"/>
      <c r="E322" s="5"/>
    </row>
    <row r="323" ht="12.75" spans="1:5">
      <c r="A323" s="5"/>
      <c r="B323" s="5"/>
      <c r="C323" s="5"/>
      <c r="D323" s="5"/>
      <c r="E323" s="5"/>
    </row>
    <row r="324" ht="12.75" spans="1:5">
      <c r="A324" s="5"/>
      <c r="B324" s="5"/>
      <c r="C324" s="5"/>
      <c r="D324" s="5"/>
      <c r="E324" s="5"/>
    </row>
    <row r="325" ht="12.75" spans="1:5">
      <c r="A325" s="5"/>
      <c r="B325" s="5"/>
      <c r="C325" s="5"/>
      <c r="D325" s="5"/>
      <c r="E325" s="5"/>
    </row>
    <row r="326" ht="12.75" spans="1:5">
      <c r="A326" s="5"/>
      <c r="B326" s="5"/>
      <c r="C326" s="5"/>
      <c r="D326" s="5"/>
      <c r="E326" s="5"/>
    </row>
    <row r="327" ht="12.75" spans="1:5">
      <c r="A327" s="5"/>
      <c r="B327" s="5"/>
      <c r="C327" s="5"/>
      <c r="D327" s="5"/>
      <c r="E327" s="5"/>
    </row>
    <row r="328" ht="12.75" spans="1:5">
      <c r="A328" s="5"/>
      <c r="B328" s="5"/>
      <c r="C328" s="5"/>
      <c r="D328" s="5"/>
      <c r="E328" s="5"/>
    </row>
    <row r="329" ht="12.75" spans="1:5">
      <c r="A329" s="5"/>
      <c r="B329" s="5"/>
      <c r="C329" s="5"/>
      <c r="D329" s="5"/>
      <c r="E329" s="5"/>
    </row>
    <row r="330" ht="12.75" spans="1:5">
      <c r="A330" s="5"/>
      <c r="B330" s="5"/>
      <c r="C330" s="5"/>
      <c r="D330" s="5"/>
      <c r="E330" s="5"/>
    </row>
    <row r="331" ht="12.75" spans="1:5">
      <c r="A331" s="5"/>
      <c r="B331" s="5"/>
      <c r="C331" s="5"/>
      <c r="D331" s="5"/>
      <c r="E331" s="5"/>
    </row>
    <row r="332" ht="12.75" spans="1:5">
      <c r="A332" s="5"/>
      <c r="B332" s="5"/>
      <c r="C332" s="5"/>
      <c r="D332" s="5"/>
      <c r="E332" s="5"/>
    </row>
    <row r="333" ht="12.75" spans="1:5">
      <c r="A333" s="5"/>
      <c r="B333" s="5"/>
      <c r="C333" s="5"/>
      <c r="D333" s="5"/>
      <c r="E333" s="5"/>
    </row>
    <row r="334" ht="12.75" spans="1:5">
      <c r="A334" s="5"/>
      <c r="B334" s="5"/>
      <c r="C334" s="5"/>
      <c r="D334" s="5"/>
      <c r="E334" s="5"/>
    </row>
    <row r="335" ht="12.75" spans="1:5">
      <c r="A335" s="5"/>
      <c r="B335" s="5"/>
      <c r="C335" s="5"/>
      <c r="D335" s="5"/>
      <c r="E335" s="5"/>
    </row>
    <row r="336" ht="12.75" spans="1:5">
      <c r="A336" s="5"/>
      <c r="B336" s="5"/>
      <c r="C336" s="5"/>
      <c r="D336" s="5"/>
      <c r="E336" s="5"/>
    </row>
    <row r="337" ht="12.75" spans="1:5">
      <c r="A337" s="5"/>
      <c r="B337" s="5"/>
      <c r="C337" s="5"/>
      <c r="D337" s="5"/>
      <c r="E337" s="5"/>
    </row>
    <row r="338" ht="12.75" spans="1:5">
      <c r="A338" s="5"/>
      <c r="B338" s="5"/>
      <c r="C338" s="5"/>
      <c r="D338" s="5"/>
      <c r="E338" s="5"/>
    </row>
    <row r="339" ht="12.75" spans="1:5">
      <c r="A339" s="5"/>
      <c r="B339" s="5"/>
      <c r="C339" s="5"/>
      <c r="D339" s="5"/>
      <c r="E339" s="5"/>
    </row>
    <row r="340" ht="12.75" spans="1:5">
      <c r="A340" s="5"/>
      <c r="B340" s="5"/>
      <c r="C340" s="5"/>
      <c r="D340" s="5"/>
      <c r="E340" s="5"/>
    </row>
    <row r="341" ht="12.75" spans="1:5">
      <c r="A341" s="5"/>
      <c r="B341" s="5"/>
      <c r="C341" s="5"/>
      <c r="D341" s="5"/>
      <c r="E341" s="5"/>
    </row>
    <row r="342" ht="12.75" spans="1:5">
      <c r="A342" s="5"/>
      <c r="B342" s="5"/>
      <c r="C342" s="5"/>
      <c r="D342" s="5"/>
      <c r="E342" s="5"/>
    </row>
    <row r="343" ht="12.75" spans="1:5">
      <c r="A343" s="5"/>
      <c r="B343" s="5"/>
      <c r="C343" s="5"/>
      <c r="D343" s="5"/>
      <c r="E343" s="5"/>
    </row>
    <row r="344" ht="12.75" spans="1:5">
      <c r="A344" s="5"/>
      <c r="B344" s="5"/>
      <c r="C344" s="5"/>
      <c r="D344" s="5"/>
      <c r="E344" s="5"/>
    </row>
    <row r="345" ht="12.75" spans="1:5">
      <c r="A345" s="5"/>
      <c r="B345" s="5"/>
      <c r="C345" s="5"/>
      <c r="D345" s="5"/>
      <c r="E345" s="5"/>
    </row>
    <row r="346" ht="12.75" spans="1:5">
      <c r="A346" s="5"/>
      <c r="B346" s="5"/>
      <c r="C346" s="5"/>
      <c r="D346" s="5"/>
      <c r="E346" s="5"/>
    </row>
    <row r="347" ht="12.75" spans="1:5">
      <c r="A347" s="5"/>
      <c r="B347" s="5"/>
      <c r="C347" s="5"/>
      <c r="D347" s="5"/>
      <c r="E347" s="5"/>
    </row>
    <row r="348" ht="12.75" spans="1:5">
      <c r="A348" s="5"/>
      <c r="B348" s="5"/>
      <c r="C348" s="5"/>
      <c r="D348" s="5"/>
      <c r="E348" s="5"/>
    </row>
    <row r="349" ht="12.75" spans="1:5">
      <c r="A349" s="5"/>
      <c r="B349" s="5"/>
      <c r="C349" s="5"/>
      <c r="D349" s="5"/>
      <c r="E349" s="5"/>
    </row>
    <row r="350" ht="12.75" spans="1:5">
      <c r="A350" s="5"/>
      <c r="B350" s="5"/>
      <c r="C350" s="5"/>
      <c r="D350" s="5"/>
      <c r="E350" s="5"/>
    </row>
    <row r="351" ht="12.75" spans="1:5">
      <c r="A351" s="5"/>
      <c r="B351" s="5"/>
      <c r="C351" s="5"/>
      <c r="D351" s="5"/>
      <c r="E351" s="5"/>
    </row>
    <row r="352" ht="12.75" spans="1:5">
      <c r="A352" s="5"/>
      <c r="B352" s="5"/>
      <c r="C352" s="5"/>
      <c r="D352" s="5"/>
      <c r="E352" s="5"/>
    </row>
    <row r="353" ht="12.75" spans="1:5">
      <c r="A353" s="5"/>
      <c r="B353" s="5"/>
      <c r="C353" s="5"/>
      <c r="D353" s="5"/>
      <c r="E353" s="5"/>
    </row>
    <row r="354" ht="12.75" spans="1:5">
      <c r="A354" s="5"/>
      <c r="B354" s="5"/>
      <c r="C354" s="5"/>
      <c r="D354" s="5"/>
      <c r="E354" s="5"/>
    </row>
    <row r="355" ht="12.75" spans="1:5">
      <c r="A355" s="5"/>
      <c r="B355" s="5"/>
      <c r="C355" s="5"/>
      <c r="D355" s="5"/>
      <c r="E355" s="5"/>
    </row>
    <row r="356" ht="12.75" spans="1:5">
      <c r="A356" s="5"/>
      <c r="B356" s="5"/>
      <c r="C356" s="5"/>
      <c r="D356" s="5"/>
      <c r="E356" s="5"/>
    </row>
    <row r="357" ht="12.75" spans="1:5">
      <c r="A357" s="5"/>
      <c r="B357" s="5"/>
      <c r="C357" s="5"/>
      <c r="D357" s="5"/>
      <c r="E357" s="5"/>
    </row>
    <row r="358" ht="12.75" spans="1:5">
      <c r="A358" s="5"/>
      <c r="B358" s="5"/>
      <c r="C358" s="5"/>
      <c r="D358" s="5"/>
      <c r="E358" s="5"/>
    </row>
    <row r="359" ht="12.75" spans="1:5">
      <c r="A359" s="5"/>
      <c r="B359" s="5"/>
      <c r="C359" s="5"/>
      <c r="D359" s="5"/>
      <c r="E359" s="5"/>
    </row>
    <row r="360" ht="12.75" spans="1:5">
      <c r="A360" s="5"/>
      <c r="B360" s="5"/>
      <c r="C360" s="5"/>
      <c r="D360" s="5"/>
      <c r="E360" s="5"/>
    </row>
    <row r="361" ht="12.75" spans="1:5">
      <c r="A361" s="5"/>
      <c r="B361" s="5"/>
      <c r="C361" s="5"/>
      <c r="D361" s="5"/>
      <c r="E361" s="5"/>
    </row>
    <row r="362" ht="12.75" spans="1:5">
      <c r="A362" s="5"/>
      <c r="B362" s="5"/>
      <c r="C362" s="5"/>
      <c r="D362" s="5"/>
      <c r="E362" s="5"/>
    </row>
    <row r="363" ht="12.75" spans="1:5">
      <c r="A363" s="5"/>
      <c r="B363" s="5"/>
      <c r="C363" s="5"/>
      <c r="D363" s="5"/>
      <c r="E363" s="5"/>
    </row>
    <row r="364" ht="12.75" spans="1:5">
      <c r="A364" s="5"/>
      <c r="B364" s="5"/>
      <c r="C364" s="5"/>
      <c r="D364" s="5"/>
      <c r="E364" s="5"/>
    </row>
    <row r="365" ht="12.75" spans="1:5">
      <c r="A365" s="5"/>
      <c r="B365" s="5"/>
      <c r="C365" s="5"/>
      <c r="D365" s="5"/>
      <c r="E365" s="5"/>
    </row>
    <row r="366" ht="12.75" spans="1:5">
      <c r="A366" s="5"/>
      <c r="B366" s="5"/>
      <c r="C366" s="5"/>
      <c r="D366" s="5"/>
      <c r="E366" s="5"/>
    </row>
    <row r="367" ht="12.75" spans="1:5">
      <c r="A367" s="5"/>
      <c r="B367" s="5"/>
      <c r="C367" s="5"/>
      <c r="D367" s="5"/>
      <c r="E367" s="5"/>
    </row>
    <row r="368" ht="12.75" spans="1:5">
      <c r="A368" s="5"/>
      <c r="B368" s="5"/>
      <c r="C368" s="5"/>
      <c r="D368" s="5"/>
      <c r="E368" s="5"/>
    </row>
    <row r="369" ht="12.75" spans="1:5">
      <c r="A369" s="5"/>
      <c r="B369" s="5"/>
      <c r="C369" s="5"/>
      <c r="D369" s="5"/>
      <c r="E369" s="5"/>
    </row>
    <row r="370" ht="12.75" spans="1:5">
      <c r="A370" s="5"/>
      <c r="B370" s="5"/>
      <c r="C370" s="5"/>
      <c r="D370" s="5"/>
      <c r="E370" s="5"/>
    </row>
    <row r="371" ht="12.75" spans="1:5">
      <c r="A371" s="5"/>
      <c r="B371" s="5"/>
      <c r="C371" s="5"/>
      <c r="D371" s="5"/>
      <c r="E371" s="5"/>
    </row>
    <row r="372" ht="12.75" spans="1:5">
      <c r="A372" s="5"/>
      <c r="B372" s="5"/>
      <c r="C372" s="5"/>
      <c r="D372" s="5"/>
      <c r="E372" s="5"/>
    </row>
    <row r="373" ht="12.75" spans="1:5">
      <c r="A373" s="5"/>
      <c r="B373" s="5"/>
      <c r="C373" s="5"/>
      <c r="D373" s="5"/>
      <c r="E373" s="5"/>
    </row>
    <row r="374" ht="12.75" spans="1:5">
      <c r="A374" s="5"/>
      <c r="B374" s="5"/>
      <c r="C374" s="5"/>
      <c r="D374" s="5"/>
      <c r="E374" s="5"/>
    </row>
    <row r="375" ht="12.75" spans="1:5">
      <c r="A375" s="5"/>
      <c r="B375" s="5"/>
      <c r="C375" s="5"/>
      <c r="D375" s="5"/>
      <c r="E375" s="5"/>
    </row>
    <row r="376" ht="12.75" spans="1:5">
      <c r="A376" s="5"/>
      <c r="B376" s="5"/>
      <c r="C376" s="5"/>
      <c r="D376" s="5"/>
      <c r="E376" s="5"/>
    </row>
    <row r="377" ht="12.75" spans="1:5">
      <c r="A377" s="5"/>
      <c r="B377" s="5"/>
      <c r="C377" s="5"/>
      <c r="D377" s="5"/>
      <c r="E377" s="5"/>
    </row>
    <row r="378" ht="12.75" spans="1:5">
      <c r="A378" s="5"/>
      <c r="B378" s="5"/>
      <c r="C378" s="5"/>
      <c r="D378" s="5"/>
      <c r="E378" s="5"/>
    </row>
    <row r="379" ht="12.75" spans="1:5">
      <c r="A379" s="5"/>
      <c r="B379" s="5"/>
      <c r="C379" s="5"/>
      <c r="D379" s="5"/>
      <c r="E379" s="5"/>
    </row>
    <row r="380" ht="12.75" spans="1:5">
      <c r="A380" s="5"/>
      <c r="B380" s="5"/>
      <c r="C380" s="5"/>
      <c r="D380" s="5"/>
      <c r="E380" s="5"/>
    </row>
    <row r="381" ht="12.75" spans="1:5">
      <c r="A381" s="5"/>
      <c r="B381" s="5"/>
      <c r="C381" s="5"/>
      <c r="D381" s="5"/>
      <c r="E381" s="5"/>
    </row>
    <row r="382" ht="12.75" spans="1:5">
      <c r="A382" s="5"/>
      <c r="B382" s="5"/>
      <c r="C382" s="5"/>
      <c r="D382" s="5"/>
      <c r="E382" s="5"/>
    </row>
    <row r="383" ht="12.75" spans="1:5">
      <c r="A383" s="5"/>
      <c r="B383" s="5"/>
      <c r="C383" s="5"/>
      <c r="D383" s="5"/>
      <c r="E383" s="5"/>
    </row>
    <row r="384" ht="12.75" spans="1:5">
      <c r="A384" s="5"/>
      <c r="B384" s="5"/>
      <c r="C384" s="5"/>
      <c r="D384" s="5"/>
      <c r="E384" s="5"/>
    </row>
    <row r="385" ht="12.75" spans="1:5">
      <c r="A385" s="5"/>
      <c r="B385" s="5"/>
      <c r="C385" s="5"/>
      <c r="D385" s="5"/>
      <c r="E385" s="5"/>
    </row>
    <row r="386" ht="12.75" spans="1:5">
      <c r="A386" s="5"/>
      <c r="B386" s="5"/>
      <c r="C386" s="5"/>
      <c r="D386" s="5"/>
      <c r="E386" s="5"/>
    </row>
    <row r="387" ht="12.75" spans="1:5">
      <c r="A387" s="5"/>
      <c r="B387" s="5"/>
      <c r="C387" s="5"/>
      <c r="D387" s="5"/>
      <c r="E387" s="5"/>
    </row>
    <row r="388" ht="12.75" spans="1:5">
      <c r="A388" s="5"/>
      <c r="B388" s="5"/>
      <c r="C388" s="5"/>
      <c r="D388" s="5"/>
      <c r="E388" s="5"/>
    </row>
    <row r="389" ht="12.75" spans="1:5">
      <c r="A389" s="5"/>
      <c r="B389" s="5"/>
      <c r="C389" s="5"/>
      <c r="D389" s="5"/>
      <c r="E389" s="5"/>
    </row>
    <row r="390" ht="12.75" spans="1:5">
      <c r="A390" s="5"/>
      <c r="B390" s="5"/>
      <c r="C390" s="5"/>
      <c r="D390" s="5"/>
      <c r="E390" s="5"/>
    </row>
    <row r="391" ht="12.75" spans="1:5">
      <c r="A391" s="5"/>
      <c r="B391" s="5"/>
      <c r="C391" s="5"/>
      <c r="D391" s="5"/>
      <c r="E391" s="5"/>
    </row>
    <row r="392" ht="12.75" spans="1:5">
      <c r="A392" s="5"/>
      <c r="B392" s="5"/>
      <c r="C392" s="5"/>
      <c r="D392" s="5"/>
      <c r="E392" s="5"/>
    </row>
    <row r="393" ht="12.75" spans="1:5">
      <c r="A393" s="5"/>
      <c r="B393" s="5"/>
      <c r="C393" s="5"/>
      <c r="D393" s="5"/>
      <c r="E393" s="5"/>
    </row>
    <row r="394" ht="12.75" spans="1:5">
      <c r="A394" s="5"/>
      <c r="B394" s="5"/>
      <c r="C394" s="5"/>
      <c r="D394" s="5"/>
      <c r="E394" s="5"/>
    </row>
    <row r="395" ht="12.75" spans="1:5">
      <c r="A395" s="5"/>
      <c r="B395" s="5"/>
      <c r="C395" s="5"/>
      <c r="D395" s="5"/>
      <c r="E395" s="5"/>
    </row>
    <row r="396" ht="12.75" spans="1:5">
      <c r="A396" s="5"/>
      <c r="B396" s="5"/>
      <c r="C396" s="5"/>
      <c r="D396" s="5"/>
      <c r="E396" s="5"/>
    </row>
    <row r="397" ht="12.75" spans="1:5">
      <c r="A397" s="5"/>
      <c r="B397" s="5"/>
      <c r="C397" s="5"/>
      <c r="D397" s="5"/>
      <c r="E397" s="5"/>
    </row>
    <row r="398" ht="12.75" spans="1:5">
      <c r="A398" s="5"/>
      <c r="B398" s="5"/>
      <c r="C398" s="5"/>
      <c r="D398" s="5"/>
      <c r="E398" s="5"/>
    </row>
    <row r="399" ht="12.75" spans="1:5">
      <c r="A399" s="5"/>
      <c r="B399" s="5"/>
      <c r="C399" s="5"/>
      <c r="D399" s="5"/>
      <c r="E399" s="5"/>
    </row>
    <row r="400" ht="12.75" spans="1:5">
      <c r="A400" s="5"/>
      <c r="B400" s="5"/>
      <c r="C400" s="5"/>
      <c r="D400" s="5"/>
      <c r="E400" s="5"/>
    </row>
    <row r="401" ht="12.75" spans="1:5">
      <c r="A401" s="5"/>
      <c r="B401" s="5"/>
      <c r="C401" s="5"/>
      <c r="D401" s="5"/>
      <c r="E401" s="5"/>
    </row>
    <row r="402" ht="12.75" spans="1:5">
      <c r="A402" s="5"/>
      <c r="B402" s="5"/>
      <c r="C402" s="5"/>
      <c r="D402" s="5"/>
      <c r="E402" s="5"/>
    </row>
    <row r="403" ht="12.75" spans="1:5">
      <c r="A403" s="5"/>
      <c r="B403" s="5"/>
      <c r="C403" s="5"/>
      <c r="D403" s="5"/>
      <c r="E403" s="5"/>
    </row>
    <row r="404" ht="12.75" spans="1:5">
      <c r="A404" s="5"/>
      <c r="B404" s="5"/>
      <c r="C404" s="5"/>
      <c r="D404" s="5"/>
      <c r="E404" s="5"/>
    </row>
    <row r="405" ht="12.75" spans="1:5">
      <c r="A405" s="5"/>
      <c r="B405" s="5"/>
      <c r="C405" s="5"/>
      <c r="D405" s="5"/>
      <c r="E405" s="5"/>
    </row>
    <row r="406" ht="12.75" spans="1:5">
      <c r="A406" s="5"/>
      <c r="B406" s="5"/>
      <c r="C406" s="5"/>
      <c r="D406" s="5"/>
      <c r="E406" s="5"/>
    </row>
    <row r="407" ht="12.75" spans="1:5">
      <c r="A407" s="5"/>
      <c r="B407" s="5"/>
      <c r="C407" s="5"/>
      <c r="D407" s="5"/>
      <c r="E407" s="5"/>
    </row>
    <row r="408" ht="12.75" spans="1:5">
      <c r="A408" s="5"/>
      <c r="B408" s="5"/>
      <c r="C408" s="5"/>
      <c r="D408" s="5"/>
      <c r="E408" s="5"/>
    </row>
    <row r="409" ht="12.75" spans="1:5">
      <c r="A409" s="5"/>
      <c r="B409" s="5"/>
      <c r="C409" s="5"/>
      <c r="D409" s="5"/>
      <c r="E409" s="5"/>
    </row>
    <row r="410" ht="12.75" spans="1:5">
      <c r="A410" s="5"/>
      <c r="B410" s="5"/>
      <c r="C410" s="5"/>
      <c r="D410" s="5"/>
      <c r="E410" s="5"/>
    </row>
    <row r="411" ht="12.75" spans="1:5">
      <c r="A411" s="5"/>
      <c r="B411" s="5"/>
      <c r="C411" s="5"/>
      <c r="D411" s="5"/>
      <c r="E411" s="5"/>
    </row>
    <row r="412" ht="12.75" spans="1:5">
      <c r="A412" s="5"/>
      <c r="B412" s="5"/>
      <c r="C412" s="5"/>
      <c r="D412" s="5"/>
      <c r="E412" s="5"/>
    </row>
    <row r="413" ht="12.75" spans="1:5">
      <c r="A413" s="5"/>
      <c r="B413" s="5"/>
      <c r="C413" s="5"/>
      <c r="D413" s="5"/>
      <c r="E413" s="5"/>
    </row>
    <row r="414" ht="12.75" spans="1:5">
      <c r="A414" s="5"/>
      <c r="B414" s="5"/>
      <c r="C414" s="5"/>
      <c r="D414" s="5"/>
      <c r="E414" s="5"/>
    </row>
    <row r="415" ht="12.75" spans="1:5">
      <c r="A415" s="5"/>
      <c r="B415" s="5"/>
      <c r="C415" s="5"/>
      <c r="D415" s="5"/>
      <c r="E415" s="5"/>
    </row>
    <row r="416" ht="12.75" spans="1:5">
      <c r="A416" s="5"/>
      <c r="B416" s="5"/>
      <c r="C416" s="5"/>
      <c r="D416" s="5"/>
      <c r="E416" s="5"/>
    </row>
    <row r="417" ht="12.75" spans="1:5">
      <c r="A417" s="5"/>
      <c r="B417" s="5"/>
      <c r="C417" s="5"/>
      <c r="D417" s="5"/>
      <c r="E417" s="5"/>
    </row>
    <row r="418" ht="12.75" spans="1:5">
      <c r="A418" s="5"/>
      <c r="B418" s="5"/>
      <c r="C418" s="5"/>
      <c r="D418" s="5"/>
      <c r="E418" s="5"/>
    </row>
    <row r="419" ht="12.75" spans="1:5">
      <c r="A419" s="5"/>
      <c r="B419" s="5"/>
      <c r="C419" s="5"/>
      <c r="D419" s="5"/>
      <c r="E419" s="5"/>
    </row>
    <row r="420" ht="12.75" spans="1:5">
      <c r="A420" s="5"/>
      <c r="B420" s="5"/>
      <c r="C420" s="5"/>
      <c r="D420" s="5"/>
      <c r="E420" s="5"/>
    </row>
    <row r="421" ht="12.75" spans="1:5">
      <c r="A421" s="5"/>
      <c r="B421" s="5"/>
      <c r="C421" s="5"/>
      <c r="D421" s="5"/>
      <c r="E421" s="5"/>
    </row>
    <row r="422" ht="12.75" spans="1:5">
      <c r="A422" s="5"/>
      <c r="B422" s="5"/>
      <c r="C422" s="5"/>
      <c r="D422" s="5"/>
      <c r="E422" s="5"/>
    </row>
    <row r="423" ht="12.75" spans="1:5">
      <c r="A423" s="5"/>
      <c r="B423" s="5"/>
      <c r="C423" s="5"/>
      <c r="D423" s="5"/>
      <c r="E423" s="5"/>
    </row>
    <row r="424" ht="12.75" spans="1:5">
      <c r="A424" s="5"/>
      <c r="B424" s="5"/>
      <c r="C424" s="5"/>
      <c r="D424" s="5"/>
      <c r="E424" s="5"/>
    </row>
    <row r="425" ht="12.75" spans="1:5">
      <c r="A425" s="5"/>
      <c r="B425" s="5"/>
      <c r="C425" s="5"/>
      <c r="D425" s="5"/>
      <c r="E425" s="5"/>
    </row>
    <row r="426" ht="12.75" spans="1:5">
      <c r="A426" s="5"/>
      <c r="B426" s="5"/>
      <c r="C426" s="5"/>
      <c r="D426" s="5"/>
      <c r="E426" s="5"/>
    </row>
    <row r="427" ht="12.75" spans="1:5">
      <c r="A427" s="5"/>
      <c r="B427" s="5"/>
      <c r="C427" s="5"/>
      <c r="D427" s="5"/>
      <c r="E427" s="5"/>
    </row>
    <row r="428" ht="12.75" spans="1:5">
      <c r="A428" s="5"/>
      <c r="B428" s="5"/>
      <c r="C428" s="5"/>
      <c r="D428" s="5"/>
      <c r="E428" s="5"/>
    </row>
    <row r="429" ht="12.75" spans="1:5">
      <c r="A429" s="5"/>
      <c r="B429" s="5"/>
      <c r="C429" s="5"/>
      <c r="D429" s="5"/>
      <c r="E429" s="5"/>
    </row>
    <row r="430" ht="12.75" spans="1:5">
      <c r="A430" s="5"/>
      <c r="B430" s="5"/>
      <c r="C430" s="5"/>
      <c r="D430" s="5"/>
      <c r="E430" s="5"/>
    </row>
    <row r="431" ht="12.75" spans="1:5">
      <c r="A431" s="5"/>
      <c r="B431" s="5"/>
      <c r="C431" s="5"/>
      <c r="D431" s="5"/>
      <c r="E431" s="5"/>
    </row>
    <row r="432" ht="12.75" spans="1:5">
      <c r="A432" s="5"/>
      <c r="B432" s="5"/>
      <c r="C432" s="5"/>
      <c r="D432" s="5"/>
      <c r="E432" s="5"/>
    </row>
    <row r="433" ht="12.75" spans="1:5">
      <c r="A433" s="5"/>
      <c r="B433" s="5"/>
      <c r="C433" s="5"/>
      <c r="D433" s="5"/>
      <c r="E433" s="5"/>
    </row>
    <row r="434" ht="12.75" spans="1:5">
      <c r="A434" s="5"/>
      <c r="B434" s="5"/>
      <c r="C434" s="5"/>
      <c r="D434" s="5"/>
      <c r="E434" s="5"/>
    </row>
    <row r="435" ht="12.75" spans="1:5">
      <c r="A435" s="5"/>
      <c r="B435" s="5"/>
      <c r="C435" s="5"/>
      <c r="D435" s="5"/>
      <c r="E435" s="5"/>
    </row>
    <row r="436" ht="12.75" spans="1:5">
      <c r="A436" s="5"/>
      <c r="B436" s="5"/>
      <c r="C436" s="5"/>
      <c r="D436" s="5"/>
      <c r="E436" s="5"/>
    </row>
    <row r="437" ht="12.75" spans="1:5">
      <c r="A437" s="5"/>
      <c r="B437" s="5"/>
      <c r="C437" s="5"/>
      <c r="D437" s="5"/>
      <c r="E437" s="5"/>
    </row>
    <row r="438" ht="12.75" spans="1:5">
      <c r="A438" s="5"/>
      <c r="B438" s="5"/>
      <c r="C438" s="5"/>
      <c r="D438" s="5"/>
      <c r="E438" s="5"/>
    </row>
    <row r="439" ht="12.75" spans="1:5">
      <c r="A439" s="5"/>
      <c r="B439" s="5"/>
      <c r="C439" s="5"/>
      <c r="D439" s="5"/>
      <c r="E439" s="5"/>
    </row>
    <row r="440" ht="12.75" spans="1:5">
      <c r="A440" s="5"/>
      <c r="B440" s="5"/>
      <c r="C440" s="5"/>
      <c r="D440" s="5"/>
      <c r="E440" s="5"/>
    </row>
    <row r="441" ht="12.75" spans="1:5">
      <c r="A441" s="5"/>
      <c r="B441" s="5"/>
      <c r="C441" s="5"/>
      <c r="D441" s="5"/>
      <c r="E441" s="5"/>
    </row>
    <row r="442" ht="12.75" spans="1:5">
      <c r="A442" s="5"/>
      <c r="B442" s="5"/>
      <c r="C442" s="5"/>
      <c r="D442" s="5"/>
      <c r="E442" s="5"/>
    </row>
    <row r="443" ht="12.75" spans="1:5">
      <c r="A443" s="5"/>
      <c r="B443" s="5"/>
      <c r="C443" s="5"/>
      <c r="D443" s="5"/>
      <c r="E443" s="5"/>
    </row>
    <row r="444" ht="12.75" spans="1:5">
      <c r="A444" s="5"/>
      <c r="B444" s="5"/>
      <c r="C444" s="5"/>
      <c r="D444" s="5"/>
      <c r="E444" s="5"/>
    </row>
    <row r="445" ht="12.75" spans="1:5">
      <c r="A445" s="5"/>
      <c r="B445" s="5"/>
      <c r="C445" s="5"/>
      <c r="D445" s="5"/>
      <c r="E445" s="5"/>
    </row>
    <row r="446" ht="12.75" spans="1:5">
      <c r="A446" s="5"/>
      <c r="B446" s="5"/>
      <c r="C446" s="5"/>
      <c r="D446" s="5"/>
      <c r="E446" s="5"/>
    </row>
    <row r="447" ht="12.75" spans="1:5">
      <c r="A447" s="5"/>
      <c r="B447" s="5"/>
      <c r="C447" s="5"/>
      <c r="D447" s="5"/>
      <c r="E447" s="5"/>
    </row>
    <row r="448" ht="12.75" spans="1:5">
      <c r="A448" s="5"/>
      <c r="B448" s="5"/>
      <c r="C448" s="5"/>
      <c r="D448" s="5"/>
      <c r="E448" s="5"/>
    </row>
    <row r="449" ht="12.75" spans="1:5">
      <c r="A449" s="5"/>
      <c r="B449" s="5"/>
      <c r="C449" s="5"/>
      <c r="D449" s="5"/>
      <c r="E449" s="5"/>
    </row>
    <row r="450" ht="12.75" spans="1:5">
      <c r="A450" s="5"/>
      <c r="B450" s="5"/>
      <c r="C450" s="5"/>
      <c r="D450" s="5"/>
      <c r="E450" s="5"/>
    </row>
    <row r="451" ht="12.75" spans="1:5">
      <c r="A451" s="5"/>
      <c r="B451" s="5"/>
      <c r="C451" s="5"/>
      <c r="D451" s="5"/>
      <c r="E451" s="5"/>
    </row>
    <row r="452" ht="12.75" spans="1:5">
      <c r="A452" s="5"/>
      <c r="B452" s="5"/>
      <c r="C452" s="5"/>
      <c r="D452" s="5"/>
      <c r="E452" s="5"/>
    </row>
    <row r="453" ht="12.75" spans="1:5">
      <c r="A453" s="5"/>
      <c r="B453" s="5"/>
      <c r="C453" s="5"/>
      <c r="D453" s="5"/>
      <c r="E453" s="5"/>
    </row>
    <row r="454" ht="12.75" spans="1:5">
      <c r="A454" s="5"/>
      <c r="B454" s="5"/>
      <c r="C454" s="5"/>
      <c r="D454" s="5"/>
      <c r="E454" s="5"/>
    </row>
    <row r="455" ht="12.75" spans="1:5">
      <c r="A455" s="5"/>
      <c r="B455" s="5"/>
      <c r="C455" s="5"/>
      <c r="D455" s="5"/>
      <c r="E455" s="5"/>
    </row>
    <row r="456" ht="12.75" spans="1:5">
      <c r="A456" s="5"/>
      <c r="B456" s="5"/>
      <c r="C456" s="5"/>
      <c r="D456" s="5"/>
      <c r="E456" s="5"/>
    </row>
    <row r="457" ht="12.75" spans="1:5">
      <c r="A457" s="5"/>
      <c r="B457" s="5"/>
      <c r="C457" s="5"/>
      <c r="D457" s="5"/>
      <c r="E457" s="5"/>
    </row>
    <row r="458" ht="12.75" spans="1:5">
      <c r="A458" s="5"/>
      <c r="B458" s="5"/>
      <c r="C458" s="5"/>
      <c r="D458" s="5"/>
      <c r="E458" s="5"/>
    </row>
    <row r="459" ht="12.75" spans="1:5">
      <c r="A459" s="5"/>
      <c r="B459" s="5"/>
      <c r="C459" s="5"/>
      <c r="D459" s="5"/>
      <c r="E459" s="5"/>
    </row>
    <row r="460" ht="12.75" spans="1:5">
      <c r="A460" s="5"/>
      <c r="B460" s="5"/>
      <c r="C460" s="5"/>
      <c r="D460" s="5"/>
      <c r="E460" s="5"/>
    </row>
    <row r="461" ht="12.75" spans="1:5">
      <c r="A461" s="5"/>
      <c r="B461" s="5"/>
      <c r="C461" s="5"/>
      <c r="D461" s="5"/>
      <c r="E461" s="5"/>
    </row>
    <row r="462" ht="12.75" spans="1:5">
      <c r="A462" s="5"/>
      <c r="B462" s="5"/>
      <c r="C462" s="5"/>
      <c r="D462" s="5"/>
      <c r="E462" s="5"/>
    </row>
    <row r="463" ht="12.75" spans="1:5">
      <c r="A463" s="5"/>
      <c r="B463" s="5"/>
      <c r="C463" s="5"/>
      <c r="D463" s="5"/>
      <c r="E463" s="5"/>
    </row>
    <row r="464" ht="12.75" spans="1:5">
      <c r="A464" s="5"/>
      <c r="B464" s="5"/>
      <c r="C464" s="5"/>
      <c r="D464" s="5"/>
      <c r="E464" s="5"/>
    </row>
    <row r="465" ht="12.75" spans="1:5">
      <c r="A465" s="5"/>
      <c r="B465" s="5"/>
      <c r="C465" s="5"/>
      <c r="D465" s="5"/>
      <c r="E465" s="5"/>
    </row>
    <row r="466" ht="12.75" spans="1:5">
      <c r="A466" s="5"/>
      <c r="B466" s="5"/>
      <c r="C466" s="5"/>
      <c r="D466" s="5"/>
      <c r="E466" s="5"/>
    </row>
    <row r="467" ht="12.75" spans="1:5">
      <c r="A467" s="5"/>
      <c r="B467" s="5"/>
      <c r="C467" s="5"/>
      <c r="D467" s="5"/>
      <c r="E467" s="5"/>
    </row>
    <row r="468" ht="12.75" spans="1:5">
      <c r="A468" s="5"/>
      <c r="B468" s="5"/>
      <c r="C468" s="5"/>
      <c r="D468" s="5"/>
      <c r="E468" s="5"/>
    </row>
    <row r="469" ht="12.75" spans="1:5">
      <c r="A469" s="5"/>
      <c r="B469" s="5"/>
      <c r="C469" s="5"/>
      <c r="D469" s="5"/>
      <c r="E469" s="5"/>
    </row>
    <row r="470" ht="12.75" spans="1:5">
      <c r="A470" s="5"/>
      <c r="B470" s="5"/>
      <c r="C470" s="5"/>
      <c r="D470" s="5"/>
      <c r="E470" s="5"/>
    </row>
    <row r="471" ht="12.75" spans="1:5">
      <c r="A471" s="5"/>
      <c r="B471" s="5"/>
      <c r="C471" s="5"/>
      <c r="D471" s="5"/>
      <c r="E471" s="5"/>
    </row>
    <row r="472" ht="12.75" spans="1:5">
      <c r="A472" s="5"/>
      <c r="B472" s="5"/>
      <c r="C472" s="5"/>
      <c r="D472" s="5"/>
      <c r="E472" s="5"/>
    </row>
    <row r="473" ht="12.75" spans="1:5">
      <c r="A473" s="5"/>
      <c r="B473" s="5"/>
      <c r="C473" s="5"/>
      <c r="D473" s="5"/>
      <c r="E473" s="5"/>
    </row>
    <row r="474" ht="12.75" spans="1:5">
      <c r="A474" s="5"/>
      <c r="B474" s="5"/>
      <c r="C474" s="5"/>
      <c r="D474" s="5"/>
      <c r="E474" s="5"/>
    </row>
    <row r="475" ht="12.75" spans="1:5">
      <c r="A475" s="5"/>
      <c r="B475" s="5"/>
      <c r="C475" s="5"/>
      <c r="D475" s="5"/>
      <c r="E475" s="5"/>
    </row>
    <row r="476" ht="12.75" spans="1:5">
      <c r="A476" s="5"/>
      <c r="B476" s="5"/>
      <c r="C476" s="5"/>
      <c r="D476" s="5"/>
      <c r="E476" s="5"/>
    </row>
    <row r="477" ht="12.75" spans="1:5">
      <c r="A477" s="5"/>
      <c r="B477" s="5"/>
      <c r="C477" s="5"/>
      <c r="D477" s="5"/>
      <c r="E477" s="5"/>
    </row>
    <row r="478" ht="12.75" spans="1:5">
      <c r="A478" s="5"/>
      <c r="B478" s="5"/>
      <c r="C478" s="5"/>
      <c r="D478" s="5"/>
      <c r="E478" s="5"/>
    </row>
    <row r="479" ht="12.75" spans="1:5">
      <c r="A479" s="5"/>
      <c r="B479" s="5"/>
      <c r="C479" s="5"/>
      <c r="D479" s="5"/>
      <c r="E479" s="5"/>
    </row>
    <row r="480" ht="12.75" spans="1:5">
      <c r="A480" s="5"/>
      <c r="B480" s="5"/>
      <c r="C480" s="5"/>
      <c r="D480" s="5"/>
      <c r="E480" s="5"/>
    </row>
    <row r="481" ht="12.75" spans="1:5">
      <c r="A481" s="5"/>
      <c r="B481" s="5"/>
      <c r="C481" s="5"/>
      <c r="D481" s="5"/>
      <c r="E481" s="5"/>
    </row>
    <row r="482" ht="12.75" spans="1:5">
      <c r="A482" s="5"/>
      <c r="B482" s="5"/>
      <c r="C482" s="5"/>
      <c r="D482" s="5"/>
      <c r="E482" s="5"/>
    </row>
    <row r="483" ht="12.75" spans="1:5">
      <c r="A483" s="5"/>
      <c r="B483" s="5"/>
      <c r="C483" s="5"/>
      <c r="D483" s="5"/>
      <c r="E483" s="5"/>
    </row>
    <row r="484" ht="12.75" spans="1:5">
      <c r="A484" s="5"/>
      <c r="B484" s="5"/>
      <c r="C484" s="5"/>
      <c r="D484" s="5"/>
      <c r="E484" s="5"/>
    </row>
    <row r="485" ht="12.75" spans="1:5">
      <c r="A485" s="5"/>
      <c r="B485" s="5"/>
      <c r="C485" s="5"/>
      <c r="D485" s="5"/>
      <c r="E485" s="5"/>
    </row>
    <row r="486" ht="12.75" spans="1:5">
      <c r="A486" s="5"/>
      <c r="B486" s="5"/>
      <c r="C486" s="5"/>
      <c r="D486" s="5"/>
      <c r="E486" s="5"/>
    </row>
    <row r="487" ht="12.75" spans="1:5">
      <c r="A487" s="5"/>
      <c r="B487" s="5"/>
      <c r="C487" s="5"/>
      <c r="D487" s="5"/>
      <c r="E487" s="5"/>
    </row>
    <row r="488" ht="12.75" spans="1:5">
      <c r="A488" s="5"/>
      <c r="B488" s="5"/>
      <c r="C488" s="5"/>
      <c r="D488" s="5"/>
      <c r="E488" s="5"/>
    </row>
    <row r="489" ht="12.75" spans="1:5">
      <c r="A489" s="5"/>
      <c r="B489" s="5"/>
      <c r="C489" s="5"/>
      <c r="D489" s="5"/>
      <c r="E489" s="5"/>
    </row>
    <row r="490" ht="12.75" spans="1:5">
      <c r="A490" s="5"/>
      <c r="B490" s="5"/>
      <c r="C490" s="5"/>
      <c r="D490" s="5"/>
      <c r="E490" s="5"/>
    </row>
    <row r="491" ht="12.75" spans="1:5">
      <c r="A491" s="5"/>
      <c r="B491" s="5"/>
      <c r="C491" s="5"/>
      <c r="D491" s="5"/>
      <c r="E491" s="5"/>
    </row>
    <row r="492" ht="12.75" spans="1:5">
      <c r="A492" s="5"/>
      <c r="B492" s="5"/>
      <c r="C492" s="5"/>
      <c r="D492" s="5"/>
      <c r="E492" s="5"/>
    </row>
    <row r="493" ht="12.75" spans="1:5">
      <c r="A493" s="5"/>
      <c r="B493" s="5"/>
      <c r="C493" s="5"/>
      <c r="D493" s="5"/>
      <c r="E493" s="5"/>
    </row>
    <row r="494" ht="12.75" spans="1:5">
      <c r="A494" s="5"/>
      <c r="B494" s="5"/>
      <c r="C494" s="5"/>
      <c r="D494" s="5"/>
      <c r="E494" s="5"/>
    </row>
    <row r="495" ht="12.75" spans="1:5">
      <c r="A495" s="5"/>
      <c r="B495" s="5"/>
      <c r="C495" s="5"/>
      <c r="D495" s="5"/>
      <c r="E495" s="5"/>
    </row>
    <row r="496" ht="12.75" spans="1:5">
      <c r="A496" s="5"/>
      <c r="B496" s="5"/>
      <c r="C496" s="5"/>
      <c r="D496" s="5"/>
      <c r="E496" s="5"/>
    </row>
    <row r="497" ht="12.75" spans="1:5">
      <c r="A497" s="5"/>
      <c r="B497" s="5"/>
      <c r="C497" s="5"/>
      <c r="D497" s="5"/>
      <c r="E497" s="5"/>
    </row>
    <row r="498" ht="12.75" spans="1:5">
      <c r="A498" s="5"/>
      <c r="B498" s="5"/>
      <c r="C498" s="5"/>
      <c r="D498" s="5"/>
      <c r="E498" s="5"/>
    </row>
    <row r="499" ht="12.75" spans="1:5">
      <c r="A499" s="5"/>
      <c r="B499" s="5"/>
      <c r="C499" s="5"/>
      <c r="D499" s="5"/>
      <c r="E499" s="5"/>
    </row>
    <row r="500" ht="12.75" spans="1:5">
      <c r="A500" s="5"/>
      <c r="B500" s="5"/>
      <c r="C500" s="5"/>
      <c r="D500" s="5"/>
      <c r="E500" s="5"/>
    </row>
    <row r="501" ht="12.75" spans="1:5">
      <c r="A501" s="5"/>
      <c r="B501" s="5"/>
      <c r="C501" s="5"/>
      <c r="D501" s="5"/>
      <c r="E501" s="5"/>
    </row>
    <row r="502" ht="12.75" spans="1:5">
      <c r="A502" s="5"/>
      <c r="B502" s="5"/>
      <c r="C502" s="5"/>
      <c r="D502" s="5"/>
      <c r="E502" s="5"/>
    </row>
    <row r="503" ht="12.75" spans="1:5">
      <c r="A503" s="5"/>
      <c r="B503" s="5"/>
      <c r="C503" s="5"/>
      <c r="D503" s="5"/>
      <c r="E503" s="5"/>
    </row>
    <row r="504" ht="12.75" spans="1:5">
      <c r="A504" s="5"/>
      <c r="B504" s="5"/>
      <c r="C504" s="5"/>
      <c r="D504" s="5"/>
      <c r="E504" s="5"/>
    </row>
    <row r="505" ht="12.75" spans="1:5">
      <c r="A505" s="5"/>
      <c r="B505" s="5"/>
      <c r="C505" s="5"/>
      <c r="D505" s="5"/>
      <c r="E505" s="5"/>
    </row>
    <row r="506" ht="12.75" spans="1:5">
      <c r="A506" s="5"/>
      <c r="B506" s="5"/>
      <c r="C506" s="5"/>
      <c r="D506" s="5"/>
      <c r="E506" s="5"/>
    </row>
    <row r="507" ht="12.75" spans="1:5">
      <c r="A507" s="5"/>
      <c r="B507" s="5"/>
      <c r="C507" s="5"/>
      <c r="D507" s="5"/>
      <c r="E507" s="5"/>
    </row>
    <row r="508" ht="12.75" spans="1:5">
      <c r="A508" s="5"/>
      <c r="B508" s="5"/>
      <c r="C508" s="5"/>
      <c r="D508" s="5"/>
      <c r="E508" s="5"/>
    </row>
    <row r="509" ht="12.75" spans="1:5">
      <c r="A509" s="5"/>
      <c r="B509" s="5"/>
      <c r="C509" s="5"/>
      <c r="D509" s="5"/>
      <c r="E509" s="5"/>
    </row>
    <row r="510" ht="12.75" spans="1:5">
      <c r="A510" s="5"/>
      <c r="B510" s="5"/>
      <c r="C510" s="5"/>
      <c r="D510" s="5"/>
      <c r="E510" s="5"/>
    </row>
    <row r="511" ht="12.75" spans="1:5">
      <c r="A511" s="5"/>
      <c r="B511" s="5"/>
      <c r="C511" s="5"/>
      <c r="D511" s="5"/>
      <c r="E511" s="5"/>
    </row>
    <row r="512" ht="12.75" spans="1:5">
      <c r="A512" s="5"/>
      <c r="B512" s="5"/>
      <c r="C512" s="5"/>
      <c r="D512" s="5"/>
      <c r="E512" s="5"/>
    </row>
    <row r="513" ht="12.75" spans="1:5">
      <c r="A513" s="5"/>
      <c r="B513" s="5"/>
      <c r="C513" s="5"/>
      <c r="D513" s="5"/>
      <c r="E513" s="5"/>
    </row>
    <row r="514" ht="12.75" spans="1:5">
      <c r="A514" s="5"/>
      <c r="B514" s="5"/>
      <c r="C514" s="5"/>
      <c r="D514" s="5"/>
      <c r="E514" s="5"/>
    </row>
    <row r="515" ht="12.75" spans="1:5">
      <c r="A515" s="5"/>
      <c r="B515" s="5"/>
      <c r="C515" s="5"/>
      <c r="D515" s="5"/>
      <c r="E515" s="5"/>
    </row>
    <row r="516" ht="12.75" spans="1:5">
      <c r="A516" s="5"/>
      <c r="B516" s="5"/>
      <c r="C516" s="5"/>
      <c r="D516" s="5"/>
      <c r="E516" s="5"/>
    </row>
    <row r="517" ht="12.75" spans="1:5">
      <c r="A517" s="5"/>
      <c r="B517" s="5"/>
      <c r="C517" s="5"/>
      <c r="D517" s="5"/>
      <c r="E517" s="5"/>
    </row>
    <row r="518" ht="12.75" spans="1:5">
      <c r="A518" s="5"/>
      <c r="B518" s="5"/>
      <c r="C518" s="5"/>
      <c r="D518" s="5"/>
      <c r="E518" s="5"/>
    </row>
    <row r="519" ht="12.75" spans="1:5">
      <c r="A519" s="5"/>
      <c r="B519" s="5"/>
      <c r="C519" s="5"/>
      <c r="D519" s="5"/>
      <c r="E519" s="5"/>
    </row>
    <row r="520" ht="12.75" spans="1:5">
      <c r="A520" s="5"/>
      <c r="B520" s="5"/>
      <c r="C520" s="5"/>
      <c r="D520" s="5"/>
      <c r="E520" s="5"/>
    </row>
    <row r="521" ht="12.75" spans="1:5">
      <c r="A521" s="5"/>
      <c r="B521" s="5"/>
      <c r="C521" s="5"/>
      <c r="D521" s="5"/>
      <c r="E521" s="5"/>
    </row>
    <row r="522" ht="12.75" spans="1:5">
      <c r="A522" s="5"/>
      <c r="B522" s="5"/>
      <c r="C522" s="5"/>
      <c r="D522" s="5"/>
      <c r="E522" s="5"/>
    </row>
    <row r="523" ht="12.75" spans="1:5">
      <c r="A523" s="5"/>
      <c r="B523" s="5"/>
      <c r="C523" s="5"/>
      <c r="D523" s="5"/>
      <c r="E523" s="5"/>
    </row>
    <row r="524" ht="12.75" spans="1:5">
      <c r="A524" s="5"/>
      <c r="B524" s="5"/>
      <c r="C524" s="5"/>
      <c r="D524" s="5"/>
      <c r="E524" s="5"/>
    </row>
    <row r="525" ht="12.75" spans="1:5">
      <c r="A525" s="5"/>
      <c r="B525" s="5"/>
      <c r="C525" s="5"/>
      <c r="D525" s="5"/>
      <c r="E525" s="5"/>
    </row>
    <row r="526" ht="12.75" spans="1:5">
      <c r="A526" s="5"/>
      <c r="B526" s="5"/>
      <c r="C526" s="5"/>
      <c r="D526" s="5"/>
      <c r="E526" s="5"/>
    </row>
    <row r="527" ht="12.75" spans="1:5">
      <c r="A527" s="5"/>
      <c r="B527" s="5"/>
      <c r="C527" s="5"/>
      <c r="D527" s="5"/>
      <c r="E527" s="5"/>
    </row>
    <row r="528" ht="12.75" spans="1:5">
      <c r="A528" s="5"/>
      <c r="B528" s="5"/>
      <c r="C528" s="5"/>
      <c r="D528" s="5"/>
      <c r="E528" s="5"/>
    </row>
    <row r="529" ht="12.75" spans="1:5">
      <c r="A529" s="5"/>
      <c r="B529" s="5"/>
      <c r="C529" s="5"/>
      <c r="D529" s="5"/>
      <c r="E529" s="5"/>
    </row>
    <row r="530" ht="12.75" spans="1:5">
      <c r="A530" s="5"/>
      <c r="B530" s="5"/>
      <c r="C530" s="5"/>
      <c r="D530" s="5"/>
      <c r="E530" s="5"/>
    </row>
    <row r="531" ht="12.75" spans="1:5">
      <c r="A531" s="5"/>
      <c r="B531" s="5"/>
      <c r="C531" s="5"/>
      <c r="D531" s="5"/>
      <c r="E531" s="5"/>
    </row>
    <row r="532" ht="12.75" spans="1:5">
      <c r="A532" s="5"/>
      <c r="B532" s="5"/>
      <c r="C532" s="5"/>
      <c r="D532" s="5"/>
      <c r="E532" s="5"/>
    </row>
    <row r="533" ht="12.75" spans="1:5">
      <c r="A533" s="5"/>
      <c r="B533" s="5"/>
      <c r="C533" s="5"/>
      <c r="D533" s="5"/>
      <c r="E533" s="5"/>
    </row>
    <row r="534" ht="12.75" spans="1:5">
      <c r="A534" s="5"/>
      <c r="B534" s="5"/>
      <c r="C534" s="5"/>
      <c r="D534" s="5"/>
      <c r="E534" s="5"/>
    </row>
    <row r="535" ht="12.75" spans="1:5">
      <c r="A535" s="5"/>
      <c r="B535" s="5"/>
      <c r="C535" s="5"/>
      <c r="D535" s="5"/>
      <c r="E535" s="5"/>
    </row>
    <row r="536" ht="12.75" spans="1:5">
      <c r="A536" s="5"/>
      <c r="B536" s="5"/>
      <c r="C536" s="5"/>
      <c r="D536" s="5"/>
      <c r="E536" s="5"/>
    </row>
    <row r="537" ht="12.75" spans="1:5">
      <c r="A537" s="5"/>
      <c r="B537" s="5"/>
      <c r="C537" s="5"/>
      <c r="D537" s="5"/>
      <c r="E537" s="5"/>
    </row>
    <row r="538" ht="12.75" spans="1:5">
      <c r="A538" s="5"/>
      <c r="B538" s="5"/>
      <c r="C538" s="5"/>
      <c r="D538" s="5"/>
      <c r="E538" s="5"/>
    </row>
    <row r="539" ht="12.75" spans="1:5">
      <c r="A539" s="5"/>
      <c r="B539" s="5"/>
      <c r="C539" s="5"/>
      <c r="D539" s="5"/>
      <c r="E539" s="5"/>
    </row>
    <row r="540" ht="12.75" spans="1:5">
      <c r="A540" s="5"/>
      <c r="B540" s="5"/>
      <c r="C540" s="5"/>
      <c r="D540" s="5"/>
      <c r="E540" s="5"/>
    </row>
    <row r="541" ht="12.75" spans="1:5">
      <c r="A541" s="5"/>
      <c r="B541" s="5"/>
      <c r="C541" s="5"/>
      <c r="D541" s="5"/>
      <c r="E541" s="5"/>
    </row>
    <row r="542" ht="12.75" spans="1:5">
      <c r="A542" s="5"/>
      <c r="B542" s="5"/>
      <c r="C542" s="5"/>
      <c r="D542" s="5"/>
      <c r="E542" s="5"/>
    </row>
    <row r="543" ht="12.75" spans="1:5">
      <c r="A543" s="5"/>
      <c r="B543" s="5"/>
      <c r="C543" s="5"/>
      <c r="D543" s="5"/>
      <c r="E543" s="5"/>
    </row>
    <row r="544" ht="12.75" spans="1:5">
      <c r="A544" s="5"/>
      <c r="B544" s="5"/>
      <c r="C544" s="5"/>
      <c r="D544" s="5"/>
      <c r="E544" s="5"/>
    </row>
    <row r="545" ht="12.75" spans="1:5">
      <c r="A545" s="5"/>
      <c r="B545" s="5"/>
      <c r="C545" s="5"/>
      <c r="D545" s="5"/>
      <c r="E545" s="5"/>
    </row>
    <row r="546" ht="12.75" spans="1:5">
      <c r="A546" s="5"/>
      <c r="B546" s="5"/>
      <c r="C546" s="5"/>
      <c r="D546" s="5"/>
      <c r="E546" s="5"/>
    </row>
    <row r="547" ht="12.75" spans="1:5">
      <c r="A547" s="5"/>
      <c r="B547" s="5"/>
      <c r="C547" s="5"/>
      <c r="D547" s="5"/>
      <c r="E547" s="5"/>
    </row>
    <row r="548" ht="12.75" spans="1:5">
      <c r="A548" s="5"/>
      <c r="B548" s="5"/>
      <c r="C548" s="5"/>
      <c r="D548" s="5"/>
      <c r="E548" s="5"/>
    </row>
    <row r="549" ht="12.75" spans="1:5">
      <c r="A549" s="5"/>
      <c r="B549" s="5"/>
      <c r="C549" s="5"/>
      <c r="D549" s="5"/>
      <c r="E549" s="5"/>
    </row>
    <row r="550" ht="12.75" spans="1:5">
      <c r="A550" s="5"/>
      <c r="B550" s="5"/>
      <c r="C550" s="5"/>
      <c r="D550" s="5"/>
      <c r="E550" s="5"/>
    </row>
    <row r="551" ht="12.75" spans="1:5">
      <c r="A551" s="5"/>
      <c r="B551" s="5"/>
      <c r="C551" s="5"/>
      <c r="D551" s="5"/>
      <c r="E551" s="5"/>
    </row>
    <row r="552" ht="12.75" spans="1:5">
      <c r="A552" s="5"/>
      <c r="B552" s="5"/>
      <c r="C552" s="5"/>
      <c r="D552" s="5"/>
      <c r="E552" s="5"/>
    </row>
    <row r="553" ht="12.75" spans="1:5">
      <c r="A553" s="5"/>
      <c r="B553" s="5"/>
      <c r="C553" s="5"/>
      <c r="D553" s="5"/>
      <c r="E553" s="5"/>
    </row>
    <row r="554" ht="12.75" spans="1:5">
      <c r="A554" s="5"/>
      <c r="B554" s="5"/>
      <c r="C554" s="5"/>
      <c r="D554" s="5"/>
      <c r="E554" s="5"/>
    </row>
    <row r="555" ht="12.75" spans="1:5">
      <c r="A555" s="5"/>
      <c r="B555" s="5"/>
      <c r="C555" s="5"/>
      <c r="D555" s="5"/>
      <c r="E555" s="5"/>
    </row>
    <row r="556" ht="12.75" spans="1:5">
      <c r="A556" s="5"/>
      <c r="B556" s="5"/>
      <c r="C556" s="5"/>
      <c r="D556" s="5"/>
      <c r="E556" s="5"/>
    </row>
    <row r="557" ht="12.75" spans="1:5">
      <c r="A557" s="5"/>
      <c r="B557" s="5"/>
      <c r="C557" s="5"/>
      <c r="D557" s="5"/>
      <c r="E557" s="5"/>
    </row>
    <row r="558" ht="12.75" spans="1:5">
      <c r="A558" s="5"/>
      <c r="B558" s="5"/>
      <c r="C558" s="5"/>
      <c r="D558" s="5"/>
      <c r="E558" s="5"/>
    </row>
    <row r="559" ht="12.75" spans="1:5">
      <c r="A559" s="5"/>
      <c r="B559" s="5"/>
      <c r="C559" s="5"/>
      <c r="D559" s="5"/>
      <c r="E559" s="5"/>
    </row>
    <row r="560" ht="12.75" spans="1:5">
      <c r="A560" s="5"/>
      <c r="B560" s="5"/>
      <c r="C560" s="5"/>
      <c r="D560" s="5"/>
      <c r="E560" s="5"/>
    </row>
    <row r="561" ht="12.75" spans="1:5">
      <c r="A561" s="5"/>
      <c r="B561" s="5"/>
      <c r="C561" s="5"/>
      <c r="D561" s="5"/>
      <c r="E561" s="5"/>
    </row>
    <row r="562" ht="12.75" spans="1:5">
      <c r="A562" s="5"/>
      <c r="B562" s="5"/>
      <c r="C562" s="5"/>
      <c r="D562" s="5"/>
      <c r="E562" s="5"/>
    </row>
    <row r="563" ht="12.75" spans="1:5">
      <c r="A563" s="5"/>
      <c r="B563" s="5"/>
      <c r="C563" s="5"/>
      <c r="D563" s="5"/>
      <c r="E563" s="5"/>
    </row>
    <row r="564" ht="12.75" spans="1:5">
      <c r="A564" s="5"/>
      <c r="B564" s="5"/>
      <c r="C564" s="5"/>
      <c r="D564" s="5"/>
      <c r="E564" s="5"/>
    </row>
    <row r="565" ht="12.75" spans="1:5">
      <c r="A565" s="5"/>
      <c r="B565" s="5"/>
      <c r="C565" s="5"/>
      <c r="D565" s="5"/>
      <c r="E565" s="5"/>
    </row>
    <row r="566" ht="12.75" spans="1:5">
      <c r="A566" s="5"/>
      <c r="B566" s="5"/>
      <c r="C566" s="5"/>
      <c r="D566" s="5"/>
      <c r="E566" s="5"/>
    </row>
    <row r="567" ht="12.75" spans="1:5">
      <c r="A567" s="5"/>
      <c r="B567" s="5"/>
      <c r="C567" s="5"/>
      <c r="D567" s="5"/>
      <c r="E567" s="5"/>
    </row>
    <row r="568" ht="12.75" spans="1:5">
      <c r="A568" s="5"/>
      <c r="B568" s="5"/>
      <c r="C568" s="5"/>
      <c r="D568" s="5"/>
      <c r="E568" s="5"/>
    </row>
    <row r="569" ht="12.75" spans="1:5">
      <c r="A569" s="5"/>
      <c r="B569" s="5"/>
      <c r="C569" s="5"/>
      <c r="D569" s="5"/>
      <c r="E569" s="5"/>
    </row>
    <row r="570" ht="12.75" spans="1:5">
      <c r="A570" s="5"/>
      <c r="B570" s="5"/>
      <c r="C570" s="5"/>
      <c r="D570" s="5"/>
      <c r="E570" s="5"/>
    </row>
    <row r="571" ht="12.75" spans="1:5">
      <c r="A571" s="5"/>
      <c r="B571" s="5"/>
      <c r="C571" s="5"/>
      <c r="D571" s="5"/>
      <c r="E571" s="5"/>
    </row>
    <row r="572" ht="12.75" spans="1:5">
      <c r="A572" s="5"/>
      <c r="B572" s="5"/>
      <c r="C572" s="5"/>
      <c r="D572" s="5"/>
      <c r="E572" s="5"/>
    </row>
    <row r="573" ht="12.75" spans="1:5">
      <c r="A573" s="5"/>
      <c r="B573" s="5"/>
      <c r="C573" s="5"/>
      <c r="D573" s="5"/>
      <c r="E573" s="5"/>
    </row>
    <row r="574" ht="12.75" spans="1:5">
      <c r="A574" s="5"/>
      <c r="B574" s="5"/>
      <c r="C574" s="5"/>
      <c r="D574" s="5"/>
      <c r="E574" s="5"/>
    </row>
    <row r="575" ht="12.75" spans="1:5">
      <c r="A575" s="5"/>
      <c r="B575" s="5"/>
      <c r="C575" s="5"/>
      <c r="D575" s="5"/>
      <c r="E575" s="5"/>
    </row>
    <row r="576" ht="12.75" spans="1:5">
      <c r="A576" s="5"/>
      <c r="B576" s="5"/>
      <c r="C576" s="5"/>
      <c r="D576" s="5"/>
      <c r="E576" s="5"/>
    </row>
    <row r="577" ht="12.75" spans="1:5">
      <c r="A577" s="5"/>
      <c r="B577" s="5"/>
      <c r="C577" s="5"/>
      <c r="D577" s="5"/>
      <c r="E577" s="5"/>
    </row>
    <row r="578" ht="12.75" spans="1:5">
      <c r="A578" s="5"/>
      <c r="B578" s="5"/>
      <c r="C578" s="5"/>
      <c r="D578" s="5"/>
      <c r="E578" s="5"/>
    </row>
    <row r="579" ht="12.75" spans="1:5">
      <c r="A579" s="5"/>
      <c r="B579" s="5"/>
      <c r="C579" s="5"/>
      <c r="D579" s="5"/>
      <c r="E579" s="5"/>
    </row>
    <row r="580" ht="12.75" spans="1:5">
      <c r="A580" s="5"/>
      <c r="B580" s="5"/>
      <c r="C580" s="5"/>
      <c r="D580" s="5"/>
      <c r="E580" s="5"/>
    </row>
    <row r="581" ht="12.75" spans="1:5">
      <c r="A581" s="5"/>
      <c r="B581" s="5"/>
      <c r="C581" s="5"/>
      <c r="D581" s="5"/>
      <c r="E581" s="5"/>
    </row>
    <row r="582" ht="12.75" spans="1:5">
      <c r="A582" s="5"/>
      <c r="B582" s="5"/>
      <c r="C582" s="5"/>
      <c r="D582" s="5"/>
      <c r="E582" s="5"/>
    </row>
    <row r="583" ht="12.75" spans="1:5">
      <c r="A583" s="5"/>
      <c r="B583" s="5"/>
      <c r="C583" s="5"/>
      <c r="D583" s="5"/>
      <c r="E583" s="5"/>
    </row>
    <row r="584" ht="12.75" spans="1:5">
      <c r="A584" s="5"/>
      <c r="B584" s="5"/>
      <c r="C584" s="5"/>
      <c r="D584" s="5"/>
      <c r="E584" s="5"/>
    </row>
    <row r="585" ht="12.75" spans="1:5">
      <c r="A585" s="5"/>
      <c r="B585" s="5"/>
      <c r="C585" s="5"/>
      <c r="D585" s="5"/>
      <c r="E585" s="5"/>
    </row>
    <row r="586" ht="12.75" spans="1:5">
      <c r="A586" s="5"/>
      <c r="B586" s="5"/>
      <c r="C586" s="5"/>
      <c r="D586" s="5"/>
      <c r="E586" s="5"/>
    </row>
    <row r="587" ht="12.75" spans="1:5">
      <c r="A587" s="5"/>
      <c r="B587" s="5"/>
      <c r="C587" s="5"/>
      <c r="D587" s="5"/>
      <c r="E587" s="5"/>
    </row>
    <row r="588" ht="12.75" spans="1:5">
      <c r="A588" s="5"/>
      <c r="B588" s="5"/>
      <c r="C588" s="5"/>
      <c r="D588" s="5"/>
      <c r="E588" s="5"/>
    </row>
    <row r="589" ht="12.75" spans="1:5">
      <c r="A589" s="5"/>
      <c r="B589" s="5"/>
      <c r="C589" s="5"/>
      <c r="D589" s="5"/>
      <c r="E589" s="5"/>
    </row>
    <row r="590" ht="12.75" spans="1:5">
      <c r="A590" s="5"/>
      <c r="B590" s="5"/>
      <c r="C590" s="5"/>
      <c r="D590" s="5"/>
      <c r="E590" s="5"/>
    </row>
    <row r="591" ht="12.75" spans="1:5">
      <c r="A591" s="5"/>
      <c r="B591" s="5"/>
      <c r="C591" s="5"/>
      <c r="D591" s="5"/>
      <c r="E591" s="5"/>
    </row>
    <row r="592" ht="12.75" spans="1:5">
      <c r="A592" s="5"/>
      <c r="B592" s="5"/>
      <c r="C592" s="5"/>
      <c r="D592" s="5"/>
      <c r="E592" s="5"/>
    </row>
    <row r="593" ht="12.75" spans="1:5">
      <c r="A593" s="5"/>
      <c r="B593" s="5"/>
      <c r="C593" s="5"/>
      <c r="D593" s="5"/>
      <c r="E593" s="5"/>
    </row>
    <row r="594" ht="12.75" spans="1:5">
      <c r="A594" s="5"/>
      <c r="B594" s="5"/>
      <c r="C594" s="5"/>
      <c r="D594" s="5"/>
      <c r="E594" s="5"/>
    </row>
    <row r="595" ht="12.75" spans="1:5">
      <c r="A595" s="5"/>
      <c r="B595" s="5"/>
      <c r="C595" s="5"/>
      <c r="D595" s="5"/>
      <c r="E595" s="5"/>
    </row>
    <row r="596" ht="12.75" spans="1:5">
      <c r="A596" s="5"/>
      <c r="B596" s="5"/>
      <c r="C596" s="5"/>
      <c r="D596" s="5"/>
      <c r="E596" s="5"/>
    </row>
    <row r="597" ht="12.75" spans="1:5">
      <c r="A597" s="5"/>
      <c r="B597" s="5"/>
      <c r="C597" s="5"/>
      <c r="D597" s="5"/>
      <c r="E597" s="5"/>
    </row>
    <row r="598" ht="12.75" spans="1:5">
      <c r="A598" s="5"/>
      <c r="B598" s="5"/>
      <c r="C598" s="5"/>
      <c r="D598" s="5"/>
      <c r="E598" s="5"/>
    </row>
    <row r="599" ht="12.75" spans="1:5">
      <c r="A599" s="5"/>
      <c r="B599" s="5"/>
      <c r="C599" s="5"/>
      <c r="D599" s="5"/>
      <c r="E599" s="5"/>
    </row>
    <row r="600" ht="12.75" spans="1:5">
      <c r="A600" s="5"/>
      <c r="B600" s="5"/>
      <c r="C600" s="5"/>
      <c r="D600" s="5"/>
      <c r="E600" s="5"/>
    </row>
    <row r="601" ht="12.75" spans="1:5">
      <c r="A601" s="5"/>
      <c r="B601" s="5"/>
      <c r="C601" s="5"/>
      <c r="D601" s="5"/>
      <c r="E601" s="5"/>
    </row>
    <row r="602" ht="12.75" spans="1:5">
      <c r="A602" s="5"/>
      <c r="B602" s="5"/>
      <c r="C602" s="5"/>
      <c r="D602" s="5"/>
      <c r="E602" s="5"/>
    </row>
    <row r="603" ht="12.75" spans="1:5">
      <c r="A603" s="5"/>
      <c r="B603" s="5"/>
      <c r="C603" s="5"/>
      <c r="D603" s="5"/>
      <c r="E603" s="5"/>
    </row>
    <row r="604" ht="12.75" spans="1:5">
      <c r="A604" s="5"/>
      <c r="B604" s="5"/>
      <c r="C604" s="5"/>
      <c r="D604" s="5"/>
      <c r="E604" s="5"/>
    </row>
    <row r="605" ht="12.75" spans="1:5">
      <c r="A605" s="5"/>
      <c r="B605" s="5"/>
      <c r="C605" s="5"/>
      <c r="D605" s="5"/>
      <c r="E605" s="5"/>
    </row>
    <row r="606" ht="12.75" spans="1:5">
      <c r="A606" s="5"/>
      <c r="B606" s="5"/>
      <c r="C606" s="5"/>
      <c r="D606" s="5"/>
      <c r="E606" s="5"/>
    </row>
    <row r="607" ht="12.75" spans="1:5">
      <c r="A607" s="5"/>
      <c r="B607" s="5"/>
      <c r="C607" s="5"/>
      <c r="D607" s="5"/>
      <c r="E607" s="5"/>
    </row>
    <row r="608" ht="12.75" spans="1:5">
      <c r="A608" s="5"/>
      <c r="B608" s="5"/>
      <c r="C608" s="5"/>
      <c r="D608" s="5"/>
      <c r="E608" s="5"/>
    </row>
    <row r="609" ht="12.75" spans="1:5">
      <c r="A609" s="5"/>
      <c r="B609" s="5"/>
      <c r="C609" s="5"/>
      <c r="D609" s="5"/>
      <c r="E609" s="5"/>
    </row>
    <row r="610" ht="12.75" spans="1:5">
      <c r="A610" s="5"/>
      <c r="B610" s="5"/>
      <c r="C610" s="5"/>
      <c r="D610" s="5"/>
      <c r="E610" s="5"/>
    </row>
    <row r="611" ht="12.75" spans="1:5">
      <c r="A611" s="5"/>
      <c r="B611" s="5"/>
      <c r="C611" s="5"/>
      <c r="D611" s="5"/>
      <c r="E611" s="5"/>
    </row>
    <row r="612" ht="12.75" spans="1:5">
      <c r="A612" s="5"/>
      <c r="B612" s="5"/>
      <c r="C612" s="5"/>
      <c r="D612" s="5"/>
      <c r="E612" s="5"/>
    </row>
    <row r="613" ht="12.75" spans="1:5">
      <c r="A613" s="5"/>
      <c r="B613" s="5"/>
      <c r="C613" s="5"/>
      <c r="D613" s="5"/>
      <c r="E613" s="5"/>
    </row>
    <row r="614" ht="12.75" spans="1:5">
      <c r="A614" s="5"/>
      <c r="B614" s="5"/>
      <c r="C614" s="5"/>
      <c r="D614" s="5"/>
      <c r="E614" s="5"/>
    </row>
    <row r="615" ht="12.75" spans="1:5">
      <c r="A615" s="5"/>
      <c r="B615" s="5"/>
      <c r="C615" s="5"/>
      <c r="D615" s="5"/>
      <c r="E615" s="5"/>
    </row>
    <row r="616" ht="12.75" spans="1:5">
      <c r="A616" s="5"/>
      <c r="B616" s="5"/>
      <c r="C616" s="5"/>
      <c r="D616" s="5"/>
      <c r="E616" s="5"/>
    </row>
    <row r="617" ht="12.75" spans="1:5">
      <c r="A617" s="5"/>
      <c r="B617" s="5"/>
      <c r="C617" s="5"/>
      <c r="D617" s="5"/>
      <c r="E617" s="5"/>
    </row>
    <row r="618" ht="12.75" spans="1:5">
      <c r="A618" s="5"/>
      <c r="B618" s="5"/>
      <c r="C618" s="5"/>
      <c r="D618" s="5"/>
      <c r="E618" s="5"/>
    </row>
    <row r="619" ht="12.75" spans="1:5">
      <c r="A619" s="5"/>
      <c r="B619" s="5"/>
      <c r="C619" s="5"/>
      <c r="D619" s="5"/>
      <c r="E619" s="5"/>
    </row>
    <row r="620" ht="12.75" spans="1:5">
      <c r="A620" s="5"/>
      <c r="B620" s="5"/>
      <c r="C620" s="5"/>
      <c r="D620" s="5"/>
      <c r="E620" s="5"/>
    </row>
    <row r="621" ht="12.75" spans="1:5">
      <c r="A621" s="5"/>
      <c r="B621" s="5"/>
      <c r="C621" s="5"/>
      <c r="D621" s="5"/>
      <c r="E621" s="5"/>
    </row>
    <row r="622" ht="12.75" spans="1:5">
      <c r="A622" s="5"/>
      <c r="B622" s="5"/>
      <c r="C622" s="5"/>
      <c r="D622" s="5"/>
      <c r="E622" s="5"/>
    </row>
    <row r="623" ht="12.75" spans="1:5">
      <c r="A623" s="5"/>
      <c r="B623" s="5"/>
      <c r="C623" s="5"/>
      <c r="D623" s="5"/>
      <c r="E623" s="5"/>
    </row>
    <row r="624" ht="12.75" spans="1:5">
      <c r="A624" s="5"/>
      <c r="B624" s="5"/>
      <c r="C624" s="5"/>
      <c r="D624" s="5"/>
      <c r="E624" s="5"/>
    </row>
    <row r="625" ht="12.75" spans="1:5">
      <c r="A625" s="5"/>
      <c r="B625" s="5"/>
      <c r="C625" s="5"/>
      <c r="D625" s="5"/>
      <c r="E625" s="5"/>
    </row>
    <row r="626" ht="12.75" spans="1:5">
      <c r="A626" s="5"/>
      <c r="B626" s="5"/>
      <c r="C626" s="5"/>
      <c r="D626" s="5"/>
      <c r="E626" s="5"/>
    </row>
    <row r="627" ht="12.75" spans="1:5">
      <c r="A627" s="5"/>
      <c r="B627" s="5"/>
      <c r="C627" s="5"/>
      <c r="D627" s="5"/>
      <c r="E627" s="5"/>
    </row>
    <row r="628" ht="12.75" spans="1:5">
      <c r="A628" s="5"/>
      <c r="B628" s="5"/>
      <c r="C628" s="5"/>
      <c r="D628" s="5"/>
      <c r="E628" s="5"/>
    </row>
    <row r="629" ht="12.75" spans="1:5">
      <c r="A629" s="5"/>
      <c r="B629" s="5"/>
      <c r="C629" s="5"/>
      <c r="D629" s="5"/>
      <c r="E629" s="5"/>
    </row>
    <row r="630" ht="12.75" spans="1:5">
      <c r="A630" s="5"/>
      <c r="B630" s="5"/>
      <c r="C630" s="5"/>
      <c r="D630" s="5"/>
      <c r="E630" s="5"/>
    </row>
    <row r="631" ht="12.75" spans="1:5">
      <c r="A631" s="5"/>
      <c r="B631" s="5"/>
      <c r="C631" s="5"/>
      <c r="D631" s="5"/>
      <c r="E631" s="5"/>
    </row>
    <row r="632" ht="12.75" spans="1:5">
      <c r="A632" s="5"/>
      <c r="B632" s="5"/>
      <c r="C632" s="5"/>
      <c r="D632" s="5"/>
      <c r="E632" s="5"/>
    </row>
    <row r="633" ht="12.75" spans="1:5">
      <c r="A633" s="5"/>
      <c r="B633" s="5"/>
      <c r="C633" s="5"/>
      <c r="D633" s="5"/>
      <c r="E633" s="5"/>
    </row>
    <row r="634" ht="12.75" spans="1:5">
      <c r="A634" s="5"/>
      <c r="B634" s="5"/>
      <c r="C634" s="5"/>
      <c r="D634" s="5"/>
      <c r="E634" s="5"/>
    </row>
    <row r="635" ht="12.75" spans="1:5">
      <c r="A635" s="5"/>
      <c r="B635" s="5"/>
      <c r="C635" s="5"/>
      <c r="D635" s="5"/>
      <c r="E635" s="5"/>
    </row>
    <row r="636" ht="12.75" spans="1:5">
      <c r="A636" s="5"/>
      <c r="B636" s="5"/>
      <c r="C636" s="5"/>
      <c r="D636" s="5"/>
      <c r="E636" s="5"/>
    </row>
    <row r="637" ht="12.75" spans="1:5">
      <c r="A637" s="5"/>
      <c r="B637" s="5"/>
      <c r="C637" s="5"/>
      <c r="D637" s="5"/>
      <c r="E637" s="5"/>
    </row>
    <row r="638" ht="12.75" spans="1:5">
      <c r="A638" s="5"/>
      <c r="B638" s="5"/>
      <c r="C638" s="5"/>
      <c r="D638" s="5"/>
      <c r="E638" s="5"/>
    </row>
    <row r="639" ht="12.75" spans="1:5">
      <c r="A639" s="5"/>
      <c r="B639" s="5"/>
      <c r="C639" s="5"/>
      <c r="D639" s="5"/>
      <c r="E639" s="5"/>
    </row>
    <row r="640" ht="12.75" spans="1:5">
      <c r="A640" s="5"/>
      <c r="B640" s="5"/>
      <c r="C640" s="5"/>
      <c r="D640" s="5"/>
      <c r="E640" s="5"/>
    </row>
    <row r="641" ht="12.75" spans="1:5">
      <c r="A641" s="5"/>
      <c r="B641" s="5"/>
      <c r="C641" s="5"/>
      <c r="D641" s="5"/>
      <c r="E641" s="5"/>
    </row>
    <row r="642" ht="12.75" spans="1:5">
      <c r="A642" s="5"/>
      <c r="B642" s="5"/>
      <c r="C642" s="5"/>
      <c r="D642" s="5"/>
      <c r="E642" s="5"/>
    </row>
    <row r="643" ht="12.75" spans="1:5">
      <c r="A643" s="5"/>
      <c r="B643" s="5"/>
      <c r="C643" s="5"/>
      <c r="D643" s="5"/>
      <c r="E643" s="5"/>
    </row>
    <row r="644" ht="12.75" spans="1:5">
      <c r="A644" s="5"/>
      <c r="B644" s="5"/>
      <c r="C644" s="5"/>
      <c r="D644" s="5"/>
      <c r="E644" s="5"/>
    </row>
    <row r="645" ht="12.75" spans="1:5">
      <c r="A645" s="5"/>
      <c r="B645" s="5"/>
      <c r="C645" s="5"/>
      <c r="D645" s="5"/>
      <c r="E645" s="5"/>
    </row>
    <row r="646" ht="12.75" spans="1:5">
      <c r="A646" s="5"/>
      <c r="B646" s="5"/>
      <c r="C646" s="5"/>
      <c r="D646" s="5"/>
      <c r="E646" s="5"/>
    </row>
    <row r="647" ht="12.75" spans="1:5">
      <c r="A647" s="5"/>
      <c r="B647" s="5"/>
      <c r="C647" s="5"/>
      <c r="D647" s="5"/>
      <c r="E647" s="5"/>
    </row>
    <row r="648" ht="12.75" spans="1:5">
      <c r="A648" s="5"/>
      <c r="B648" s="5"/>
      <c r="C648" s="5"/>
      <c r="D648" s="5"/>
      <c r="E648" s="5"/>
    </row>
    <row r="649" ht="12.75" spans="1:5">
      <c r="A649" s="5"/>
      <c r="B649" s="5"/>
      <c r="C649" s="5"/>
      <c r="D649" s="5"/>
      <c r="E649" s="5"/>
    </row>
    <row r="650" ht="12.75" spans="1:5">
      <c r="A650" s="5"/>
      <c r="B650" s="5"/>
      <c r="C650" s="5"/>
      <c r="D650" s="5"/>
      <c r="E650" s="5"/>
    </row>
    <row r="651" ht="12.75" spans="1:5">
      <c r="A651" s="5"/>
      <c r="B651" s="5"/>
      <c r="C651" s="5"/>
      <c r="D651" s="5"/>
      <c r="E651" s="5"/>
    </row>
    <row r="652" ht="12.75" spans="1:5">
      <c r="A652" s="5"/>
      <c r="B652" s="5"/>
      <c r="C652" s="5"/>
      <c r="D652" s="5"/>
      <c r="E652" s="5"/>
    </row>
    <row r="653" ht="12.75" spans="1:5">
      <c r="A653" s="5"/>
      <c r="B653" s="5"/>
      <c r="C653" s="5"/>
      <c r="D653" s="5"/>
      <c r="E653" s="5"/>
    </row>
    <row r="654" ht="12.75" spans="1:5">
      <c r="A654" s="5"/>
      <c r="B654" s="5"/>
      <c r="C654" s="5"/>
      <c r="D654" s="5"/>
      <c r="E654" s="5"/>
    </row>
    <row r="655" ht="12.75" spans="1:5">
      <c r="A655" s="5"/>
      <c r="B655" s="5"/>
      <c r="C655" s="5"/>
      <c r="D655" s="5"/>
      <c r="E655" s="5"/>
    </row>
    <row r="656" ht="12.75" spans="1:5">
      <c r="A656" s="5"/>
      <c r="B656" s="5"/>
      <c r="C656" s="5"/>
      <c r="D656" s="5"/>
      <c r="E656" s="5"/>
    </row>
    <row r="657" ht="12.75" spans="1:5">
      <c r="A657" s="5"/>
      <c r="B657" s="5"/>
      <c r="C657" s="5"/>
      <c r="D657" s="5"/>
      <c r="E657" s="5"/>
    </row>
    <row r="658" ht="12.75" spans="1:5">
      <c r="A658" s="5"/>
      <c r="B658" s="5"/>
      <c r="C658" s="5"/>
      <c r="D658" s="5"/>
      <c r="E658" s="5"/>
    </row>
    <row r="659" ht="12.75" spans="1:5">
      <c r="A659" s="5"/>
      <c r="B659" s="5"/>
      <c r="C659" s="5"/>
      <c r="D659" s="5"/>
      <c r="E659" s="5"/>
    </row>
    <row r="660" ht="12.75" spans="1:5">
      <c r="A660" s="5"/>
      <c r="B660" s="5"/>
      <c r="C660" s="5"/>
      <c r="D660" s="5"/>
      <c r="E660" s="5"/>
    </row>
    <row r="661" ht="12.75" spans="1:5">
      <c r="A661" s="5"/>
      <c r="B661" s="5"/>
      <c r="C661" s="5"/>
      <c r="D661" s="5"/>
      <c r="E661" s="5"/>
    </row>
    <row r="662" ht="12.75" spans="1:5">
      <c r="A662" s="5"/>
      <c r="B662" s="5"/>
      <c r="C662" s="5"/>
      <c r="D662" s="5"/>
      <c r="E662" s="5"/>
    </row>
    <row r="663" ht="12.75" spans="1:5">
      <c r="A663" s="5"/>
      <c r="B663" s="5"/>
      <c r="C663" s="5"/>
      <c r="D663" s="5"/>
      <c r="E663" s="5"/>
    </row>
    <row r="664" ht="12.75" spans="1:5">
      <c r="A664" s="5"/>
      <c r="B664" s="5"/>
      <c r="C664" s="5"/>
      <c r="D664" s="5"/>
      <c r="E664" s="5"/>
    </row>
    <row r="665" ht="12.75" spans="1:5">
      <c r="A665" s="5"/>
      <c r="B665" s="5"/>
      <c r="C665" s="5"/>
      <c r="D665" s="5"/>
      <c r="E665" s="5"/>
    </row>
    <row r="666" ht="12.75" spans="1:5">
      <c r="A666" s="5"/>
      <c r="B666" s="5"/>
      <c r="C666" s="5"/>
      <c r="D666" s="5"/>
      <c r="E666" s="5"/>
    </row>
    <row r="667" ht="12.75" spans="1:5">
      <c r="A667" s="5"/>
      <c r="B667" s="5"/>
      <c r="C667" s="5"/>
      <c r="D667" s="5"/>
      <c r="E667" s="5"/>
    </row>
    <row r="668" ht="12.75" spans="1:5">
      <c r="A668" s="5"/>
      <c r="B668" s="5"/>
      <c r="C668" s="5"/>
      <c r="D668" s="5"/>
      <c r="E668" s="5"/>
    </row>
    <row r="669" ht="12.75" spans="1:5">
      <c r="A669" s="5"/>
      <c r="B669" s="5"/>
      <c r="C669" s="5"/>
      <c r="D669" s="5"/>
      <c r="E669" s="5"/>
    </row>
    <row r="670" ht="12.75" spans="1:5">
      <c r="A670" s="5"/>
      <c r="B670" s="5"/>
      <c r="C670" s="5"/>
      <c r="D670" s="5"/>
      <c r="E670" s="5"/>
    </row>
    <row r="671" ht="12.75" spans="1:5">
      <c r="A671" s="5"/>
      <c r="B671" s="5"/>
      <c r="C671" s="5"/>
      <c r="D671" s="5"/>
      <c r="E671" s="5"/>
    </row>
    <row r="672" ht="12.75" spans="1:5">
      <c r="A672" s="5"/>
      <c r="B672" s="5"/>
      <c r="C672" s="5"/>
      <c r="D672" s="5"/>
      <c r="E672" s="5"/>
    </row>
    <row r="673" ht="12.75" spans="1:5">
      <c r="A673" s="5"/>
      <c r="B673" s="5"/>
      <c r="C673" s="5"/>
      <c r="D673" s="5"/>
      <c r="E673" s="5"/>
    </row>
    <row r="674" ht="12.75" spans="1:5">
      <c r="A674" s="5"/>
      <c r="B674" s="5"/>
      <c r="C674" s="5"/>
      <c r="D674" s="5"/>
      <c r="E674" s="5"/>
    </row>
    <row r="675" ht="12.75" spans="1:5">
      <c r="A675" s="5"/>
      <c r="B675" s="5"/>
      <c r="C675" s="5"/>
      <c r="D675" s="5"/>
      <c r="E675" s="5"/>
    </row>
    <row r="676" ht="12.75" spans="1:5">
      <c r="A676" s="5"/>
      <c r="B676" s="5"/>
      <c r="C676" s="5"/>
      <c r="D676" s="5"/>
      <c r="E676" s="5"/>
    </row>
    <row r="677" ht="12.75" spans="1:5">
      <c r="A677" s="5"/>
      <c r="B677" s="5"/>
      <c r="C677" s="5"/>
      <c r="D677" s="5"/>
      <c r="E677" s="5"/>
    </row>
    <row r="678" ht="12.75" spans="1:5">
      <c r="A678" s="5"/>
      <c r="B678" s="5"/>
      <c r="C678" s="5"/>
      <c r="D678" s="5"/>
      <c r="E678" s="5"/>
    </row>
    <row r="679" ht="12.75" spans="1:5">
      <c r="A679" s="5"/>
      <c r="B679" s="5"/>
      <c r="C679" s="5"/>
      <c r="D679" s="5"/>
      <c r="E679" s="5"/>
    </row>
    <row r="680" ht="12.75" spans="1:5">
      <c r="A680" s="5"/>
      <c r="B680" s="5"/>
      <c r="C680" s="5"/>
      <c r="D680" s="5"/>
      <c r="E680" s="5"/>
    </row>
    <row r="681" ht="12.75" spans="1:5">
      <c r="A681" s="5"/>
      <c r="B681" s="5"/>
      <c r="C681" s="5"/>
      <c r="D681" s="5"/>
      <c r="E681" s="5"/>
    </row>
    <row r="682" ht="12.75" spans="1:5">
      <c r="A682" s="5"/>
      <c r="B682" s="5"/>
      <c r="C682" s="5"/>
      <c r="D682" s="5"/>
      <c r="E682" s="5"/>
    </row>
    <row r="683" ht="12.75" spans="1:5">
      <c r="A683" s="5"/>
      <c r="B683" s="5"/>
      <c r="C683" s="5"/>
      <c r="D683" s="5"/>
      <c r="E683" s="5"/>
    </row>
    <row r="684" ht="12.75" spans="1:5">
      <c r="A684" s="5"/>
      <c r="B684" s="5"/>
      <c r="C684" s="5"/>
      <c r="D684" s="5"/>
      <c r="E684" s="5"/>
    </row>
    <row r="685" ht="12.75" spans="1:5">
      <c r="A685" s="5"/>
      <c r="B685" s="5"/>
      <c r="C685" s="5"/>
      <c r="D685" s="5"/>
      <c r="E685" s="5"/>
    </row>
    <row r="686" ht="12.75" spans="1:5">
      <c r="A686" s="5"/>
      <c r="B686" s="5"/>
      <c r="C686" s="5"/>
      <c r="D686" s="5"/>
      <c r="E686" s="5"/>
    </row>
    <row r="687" ht="12.75" spans="1:5">
      <c r="A687" s="5"/>
      <c r="B687" s="5"/>
      <c r="C687" s="5"/>
      <c r="D687" s="5"/>
      <c r="E687" s="5"/>
    </row>
    <row r="688" ht="12.75" spans="1:5">
      <c r="A688" s="5"/>
      <c r="B688" s="5"/>
      <c r="C688" s="5"/>
      <c r="D688" s="5"/>
      <c r="E688" s="5"/>
    </row>
    <row r="689" ht="12.75" spans="1:5">
      <c r="A689" s="5"/>
      <c r="B689" s="5"/>
      <c r="C689" s="5"/>
      <c r="D689" s="5"/>
      <c r="E689" s="5"/>
    </row>
    <row r="690" ht="12.75" spans="1:5">
      <c r="A690" s="5"/>
      <c r="B690" s="5"/>
      <c r="C690" s="5"/>
      <c r="D690" s="5"/>
      <c r="E690" s="5"/>
    </row>
    <row r="691" ht="12.75" spans="1:5">
      <c r="A691" s="5"/>
      <c r="B691" s="5"/>
      <c r="C691" s="5"/>
      <c r="D691" s="5"/>
      <c r="E691" s="5"/>
    </row>
    <row r="692" ht="12.75" spans="1:5">
      <c r="A692" s="5"/>
      <c r="B692" s="5"/>
      <c r="C692" s="5"/>
      <c r="D692" s="5"/>
      <c r="E692" s="5"/>
    </row>
    <row r="693" ht="12.75" spans="1:5">
      <c r="A693" s="5"/>
      <c r="B693" s="5"/>
      <c r="C693" s="5"/>
      <c r="D693" s="5"/>
      <c r="E693" s="5"/>
    </row>
    <row r="694" ht="12.75" spans="1:5">
      <c r="A694" s="5"/>
      <c r="B694" s="5"/>
      <c r="C694" s="5"/>
      <c r="D694" s="5"/>
      <c r="E694" s="5"/>
    </row>
    <row r="695" ht="12.75" spans="1:5">
      <c r="A695" s="5"/>
      <c r="B695" s="5"/>
      <c r="C695" s="5"/>
      <c r="D695" s="5"/>
      <c r="E695" s="5"/>
    </row>
    <row r="696" ht="12.75" spans="1:5">
      <c r="A696" s="5"/>
      <c r="B696" s="5"/>
      <c r="C696" s="5"/>
      <c r="D696" s="5"/>
      <c r="E696" s="5"/>
    </row>
    <row r="697" ht="12.75" spans="1:5">
      <c r="A697" s="5"/>
      <c r="B697" s="5"/>
      <c r="C697" s="5"/>
      <c r="D697" s="5"/>
      <c r="E697" s="5"/>
    </row>
    <row r="698" ht="12.75" spans="1:5">
      <c r="A698" s="5"/>
      <c r="B698" s="5"/>
      <c r="C698" s="5"/>
      <c r="D698" s="5"/>
      <c r="E698" s="5"/>
    </row>
    <row r="699" ht="12.75" spans="1:5">
      <c r="A699" s="5"/>
      <c r="B699" s="5"/>
      <c r="C699" s="5"/>
      <c r="D699" s="5"/>
      <c r="E699" s="5"/>
    </row>
    <row r="700" ht="12.75" spans="1:5">
      <c r="A700" s="5"/>
      <c r="B700" s="5"/>
      <c r="C700" s="5"/>
      <c r="D700" s="5"/>
      <c r="E700" s="5"/>
    </row>
    <row r="701" ht="12.75" spans="1:5">
      <c r="A701" s="5"/>
      <c r="B701" s="5"/>
      <c r="C701" s="5"/>
      <c r="D701" s="5"/>
      <c r="E701" s="5"/>
    </row>
    <row r="702" ht="12.75" spans="1:5">
      <c r="A702" s="5"/>
      <c r="B702" s="5"/>
      <c r="C702" s="5"/>
      <c r="D702" s="5"/>
      <c r="E702" s="5"/>
    </row>
    <row r="703" ht="12.75" spans="1:5">
      <c r="A703" s="5"/>
      <c r="B703" s="5"/>
      <c r="C703" s="5"/>
      <c r="D703" s="5"/>
      <c r="E703" s="5"/>
    </row>
    <row r="704" ht="12.75" spans="1:5">
      <c r="A704" s="5"/>
      <c r="B704" s="5"/>
      <c r="C704" s="5"/>
      <c r="D704" s="5"/>
      <c r="E704" s="5"/>
    </row>
    <row r="705" ht="12.75" spans="1:5">
      <c r="A705" s="5"/>
      <c r="B705" s="5"/>
      <c r="C705" s="5"/>
      <c r="D705" s="5"/>
      <c r="E705" s="5"/>
    </row>
    <row r="706" ht="12.75" spans="1:5">
      <c r="A706" s="5"/>
      <c r="B706" s="5"/>
      <c r="C706" s="5"/>
      <c r="D706" s="5"/>
      <c r="E706" s="5"/>
    </row>
    <row r="707" ht="12.75" spans="1:5">
      <c r="A707" s="5"/>
      <c r="B707" s="5"/>
      <c r="C707" s="5"/>
      <c r="D707" s="5"/>
      <c r="E707" s="5"/>
    </row>
    <row r="708" ht="12.75" spans="1:5">
      <c r="A708" s="5"/>
      <c r="B708" s="5"/>
      <c r="C708" s="5"/>
      <c r="D708" s="5"/>
      <c r="E708" s="5"/>
    </row>
    <row r="709" ht="12.75" spans="1:5">
      <c r="A709" s="5"/>
      <c r="B709" s="5"/>
      <c r="C709" s="5"/>
      <c r="D709" s="5"/>
      <c r="E709" s="5"/>
    </row>
    <row r="710" ht="12.75" spans="1:5">
      <c r="A710" s="5"/>
      <c r="B710" s="5"/>
      <c r="C710" s="5"/>
      <c r="D710" s="5"/>
      <c r="E710" s="5"/>
    </row>
    <row r="711" ht="12.75" spans="1:5">
      <c r="A711" s="5"/>
      <c r="B711" s="5"/>
      <c r="C711" s="5"/>
      <c r="D711" s="5"/>
      <c r="E711" s="5"/>
    </row>
    <row r="712" ht="12.75" spans="1:5">
      <c r="A712" s="5"/>
      <c r="B712" s="5"/>
      <c r="C712" s="5"/>
      <c r="D712" s="5"/>
      <c r="E712" s="5"/>
    </row>
    <row r="713" ht="12.75" spans="1:5">
      <c r="A713" s="5"/>
      <c r="B713" s="5"/>
      <c r="C713" s="5"/>
      <c r="D713" s="5"/>
      <c r="E713" s="5"/>
    </row>
    <row r="714" ht="12.75" spans="1:5">
      <c r="A714" s="5"/>
      <c r="B714" s="5"/>
      <c r="C714" s="5"/>
      <c r="D714" s="5"/>
      <c r="E714" s="5"/>
    </row>
    <row r="715" ht="12.75" spans="1:5">
      <c r="A715" s="5"/>
      <c r="B715" s="5"/>
      <c r="C715" s="5"/>
      <c r="D715" s="5"/>
      <c r="E715" s="5"/>
    </row>
    <row r="716" ht="12.75" spans="1:5">
      <c r="A716" s="5"/>
      <c r="B716" s="5"/>
      <c r="C716" s="5"/>
      <c r="D716" s="5"/>
      <c r="E716" s="5"/>
    </row>
    <row r="717" ht="12.75" spans="1:5">
      <c r="A717" s="5"/>
      <c r="B717" s="5"/>
      <c r="C717" s="5"/>
      <c r="D717" s="5"/>
      <c r="E717" s="5"/>
    </row>
    <row r="718" ht="12.75" spans="1:5">
      <c r="A718" s="5"/>
      <c r="B718" s="5"/>
      <c r="C718" s="5"/>
      <c r="D718" s="5"/>
      <c r="E718" s="5"/>
    </row>
    <row r="719" ht="12.75" spans="1:5">
      <c r="A719" s="5"/>
      <c r="B719" s="5"/>
      <c r="C719" s="5"/>
      <c r="D719" s="5"/>
      <c r="E719" s="5"/>
    </row>
    <row r="720" ht="12.75" spans="1:5">
      <c r="A720" s="5"/>
      <c r="B720" s="5"/>
      <c r="C720" s="5"/>
      <c r="D720" s="5"/>
      <c r="E720" s="5"/>
    </row>
    <row r="721" ht="12.75" spans="1:5">
      <c r="A721" s="5"/>
      <c r="B721" s="5"/>
      <c r="C721" s="5"/>
      <c r="D721" s="5"/>
      <c r="E721" s="5"/>
    </row>
    <row r="722" ht="12.75" spans="1:5">
      <c r="A722" s="5"/>
      <c r="B722" s="5"/>
      <c r="C722" s="5"/>
      <c r="D722" s="5"/>
      <c r="E722" s="5"/>
    </row>
    <row r="723" ht="12.75" spans="1:5">
      <c r="A723" s="5"/>
      <c r="B723" s="5"/>
      <c r="C723" s="5"/>
      <c r="D723" s="5"/>
      <c r="E723" s="5"/>
    </row>
    <row r="724" ht="12.75" spans="1:5">
      <c r="A724" s="5"/>
      <c r="B724" s="5"/>
      <c r="C724" s="5"/>
      <c r="D724" s="5"/>
      <c r="E724" s="5"/>
    </row>
    <row r="725" ht="12.75" spans="1:5">
      <c r="A725" s="5"/>
      <c r="B725" s="5"/>
      <c r="C725" s="5"/>
      <c r="D725" s="5"/>
      <c r="E725" s="5"/>
    </row>
    <row r="726" ht="12.75" spans="1:5">
      <c r="A726" s="5"/>
      <c r="B726" s="5"/>
      <c r="C726" s="5"/>
      <c r="D726" s="5"/>
      <c r="E726" s="5"/>
    </row>
    <row r="727" ht="12.75" spans="1:5">
      <c r="A727" s="5"/>
      <c r="B727" s="5"/>
      <c r="C727" s="5"/>
      <c r="D727" s="5"/>
      <c r="E727" s="5"/>
    </row>
    <row r="728" ht="12.75" spans="1:5">
      <c r="A728" s="5"/>
      <c r="B728" s="5"/>
      <c r="C728" s="5"/>
      <c r="D728" s="5"/>
      <c r="E728" s="5"/>
    </row>
    <row r="729" ht="12.75" spans="1:5">
      <c r="A729" s="5"/>
      <c r="B729" s="5"/>
      <c r="C729" s="5"/>
      <c r="D729" s="5"/>
      <c r="E729" s="5"/>
    </row>
    <row r="730" ht="12.75" spans="1:5">
      <c r="A730" s="5"/>
      <c r="B730" s="5"/>
      <c r="C730" s="5"/>
      <c r="D730" s="5"/>
      <c r="E730" s="5"/>
    </row>
    <row r="731" ht="12.75" spans="1:5">
      <c r="A731" s="5"/>
      <c r="B731" s="5"/>
      <c r="C731" s="5"/>
      <c r="D731" s="5"/>
      <c r="E731" s="5"/>
    </row>
    <row r="732" ht="12.75" spans="1:5">
      <c r="A732" s="5"/>
      <c r="B732" s="5"/>
      <c r="C732" s="5"/>
      <c r="D732" s="5"/>
      <c r="E732" s="5"/>
    </row>
    <row r="733" ht="12.75" spans="1:5">
      <c r="A733" s="5"/>
      <c r="B733" s="5"/>
      <c r="C733" s="5"/>
      <c r="D733" s="5"/>
      <c r="E733" s="5"/>
    </row>
    <row r="734" ht="12.75" spans="1:5">
      <c r="A734" s="5"/>
      <c r="B734" s="5"/>
      <c r="C734" s="5"/>
      <c r="D734" s="5"/>
      <c r="E734" s="5"/>
    </row>
    <row r="735" ht="12.75" spans="1:5">
      <c r="A735" s="5"/>
      <c r="B735" s="5"/>
      <c r="C735" s="5"/>
      <c r="D735" s="5"/>
      <c r="E735" s="5"/>
    </row>
    <row r="736" ht="12.75" spans="1:5">
      <c r="A736" s="5"/>
      <c r="B736" s="5"/>
      <c r="C736" s="5"/>
      <c r="D736" s="5"/>
      <c r="E736" s="5"/>
    </row>
    <row r="737" ht="12.75" spans="1:5">
      <c r="A737" s="5"/>
      <c r="B737" s="5"/>
      <c r="C737" s="5"/>
      <c r="D737" s="5"/>
      <c r="E737" s="5"/>
    </row>
    <row r="738" ht="12.75" spans="1:5">
      <c r="A738" s="5"/>
      <c r="B738" s="5"/>
      <c r="C738" s="5"/>
      <c r="D738" s="5"/>
      <c r="E738" s="5"/>
    </row>
    <row r="739" ht="12.75" spans="1:5">
      <c r="A739" s="5"/>
      <c r="B739" s="5"/>
      <c r="C739" s="5"/>
      <c r="D739" s="5"/>
      <c r="E739" s="5"/>
    </row>
    <row r="740" ht="12.75" spans="1:5">
      <c r="A740" s="5"/>
      <c r="B740" s="5"/>
      <c r="C740" s="5"/>
      <c r="D740" s="5"/>
      <c r="E740" s="5"/>
    </row>
    <row r="741" ht="12.75" spans="1:5">
      <c r="A741" s="5"/>
      <c r="B741" s="5"/>
      <c r="C741" s="5"/>
      <c r="D741" s="5"/>
      <c r="E741" s="5"/>
    </row>
    <row r="742" ht="12.75" spans="1:5">
      <c r="A742" s="5"/>
      <c r="B742" s="5"/>
      <c r="C742" s="5"/>
      <c r="D742" s="5"/>
      <c r="E742" s="5"/>
    </row>
    <row r="743" ht="12.75" spans="1:5">
      <c r="A743" s="5"/>
      <c r="B743" s="5"/>
      <c r="C743" s="5"/>
      <c r="D743" s="5"/>
      <c r="E743" s="5"/>
    </row>
    <row r="744" ht="12.75" spans="1:5">
      <c r="A744" s="5"/>
      <c r="B744" s="5"/>
      <c r="C744" s="5"/>
      <c r="D744" s="5"/>
      <c r="E744" s="5"/>
    </row>
    <row r="745" ht="12.75" spans="1:5">
      <c r="A745" s="5"/>
      <c r="B745" s="5"/>
      <c r="C745" s="5"/>
      <c r="D745" s="5"/>
      <c r="E745" s="5"/>
    </row>
    <row r="746" ht="12.75" spans="1:5">
      <c r="A746" s="5"/>
      <c r="B746" s="5"/>
      <c r="C746" s="5"/>
      <c r="D746" s="5"/>
      <c r="E746" s="5"/>
    </row>
    <row r="747" ht="12.75" spans="1:5">
      <c r="A747" s="5"/>
      <c r="B747" s="5"/>
      <c r="C747" s="5"/>
      <c r="D747" s="5"/>
      <c r="E747" s="5"/>
    </row>
    <row r="748" ht="12.75" spans="1:5">
      <c r="A748" s="5"/>
      <c r="B748" s="5"/>
      <c r="C748" s="5"/>
      <c r="D748" s="5"/>
      <c r="E748" s="5"/>
    </row>
    <row r="749" ht="12.75" spans="1:5">
      <c r="A749" s="5"/>
      <c r="B749" s="5"/>
      <c r="C749" s="5"/>
      <c r="D749" s="5"/>
      <c r="E749" s="5"/>
    </row>
    <row r="750" ht="12.75" spans="1:5">
      <c r="A750" s="5"/>
      <c r="B750" s="5"/>
      <c r="C750" s="5"/>
      <c r="D750" s="5"/>
      <c r="E750" s="5"/>
    </row>
    <row r="751" ht="12.75" spans="1:5">
      <c r="A751" s="5"/>
      <c r="B751" s="5"/>
      <c r="C751" s="5"/>
      <c r="D751" s="5"/>
      <c r="E751" s="5"/>
    </row>
    <row r="752" ht="12.75" spans="1:5">
      <c r="A752" s="5"/>
      <c r="B752" s="5"/>
      <c r="C752" s="5"/>
      <c r="D752" s="5"/>
      <c r="E752" s="5"/>
    </row>
    <row r="753" ht="12.75" spans="1:5">
      <c r="A753" s="5"/>
      <c r="B753" s="5"/>
      <c r="C753" s="5"/>
      <c r="D753" s="5"/>
      <c r="E753" s="5"/>
    </row>
    <row r="754" ht="12.75" spans="1:5">
      <c r="A754" s="5"/>
      <c r="B754" s="5"/>
      <c r="C754" s="5"/>
      <c r="D754" s="5"/>
      <c r="E754" s="5"/>
    </row>
    <row r="755" ht="12.75" spans="1:5">
      <c r="A755" s="5"/>
      <c r="B755" s="5"/>
      <c r="C755" s="5"/>
      <c r="D755" s="5"/>
      <c r="E755" s="5"/>
    </row>
    <row r="756" ht="12.75" spans="1:5">
      <c r="A756" s="5"/>
      <c r="B756" s="5"/>
      <c r="C756" s="5"/>
      <c r="D756" s="5"/>
      <c r="E756" s="5"/>
    </row>
    <row r="757" ht="12.75" spans="1:5">
      <c r="A757" s="5"/>
      <c r="B757" s="5"/>
      <c r="C757" s="5"/>
      <c r="D757" s="5"/>
      <c r="E757" s="5"/>
    </row>
    <row r="758" ht="12.75" spans="1:5">
      <c r="A758" s="5"/>
      <c r="B758" s="5"/>
      <c r="C758" s="5"/>
      <c r="D758" s="5"/>
      <c r="E758" s="5"/>
    </row>
    <row r="759" ht="12.75" spans="1:5">
      <c r="A759" s="5"/>
      <c r="B759" s="5"/>
      <c r="C759" s="5"/>
      <c r="D759" s="5"/>
      <c r="E759" s="5"/>
    </row>
    <row r="760" ht="12.75" spans="1:5">
      <c r="A760" s="5"/>
      <c r="B760" s="5"/>
      <c r="C760" s="5"/>
      <c r="D760" s="5"/>
      <c r="E760" s="5"/>
    </row>
    <row r="761" ht="12.75" spans="1:5">
      <c r="A761" s="5"/>
      <c r="B761" s="5"/>
      <c r="C761" s="5"/>
      <c r="D761" s="5"/>
      <c r="E761" s="5"/>
    </row>
    <row r="762" ht="12.75" spans="1:5">
      <c r="A762" s="5"/>
      <c r="B762" s="5"/>
      <c r="C762" s="5"/>
      <c r="D762" s="5"/>
      <c r="E762" s="5"/>
    </row>
    <row r="763" ht="12.75" spans="1:5">
      <c r="A763" s="5"/>
      <c r="B763" s="5"/>
      <c r="C763" s="5"/>
      <c r="D763" s="5"/>
      <c r="E763" s="5"/>
    </row>
    <row r="764" ht="12.75" spans="1:5">
      <c r="A764" s="5"/>
      <c r="B764" s="5"/>
      <c r="C764" s="5"/>
      <c r="D764" s="5"/>
      <c r="E764" s="5"/>
    </row>
    <row r="765" ht="12.75" spans="1:5">
      <c r="A765" s="5"/>
      <c r="B765" s="5"/>
      <c r="C765" s="5"/>
      <c r="D765" s="5"/>
      <c r="E765" s="5"/>
    </row>
    <row r="766" ht="12.75" spans="1:5">
      <c r="A766" s="5"/>
      <c r="B766" s="5"/>
      <c r="C766" s="5"/>
      <c r="D766" s="5"/>
      <c r="E766" s="5"/>
    </row>
    <row r="767" ht="12.75" spans="1:5">
      <c r="A767" s="5"/>
      <c r="B767" s="5"/>
      <c r="C767" s="5"/>
      <c r="D767" s="5"/>
      <c r="E767" s="5"/>
    </row>
    <row r="768" ht="12.75" spans="1:5">
      <c r="A768" s="5"/>
      <c r="B768" s="5"/>
      <c r="C768" s="5"/>
      <c r="D768" s="5"/>
      <c r="E768" s="5"/>
    </row>
    <row r="769" ht="12.75" spans="1:5">
      <c r="A769" s="5"/>
      <c r="B769" s="5"/>
      <c r="C769" s="5"/>
      <c r="D769" s="5"/>
      <c r="E769" s="5"/>
    </row>
    <row r="770" ht="12.75" spans="1:5">
      <c r="A770" s="5"/>
      <c r="B770" s="5"/>
      <c r="C770" s="5"/>
      <c r="D770" s="5"/>
      <c r="E770" s="5"/>
    </row>
    <row r="771" ht="12.75" spans="1:5">
      <c r="A771" s="5"/>
      <c r="B771" s="5"/>
      <c r="C771" s="5"/>
      <c r="D771" s="5"/>
      <c r="E771" s="5"/>
    </row>
    <row r="772" ht="12.75" spans="1:5">
      <c r="A772" s="5"/>
      <c r="B772" s="5"/>
      <c r="C772" s="5"/>
      <c r="D772" s="5"/>
      <c r="E772" s="5"/>
    </row>
    <row r="773" ht="12.75" spans="1:5">
      <c r="A773" s="5"/>
      <c r="B773" s="5"/>
      <c r="C773" s="5"/>
      <c r="D773" s="5"/>
      <c r="E773" s="5"/>
    </row>
    <row r="774" ht="12.75" spans="1:5">
      <c r="A774" s="5"/>
      <c r="B774" s="5"/>
      <c r="C774" s="5"/>
      <c r="D774" s="5"/>
      <c r="E774" s="5"/>
    </row>
    <row r="775" ht="12.75" spans="1:5">
      <c r="A775" s="5"/>
      <c r="B775" s="5"/>
      <c r="C775" s="5"/>
      <c r="D775" s="5"/>
      <c r="E775" s="5"/>
    </row>
    <row r="776" ht="12.75" spans="1:5">
      <c r="A776" s="5"/>
      <c r="B776" s="5"/>
      <c r="C776" s="5"/>
      <c r="D776" s="5"/>
      <c r="E776" s="5"/>
    </row>
    <row r="777" ht="12.75" spans="1:5">
      <c r="A777" s="5"/>
      <c r="B777" s="5"/>
      <c r="C777" s="5"/>
      <c r="D777" s="5"/>
      <c r="E777" s="5"/>
    </row>
    <row r="778" ht="12.75" spans="1:5">
      <c r="A778" s="5"/>
      <c r="B778" s="5"/>
      <c r="C778" s="5"/>
      <c r="D778" s="5"/>
      <c r="E778" s="5"/>
    </row>
    <row r="779" ht="12.75" spans="1:5">
      <c r="A779" s="5"/>
      <c r="B779" s="5"/>
      <c r="C779" s="5"/>
      <c r="D779" s="5"/>
      <c r="E779" s="5"/>
    </row>
    <row r="780" ht="12.75" spans="1:5">
      <c r="A780" s="5"/>
      <c r="B780" s="5"/>
      <c r="C780" s="5"/>
      <c r="D780" s="5"/>
      <c r="E780" s="5"/>
    </row>
    <row r="781" ht="12.75" spans="1:5">
      <c r="A781" s="5"/>
      <c r="B781" s="5"/>
      <c r="C781" s="5"/>
      <c r="D781" s="5"/>
      <c r="E781" s="5"/>
    </row>
    <row r="782" ht="12.75" spans="1:5">
      <c r="A782" s="5"/>
      <c r="B782" s="5"/>
      <c r="C782" s="5"/>
      <c r="D782" s="5"/>
      <c r="E782" s="5"/>
    </row>
    <row r="783" ht="12.75" spans="1:5">
      <c r="A783" s="5"/>
      <c r="B783" s="5"/>
      <c r="C783" s="5"/>
      <c r="D783" s="5"/>
      <c r="E783" s="5"/>
    </row>
    <row r="784" ht="12.75" spans="1:5">
      <c r="A784" s="5"/>
      <c r="B784" s="5"/>
      <c r="C784" s="5"/>
      <c r="D784" s="5"/>
      <c r="E784" s="5"/>
    </row>
    <row r="785" ht="12.75" spans="1:5">
      <c r="A785" s="5"/>
      <c r="B785" s="5"/>
      <c r="C785" s="5"/>
      <c r="D785" s="5"/>
      <c r="E785" s="5"/>
    </row>
    <row r="786" ht="12.75" spans="1:5">
      <c r="A786" s="5"/>
      <c r="B786" s="5"/>
      <c r="C786" s="5"/>
      <c r="D786" s="5"/>
      <c r="E786" s="5"/>
    </row>
    <row r="787" ht="12.75" spans="1:5">
      <c r="A787" s="5"/>
      <c r="B787" s="5"/>
      <c r="C787" s="5"/>
      <c r="D787" s="5"/>
      <c r="E787" s="5"/>
    </row>
    <row r="788" ht="12.75" spans="1:5">
      <c r="A788" s="5"/>
      <c r="B788" s="5"/>
      <c r="C788" s="5"/>
      <c r="D788" s="5"/>
      <c r="E788" s="5"/>
    </row>
    <row r="789" ht="12.75" spans="1:5">
      <c r="A789" s="5"/>
      <c r="B789" s="5"/>
      <c r="C789" s="5"/>
      <c r="D789" s="5"/>
      <c r="E789" s="5"/>
    </row>
    <row r="790" ht="12.75" spans="1:5">
      <c r="A790" s="5"/>
      <c r="B790" s="5"/>
      <c r="C790" s="5"/>
      <c r="D790" s="5"/>
      <c r="E790" s="5"/>
    </row>
    <row r="791" ht="12.75" spans="1:5">
      <c r="A791" s="5"/>
      <c r="B791" s="5"/>
      <c r="C791" s="5"/>
      <c r="D791" s="5"/>
      <c r="E791" s="5"/>
    </row>
    <row r="792" ht="12.75" spans="1:5">
      <c r="A792" s="5"/>
      <c r="B792" s="5"/>
      <c r="C792" s="5"/>
      <c r="D792" s="5"/>
      <c r="E792" s="5"/>
    </row>
    <row r="793" ht="12.75" spans="1:5">
      <c r="A793" s="5"/>
      <c r="B793" s="5"/>
      <c r="C793" s="5"/>
      <c r="D793" s="5"/>
      <c r="E793" s="5"/>
    </row>
    <row r="794" ht="12.75" spans="1:5">
      <c r="A794" s="5"/>
      <c r="B794" s="5"/>
      <c r="C794" s="5"/>
      <c r="D794" s="5"/>
      <c r="E794" s="5"/>
    </row>
    <row r="795" ht="12.75" spans="1:5">
      <c r="A795" s="5"/>
      <c r="B795" s="5"/>
      <c r="C795" s="5"/>
      <c r="D795" s="5"/>
      <c r="E795" s="5"/>
    </row>
    <row r="796" ht="12.75" spans="1:5">
      <c r="A796" s="5"/>
      <c r="B796" s="5"/>
      <c r="C796" s="5"/>
      <c r="D796" s="5"/>
      <c r="E796" s="5"/>
    </row>
    <row r="797" ht="12.75" spans="1:5">
      <c r="A797" s="5"/>
      <c r="B797" s="5"/>
      <c r="C797" s="5"/>
      <c r="D797" s="5"/>
      <c r="E797" s="5"/>
    </row>
    <row r="798" ht="12.75" spans="1:5">
      <c r="A798" s="5"/>
      <c r="B798" s="5"/>
      <c r="C798" s="5"/>
      <c r="D798" s="5"/>
      <c r="E798" s="5"/>
    </row>
    <row r="799" ht="12.75" spans="1:5">
      <c r="A799" s="5"/>
      <c r="B799" s="5"/>
      <c r="C799" s="5"/>
      <c r="D799" s="5"/>
      <c r="E799" s="5"/>
    </row>
    <row r="800" ht="12.75" spans="1:5">
      <c r="A800" s="5"/>
      <c r="B800" s="5"/>
      <c r="C800" s="5"/>
      <c r="D800" s="5"/>
      <c r="E800" s="5"/>
    </row>
    <row r="801" ht="12.75" spans="1:5">
      <c r="A801" s="5"/>
      <c r="B801" s="5"/>
      <c r="C801" s="5"/>
      <c r="D801" s="5"/>
      <c r="E801" s="5"/>
    </row>
    <row r="802" ht="12.75" spans="1:5">
      <c r="A802" s="5"/>
      <c r="B802" s="5"/>
      <c r="C802" s="5"/>
      <c r="D802" s="5"/>
      <c r="E802" s="5"/>
    </row>
    <row r="803" ht="12.75" spans="1:5">
      <c r="A803" s="5"/>
      <c r="B803" s="5"/>
      <c r="C803" s="5"/>
      <c r="D803" s="5"/>
      <c r="E803" s="5"/>
    </row>
    <row r="804" ht="12.75" spans="1:5">
      <c r="A804" s="5"/>
      <c r="B804" s="5"/>
      <c r="C804" s="5"/>
      <c r="D804" s="5"/>
      <c r="E804" s="5"/>
    </row>
    <row r="805" ht="12.75" spans="1:5">
      <c r="A805" s="5"/>
      <c r="B805" s="5"/>
      <c r="C805" s="5"/>
      <c r="D805" s="5"/>
      <c r="E805" s="5"/>
    </row>
    <row r="806" ht="12.75" spans="1:5">
      <c r="A806" s="5"/>
      <c r="B806" s="5"/>
      <c r="C806" s="5"/>
      <c r="D806" s="5"/>
      <c r="E806" s="5"/>
    </row>
    <row r="807" ht="12.75" spans="1:5">
      <c r="A807" s="5"/>
      <c r="B807" s="5"/>
      <c r="C807" s="5"/>
      <c r="D807" s="5"/>
      <c r="E807" s="5"/>
    </row>
    <row r="808" ht="12.75" spans="1:5">
      <c r="A808" s="5"/>
      <c r="B808" s="5"/>
      <c r="C808" s="5"/>
      <c r="D808" s="5"/>
      <c r="E808" s="5"/>
    </row>
    <row r="809" ht="12.75" spans="1:5">
      <c r="A809" s="5"/>
      <c r="B809" s="5"/>
      <c r="C809" s="5"/>
      <c r="D809" s="5"/>
      <c r="E809" s="5"/>
    </row>
    <row r="810" ht="12.75" spans="1:5">
      <c r="A810" s="5"/>
      <c r="B810" s="5"/>
      <c r="C810" s="5"/>
      <c r="D810" s="5"/>
      <c r="E810" s="5"/>
    </row>
    <row r="811" ht="12.75" spans="1:5">
      <c r="A811" s="5"/>
      <c r="B811" s="5"/>
      <c r="C811" s="5"/>
      <c r="D811" s="5"/>
      <c r="E811" s="5"/>
    </row>
    <row r="812" ht="12.75" spans="1:5">
      <c r="A812" s="5"/>
      <c r="B812" s="5"/>
      <c r="C812" s="5"/>
      <c r="D812" s="5"/>
      <c r="E812" s="5"/>
    </row>
    <row r="813" ht="12.75" spans="1:5">
      <c r="A813" s="5"/>
      <c r="B813" s="5"/>
      <c r="C813" s="5"/>
      <c r="D813" s="5"/>
      <c r="E813" s="5"/>
    </row>
    <row r="814" ht="12.75" spans="1:5">
      <c r="A814" s="5"/>
      <c r="B814" s="5"/>
      <c r="C814" s="5"/>
      <c r="D814" s="5"/>
      <c r="E814" s="5"/>
    </row>
    <row r="815" ht="12.75" spans="1:5">
      <c r="A815" s="5"/>
      <c r="B815" s="5"/>
      <c r="C815" s="5"/>
      <c r="D815" s="5"/>
      <c r="E815" s="5"/>
    </row>
    <row r="816" ht="12.75" spans="1:5">
      <c r="A816" s="5"/>
      <c r="B816" s="5"/>
      <c r="C816" s="5"/>
      <c r="D816" s="5"/>
      <c r="E816" s="5"/>
    </row>
    <row r="817" ht="12.75" spans="1:5">
      <c r="A817" s="5"/>
      <c r="B817" s="5"/>
      <c r="C817" s="5"/>
      <c r="D817" s="5"/>
      <c r="E817" s="5"/>
    </row>
    <row r="818" ht="12.75" spans="1:5">
      <c r="A818" s="5"/>
      <c r="B818" s="5"/>
      <c r="C818" s="5"/>
      <c r="D818" s="5"/>
      <c r="E818" s="5"/>
    </row>
    <row r="819" ht="12.75" spans="1:5">
      <c r="A819" s="5"/>
      <c r="B819" s="5"/>
      <c r="C819" s="5"/>
      <c r="D819" s="5"/>
      <c r="E819" s="5"/>
    </row>
    <row r="820" ht="12.75" spans="1:5">
      <c r="A820" s="5"/>
      <c r="B820" s="5"/>
      <c r="C820" s="5"/>
      <c r="D820" s="5"/>
      <c r="E820" s="5"/>
    </row>
    <row r="821" ht="12.75" spans="1:5">
      <c r="A821" s="5"/>
      <c r="B821" s="5"/>
      <c r="C821" s="5"/>
      <c r="D821" s="5"/>
      <c r="E821" s="5"/>
    </row>
    <row r="822" ht="12.75" spans="1:5">
      <c r="A822" s="5"/>
      <c r="B822" s="5"/>
      <c r="C822" s="5"/>
      <c r="D822" s="5"/>
      <c r="E822" s="5"/>
    </row>
    <row r="823" ht="12.75" spans="1:5">
      <c r="A823" s="5"/>
      <c r="B823" s="5"/>
      <c r="C823" s="5"/>
      <c r="D823" s="5"/>
      <c r="E823" s="5"/>
    </row>
    <row r="824" ht="12.75" spans="1:5">
      <c r="A824" s="5"/>
      <c r="B824" s="5"/>
      <c r="C824" s="5"/>
      <c r="D824" s="5"/>
      <c r="E824" s="5"/>
    </row>
    <row r="825" ht="12.75" spans="1:5">
      <c r="A825" s="5"/>
      <c r="B825" s="5"/>
      <c r="C825" s="5"/>
      <c r="D825" s="5"/>
      <c r="E825" s="5"/>
    </row>
    <row r="826" ht="12.75" spans="1:5">
      <c r="A826" s="5"/>
      <c r="B826" s="5"/>
      <c r="C826" s="5"/>
      <c r="D826" s="5"/>
      <c r="E826" s="5"/>
    </row>
    <row r="827" ht="12.75" spans="1:5">
      <c r="A827" s="5"/>
      <c r="B827" s="5"/>
      <c r="C827" s="5"/>
      <c r="D827" s="5"/>
      <c r="E827" s="5"/>
    </row>
    <row r="828" ht="12.75" spans="1:5">
      <c r="A828" s="5"/>
      <c r="B828" s="5"/>
      <c r="C828" s="5"/>
      <c r="D828" s="5"/>
      <c r="E828" s="5"/>
    </row>
    <row r="829" ht="12.75" spans="1:5">
      <c r="A829" s="5"/>
      <c r="B829" s="5"/>
      <c r="C829" s="5"/>
      <c r="D829" s="5"/>
      <c r="E829" s="5"/>
    </row>
    <row r="830" ht="12.75" spans="1:5">
      <c r="A830" s="5"/>
      <c r="B830" s="5"/>
      <c r="C830" s="5"/>
      <c r="D830" s="5"/>
      <c r="E830" s="5"/>
    </row>
    <row r="831" ht="12.75" spans="1:5">
      <c r="A831" s="5"/>
      <c r="B831" s="5"/>
      <c r="C831" s="5"/>
      <c r="D831" s="5"/>
      <c r="E831" s="5"/>
    </row>
    <row r="832" ht="12.75" spans="1:5">
      <c r="A832" s="5"/>
      <c r="B832" s="5"/>
      <c r="C832" s="5"/>
      <c r="D832" s="5"/>
      <c r="E832" s="5"/>
    </row>
    <row r="833" ht="12.75" spans="1:5">
      <c r="A833" s="5"/>
      <c r="B833" s="5"/>
      <c r="C833" s="5"/>
      <c r="D833" s="5"/>
      <c r="E833" s="5"/>
    </row>
    <row r="834" ht="12.75" spans="1:5">
      <c r="A834" s="5"/>
      <c r="B834" s="5"/>
      <c r="C834" s="5"/>
      <c r="D834" s="5"/>
      <c r="E834" s="5"/>
    </row>
    <row r="835" ht="12.75" spans="1:5">
      <c r="A835" s="5"/>
      <c r="B835" s="5"/>
      <c r="C835" s="5"/>
      <c r="D835" s="5"/>
      <c r="E835" s="5"/>
    </row>
    <row r="836" ht="12.75" spans="1:5">
      <c r="A836" s="5"/>
      <c r="B836" s="5"/>
      <c r="C836" s="5"/>
      <c r="D836" s="5"/>
      <c r="E836" s="5"/>
    </row>
    <row r="837" ht="12.75" spans="1:5">
      <c r="A837" s="5"/>
      <c r="B837" s="5"/>
      <c r="C837" s="5"/>
      <c r="D837" s="5"/>
      <c r="E837" s="5"/>
    </row>
    <row r="838" ht="12.75" spans="1:5">
      <c r="A838" s="5"/>
      <c r="B838" s="5"/>
      <c r="C838" s="5"/>
      <c r="D838" s="5"/>
      <c r="E838" s="5"/>
    </row>
    <row r="839" ht="12.75" spans="1:5">
      <c r="A839" s="5"/>
      <c r="B839" s="5"/>
      <c r="C839" s="5"/>
      <c r="D839" s="5"/>
      <c r="E839" s="5"/>
    </row>
    <row r="840" ht="12.75" spans="1:5">
      <c r="A840" s="5"/>
      <c r="B840" s="5"/>
      <c r="C840" s="5"/>
      <c r="D840" s="5"/>
      <c r="E840" s="5"/>
    </row>
    <row r="841" ht="12.75" spans="1:5">
      <c r="A841" s="5"/>
      <c r="B841" s="5"/>
      <c r="C841" s="5"/>
      <c r="D841" s="5"/>
      <c r="E841" s="5"/>
    </row>
    <row r="842" ht="12.75" spans="1:5">
      <c r="A842" s="5"/>
      <c r="B842" s="5"/>
      <c r="C842" s="5"/>
      <c r="D842" s="5"/>
      <c r="E842" s="5"/>
    </row>
    <row r="843" ht="12.75" spans="1:5">
      <c r="A843" s="5"/>
      <c r="B843" s="5"/>
      <c r="C843" s="5"/>
      <c r="D843" s="5"/>
      <c r="E843" s="5"/>
    </row>
    <row r="844" ht="12.75" spans="1:5">
      <c r="A844" s="5"/>
      <c r="B844" s="5"/>
      <c r="C844" s="5"/>
      <c r="D844" s="5"/>
      <c r="E844" s="5"/>
    </row>
    <row r="845" ht="12.75" spans="1:5">
      <c r="A845" s="5"/>
      <c r="B845" s="5"/>
      <c r="C845" s="5"/>
      <c r="D845" s="5"/>
      <c r="E845" s="5"/>
    </row>
    <row r="846" ht="12.75" spans="1:5">
      <c r="A846" s="5"/>
      <c r="B846" s="5"/>
      <c r="C846" s="5"/>
      <c r="D846" s="5"/>
      <c r="E846" s="5"/>
    </row>
    <row r="847" ht="12.75" spans="1:5">
      <c r="A847" s="5"/>
      <c r="B847" s="5"/>
      <c r="C847" s="5"/>
      <c r="D847" s="5"/>
      <c r="E847" s="5"/>
    </row>
    <row r="848" ht="12.75" spans="1:5">
      <c r="A848" s="5"/>
      <c r="B848" s="5"/>
      <c r="C848" s="5"/>
      <c r="D848" s="5"/>
      <c r="E848" s="5"/>
    </row>
    <row r="849" ht="12.75" spans="1:5">
      <c r="A849" s="5"/>
      <c r="B849" s="5"/>
      <c r="C849" s="5"/>
      <c r="D849" s="5"/>
      <c r="E849" s="5"/>
    </row>
    <row r="850" ht="12.75" spans="1:5">
      <c r="A850" s="5"/>
      <c r="B850" s="5"/>
      <c r="C850" s="5"/>
      <c r="D850" s="5"/>
      <c r="E850" s="5"/>
    </row>
    <row r="851" ht="12.75" spans="1:5">
      <c r="A851" s="5"/>
      <c r="B851" s="5"/>
      <c r="C851" s="5"/>
      <c r="D851" s="5"/>
      <c r="E851" s="5"/>
    </row>
    <row r="852" ht="12.75" spans="1:5">
      <c r="A852" s="5"/>
      <c r="B852" s="5"/>
      <c r="C852" s="5"/>
      <c r="D852" s="5"/>
      <c r="E852" s="5"/>
    </row>
    <row r="853" ht="12.75" spans="1:5">
      <c r="A853" s="5"/>
      <c r="B853" s="5"/>
      <c r="C853" s="5"/>
      <c r="D853" s="5"/>
      <c r="E853" s="5"/>
    </row>
    <row r="854" ht="12.75" spans="1:5">
      <c r="A854" s="5"/>
      <c r="B854" s="5"/>
      <c r="C854" s="5"/>
      <c r="D854" s="5"/>
      <c r="E854" s="5"/>
    </row>
    <row r="855" ht="12.75" spans="1:5">
      <c r="A855" s="5"/>
      <c r="B855" s="5"/>
      <c r="C855" s="5"/>
      <c r="D855" s="5"/>
      <c r="E855" s="5"/>
    </row>
    <row r="856" ht="12.75" spans="1:5">
      <c r="A856" s="5"/>
      <c r="B856" s="5"/>
      <c r="C856" s="5"/>
      <c r="D856" s="5"/>
      <c r="E856" s="5"/>
    </row>
    <row r="857" ht="12.75" spans="1:5">
      <c r="A857" s="5"/>
      <c r="B857" s="5"/>
      <c r="C857" s="5"/>
      <c r="D857" s="5"/>
      <c r="E857" s="5"/>
    </row>
    <row r="858" ht="12.75" spans="1:5">
      <c r="A858" s="5"/>
      <c r="B858" s="5"/>
      <c r="C858" s="5"/>
      <c r="D858" s="5"/>
      <c r="E858" s="5"/>
    </row>
    <row r="859" ht="12.75" spans="1:5">
      <c r="A859" s="5"/>
      <c r="B859" s="5"/>
      <c r="C859" s="5"/>
      <c r="D859" s="5"/>
      <c r="E859" s="5"/>
    </row>
    <row r="860" ht="12.75" spans="1:5">
      <c r="A860" s="5"/>
      <c r="B860" s="5"/>
      <c r="C860" s="5"/>
      <c r="D860" s="5"/>
      <c r="E860" s="5"/>
    </row>
    <row r="861" ht="12.75" spans="1:5">
      <c r="A861" s="5"/>
      <c r="B861" s="5"/>
      <c r="C861" s="5"/>
      <c r="D861" s="5"/>
      <c r="E861" s="5"/>
    </row>
    <row r="862" ht="12.75" spans="1:5">
      <c r="A862" s="5"/>
      <c r="B862" s="5"/>
      <c r="C862" s="5"/>
      <c r="D862" s="5"/>
      <c r="E862" s="5"/>
    </row>
    <row r="863" ht="12.75" spans="1:5">
      <c r="A863" s="5"/>
      <c r="B863" s="5"/>
      <c r="C863" s="5"/>
      <c r="D863" s="5"/>
      <c r="E863" s="5"/>
    </row>
    <row r="864" ht="12.75" spans="1:5">
      <c r="A864" s="5"/>
      <c r="B864" s="5"/>
      <c r="C864" s="5"/>
      <c r="D864" s="5"/>
      <c r="E864" s="5"/>
    </row>
    <row r="865" ht="12.75" spans="1:5">
      <c r="A865" s="5"/>
      <c r="B865" s="5"/>
      <c r="C865" s="5"/>
      <c r="D865" s="5"/>
      <c r="E865" s="5"/>
    </row>
    <row r="866" ht="12.75" spans="1:5">
      <c r="A866" s="5"/>
      <c r="B866" s="5"/>
      <c r="C866" s="5"/>
      <c r="D866" s="5"/>
      <c r="E866" s="5"/>
    </row>
    <row r="867" ht="12.75" spans="1:5">
      <c r="A867" s="5"/>
      <c r="B867" s="5"/>
      <c r="C867" s="5"/>
      <c r="D867" s="5"/>
      <c r="E867" s="5"/>
    </row>
    <row r="868" ht="12.75" spans="1:5">
      <c r="A868" s="5"/>
      <c r="B868" s="5"/>
      <c r="C868" s="5"/>
      <c r="D868" s="5"/>
      <c r="E868" s="5"/>
    </row>
    <row r="869" ht="12.75" spans="1:5">
      <c r="A869" s="5"/>
      <c r="B869" s="5"/>
      <c r="C869" s="5"/>
      <c r="D869" s="5"/>
      <c r="E869" s="5"/>
    </row>
    <row r="870" ht="12.75" spans="1:5">
      <c r="A870" s="5"/>
      <c r="B870" s="5"/>
      <c r="C870" s="5"/>
      <c r="D870" s="5"/>
      <c r="E870" s="5"/>
    </row>
    <row r="871" ht="12.75" spans="1:5">
      <c r="A871" s="5"/>
      <c r="B871" s="5"/>
      <c r="C871" s="5"/>
      <c r="D871" s="5"/>
      <c r="E871" s="5"/>
    </row>
    <row r="872" ht="12.75" spans="1:5">
      <c r="A872" s="5"/>
      <c r="B872" s="5"/>
      <c r="C872" s="5"/>
      <c r="D872" s="5"/>
      <c r="E872" s="5"/>
    </row>
    <row r="873" ht="12.75" spans="1:5">
      <c r="A873" s="5"/>
      <c r="B873" s="5"/>
      <c r="C873" s="5"/>
      <c r="D873" s="5"/>
      <c r="E873" s="5"/>
    </row>
    <row r="874" ht="12.75" spans="1:5">
      <c r="A874" s="5"/>
      <c r="B874" s="5"/>
      <c r="C874" s="5"/>
      <c r="D874" s="5"/>
      <c r="E874" s="5"/>
    </row>
    <row r="875" ht="12.75" spans="1:5">
      <c r="A875" s="5"/>
      <c r="B875" s="5"/>
      <c r="C875" s="5"/>
      <c r="D875" s="5"/>
      <c r="E875" s="5"/>
    </row>
    <row r="876" ht="12.75" spans="1:5">
      <c r="A876" s="5"/>
      <c r="B876" s="5"/>
      <c r="C876" s="5"/>
      <c r="D876" s="5"/>
      <c r="E876" s="5"/>
    </row>
    <row r="877" ht="12.75" spans="1:5">
      <c r="A877" s="5"/>
      <c r="B877" s="5"/>
      <c r="C877" s="5"/>
      <c r="D877" s="5"/>
      <c r="E877" s="5"/>
    </row>
    <row r="878" ht="12.75" spans="1:5">
      <c r="A878" s="5"/>
      <c r="B878" s="5"/>
      <c r="C878" s="5"/>
      <c r="D878" s="5"/>
      <c r="E878" s="5"/>
    </row>
    <row r="879" ht="12.75" spans="1:5">
      <c r="A879" s="5"/>
      <c r="B879" s="5"/>
      <c r="C879" s="5"/>
      <c r="D879" s="5"/>
      <c r="E879" s="5"/>
    </row>
    <row r="880" ht="12.75" spans="1:5">
      <c r="A880" s="5"/>
      <c r="B880" s="5"/>
      <c r="C880" s="5"/>
      <c r="D880" s="5"/>
      <c r="E880" s="5"/>
    </row>
    <row r="881" ht="12.75" spans="1:5">
      <c r="A881" s="5"/>
      <c r="B881" s="5"/>
      <c r="C881" s="5"/>
      <c r="D881" s="5"/>
      <c r="E881" s="5"/>
    </row>
    <row r="882" ht="12.75" spans="1:5">
      <c r="A882" s="5"/>
      <c r="B882" s="5"/>
      <c r="C882" s="5"/>
      <c r="D882" s="5"/>
      <c r="E882" s="5"/>
    </row>
    <row r="883" ht="12.75" spans="1:5">
      <c r="A883" s="5"/>
      <c r="B883" s="5"/>
      <c r="C883" s="5"/>
      <c r="D883" s="5"/>
      <c r="E883" s="5"/>
    </row>
    <row r="884" ht="12.75" spans="1:5">
      <c r="A884" s="5"/>
      <c r="B884" s="5"/>
      <c r="C884" s="5"/>
      <c r="D884" s="5"/>
      <c r="E884" s="5"/>
    </row>
    <row r="885" ht="12.75" spans="1:5">
      <c r="A885" s="5"/>
      <c r="B885" s="5"/>
      <c r="C885" s="5"/>
      <c r="D885" s="5"/>
      <c r="E885" s="5"/>
    </row>
    <row r="886" ht="12.75" spans="1:5">
      <c r="A886" s="5"/>
      <c r="B886" s="5"/>
      <c r="C886" s="5"/>
      <c r="D886" s="5"/>
      <c r="E886" s="5"/>
    </row>
    <row r="887" ht="12.75" spans="1:5">
      <c r="A887" s="5"/>
      <c r="B887" s="5"/>
      <c r="C887" s="5"/>
      <c r="D887" s="5"/>
      <c r="E887" s="5"/>
    </row>
    <row r="888" ht="12.75" spans="1:5">
      <c r="A888" s="5"/>
      <c r="B888" s="5"/>
      <c r="C888" s="5"/>
      <c r="D888" s="5"/>
      <c r="E888" s="5"/>
    </row>
    <row r="889" ht="12.75" spans="1:5">
      <c r="A889" s="5"/>
      <c r="B889" s="5"/>
      <c r="C889" s="5"/>
      <c r="D889" s="5"/>
      <c r="E889" s="5"/>
    </row>
    <row r="890" ht="12.75" spans="1:5">
      <c r="A890" s="5"/>
      <c r="B890" s="5"/>
      <c r="C890" s="5"/>
      <c r="D890" s="5"/>
      <c r="E890" s="5"/>
    </row>
    <row r="891" ht="12.75" spans="1:5">
      <c r="A891" s="5"/>
      <c r="B891" s="5"/>
      <c r="C891" s="5"/>
      <c r="D891" s="5"/>
      <c r="E891" s="5"/>
    </row>
    <row r="892" ht="12.75" spans="1:5">
      <c r="A892" s="5"/>
      <c r="B892" s="5"/>
      <c r="C892" s="5"/>
      <c r="D892" s="5"/>
      <c r="E892" s="5"/>
    </row>
    <row r="893" ht="12.75" spans="1:5">
      <c r="A893" s="5"/>
      <c r="B893" s="5"/>
      <c r="C893" s="5"/>
      <c r="D893" s="5"/>
      <c r="E893" s="5"/>
    </row>
    <row r="894" ht="12.75" spans="1:5">
      <c r="A894" s="5"/>
      <c r="B894" s="5"/>
      <c r="C894" s="5"/>
      <c r="D894" s="5"/>
      <c r="E894" s="5"/>
    </row>
    <row r="895" ht="12.75" spans="1:5">
      <c r="A895" s="5"/>
      <c r="B895" s="5"/>
      <c r="C895" s="5"/>
      <c r="D895" s="5"/>
      <c r="E895" s="5"/>
    </row>
    <row r="896" ht="12.75" spans="1:5">
      <c r="A896" s="5"/>
      <c r="B896" s="5"/>
      <c r="C896" s="5"/>
      <c r="D896" s="5"/>
      <c r="E896" s="5"/>
    </row>
    <row r="897" ht="12.75" spans="1:5">
      <c r="A897" s="5"/>
      <c r="B897" s="5"/>
      <c r="C897" s="5"/>
      <c r="D897" s="5"/>
      <c r="E897" s="5"/>
    </row>
    <row r="898" ht="12.75" spans="1:5">
      <c r="A898" s="5"/>
      <c r="B898" s="5"/>
      <c r="C898" s="5"/>
      <c r="D898" s="5"/>
      <c r="E898" s="5"/>
    </row>
    <row r="899" ht="12.75" spans="1:5">
      <c r="A899" s="5"/>
      <c r="B899" s="5"/>
      <c r="C899" s="5"/>
      <c r="D899" s="5"/>
      <c r="E899" s="5"/>
    </row>
    <row r="900" ht="12.75" spans="1:5">
      <c r="A900" s="5"/>
      <c r="B900" s="5"/>
      <c r="C900" s="5"/>
      <c r="D900" s="5"/>
      <c r="E900" s="5"/>
    </row>
    <row r="901" ht="12.75" spans="1:5">
      <c r="A901" s="5"/>
      <c r="B901" s="5"/>
      <c r="C901" s="5"/>
      <c r="D901" s="5"/>
      <c r="E901" s="5"/>
    </row>
    <row r="902" ht="12.75" spans="1:5">
      <c r="A902" s="5"/>
      <c r="B902" s="5"/>
      <c r="C902" s="5"/>
      <c r="D902" s="5"/>
      <c r="E902" s="5"/>
    </row>
    <row r="903" ht="12.75" spans="1:5">
      <c r="A903" s="5"/>
      <c r="B903" s="5"/>
      <c r="C903" s="5"/>
      <c r="D903" s="5"/>
      <c r="E903" s="5"/>
    </row>
    <row r="904" ht="12.75" spans="1:5">
      <c r="A904" s="5"/>
      <c r="B904" s="5"/>
      <c r="C904" s="5"/>
      <c r="D904" s="5"/>
      <c r="E904" s="5"/>
    </row>
    <row r="905" ht="12.75" spans="1:5">
      <c r="A905" s="5"/>
      <c r="B905" s="5"/>
      <c r="C905" s="5"/>
      <c r="D905" s="5"/>
      <c r="E905" s="5"/>
    </row>
    <row r="906" ht="12.75" spans="1:5">
      <c r="A906" s="5"/>
      <c r="B906" s="5"/>
      <c r="C906" s="5"/>
      <c r="D906" s="5"/>
      <c r="E906" s="5"/>
    </row>
    <row r="907" ht="12.75" spans="1:5">
      <c r="A907" s="5"/>
      <c r="B907" s="5"/>
      <c r="C907" s="5"/>
      <c r="D907" s="5"/>
      <c r="E907" s="5"/>
    </row>
    <row r="908" ht="12.75" spans="1:5">
      <c r="A908" s="5"/>
      <c r="B908" s="5"/>
      <c r="C908" s="5"/>
      <c r="D908" s="5"/>
      <c r="E908" s="5"/>
    </row>
    <row r="909" ht="12.75" spans="1:5">
      <c r="A909" s="5"/>
      <c r="B909" s="5"/>
      <c r="C909" s="5"/>
      <c r="D909" s="5"/>
      <c r="E909" s="5"/>
    </row>
    <row r="910" ht="12.75" spans="1:5">
      <c r="A910" s="5"/>
      <c r="B910" s="5"/>
      <c r="C910" s="5"/>
      <c r="D910" s="5"/>
      <c r="E910" s="5"/>
    </row>
    <row r="911" ht="12.75" spans="1:5">
      <c r="A911" s="5"/>
      <c r="B911" s="5"/>
      <c r="C911" s="5"/>
      <c r="D911" s="5"/>
      <c r="E911" s="5"/>
    </row>
    <row r="912" ht="12.75" spans="1:5">
      <c r="A912" s="5"/>
      <c r="B912" s="5"/>
      <c r="C912" s="5"/>
      <c r="D912" s="5"/>
      <c r="E912" s="5"/>
    </row>
    <row r="913" ht="12.75" spans="1:5">
      <c r="A913" s="5"/>
      <c r="B913" s="5"/>
      <c r="C913" s="5"/>
      <c r="D913" s="5"/>
      <c r="E913" s="5"/>
    </row>
    <row r="914" ht="12.75" spans="1:5">
      <c r="A914" s="5"/>
      <c r="B914" s="5"/>
      <c r="C914" s="5"/>
      <c r="D914" s="5"/>
      <c r="E914" s="5"/>
    </row>
    <row r="915" ht="12.75" spans="1:5">
      <c r="A915" s="5"/>
      <c r="B915" s="5"/>
      <c r="C915" s="5"/>
      <c r="D915" s="5"/>
      <c r="E915" s="5"/>
    </row>
    <row r="916" ht="12.75" spans="1:5">
      <c r="A916" s="5"/>
      <c r="B916" s="5"/>
      <c r="C916" s="5"/>
      <c r="D916" s="5"/>
      <c r="E916" s="5"/>
    </row>
    <row r="917" ht="12.75" spans="1:5">
      <c r="A917" s="5"/>
      <c r="B917" s="5"/>
      <c r="C917" s="5"/>
      <c r="D917" s="5"/>
      <c r="E917" s="5"/>
    </row>
    <row r="918" ht="12.75" spans="1:5">
      <c r="A918" s="5"/>
      <c r="B918" s="5"/>
      <c r="C918" s="5"/>
      <c r="D918" s="5"/>
      <c r="E918" s="5"/>
    </row>
    <row r="919" ht="12.75" spans="1:5">
      <c r="A919" s="5"/>
      <c r="B919" s="5"/>
      <c r="C919" s="5"/>
      <c r="D919" s="5"/>
      <c r="E919" s="5"/>
    </row>
    <row r="920" ht="12.75" spans="1:5">
      <c r="A920" s="5"/>
      <c r="B920" s="5"/>
      <c r="C920" s="5"/>
      <c r="D920" s="5"/>
      <c r="E920" s="5"/>
    </row>
    <row r="921" ht="12.75" spans="1:5">
      <c r="A921" s="5"/>
      <c r="B921" s="5"/>
      <c r="C921" s="5"/>
      <c r="D921" s="5"/>
      <c r="E921" s="5"/>
    </row>
    <row r="922" ht="12.75" spans="1:5">
      <c r="A922" s="5"/>
      <c r="B922" s="5"/>
      <c r="C922" s="5"/>
      <c r="D922" s="5"/>
      <c r="E922" s="5"/>
    </row>
    <row r="923" ht="12.75" spans="1:5">
      <c r="A923" s="5"/>
      <c r="B923" s="5"/>
      <c r="C923" s="5"/>
      <c r="D923" s="5"/>
      <c r="E923" s="5"/>
    </row>
    <row r="924" ht="12.75" spans="1:5">
      <c r="A924" s="5"/>
      <c r="B924" s="5"/>
      <c r="C924" s="5"/>
      <c r="D924" s="5"/>
      <c r="E924" s="5"/>
    </row>
    <row r="925" ht="12.75" spans="1:5">
      <c r="A925" s="5"/>
      <c r="B925" s="5"/>
      <c r="C925" s="5"/>
      <c r="D925" s="5"/>
      <c r="E925" s="5"/>
    </row>
    <row r="926" ht="12.75" spans="1:5">
      <c r="A926" s="5"/>
      <c r="B926" s="5"/>
      <c r="C926" s="5"/>
      <c r="D926" s="5"/>
      <c r="E926" s="5"/>
    </row>
    <row r="927" ht="12.75" spans="1:5">
      <c r="A927" s="5"/>
      <c r="B927" s="5"/>
      <c r="C927" s="5"/>
      <c r="D927" s="5"/>
      <c r="E927" s="5"/>
    </row>
    <row r="928" ht="12.75" spans="1:5">
      <c r="A928" s="5"/>
      <c r="B928" s="5"/>
      <c r="C928" s="5"/>
      <c r="D928" s="5"/>
      <c r="E928" s="5"/>
    </row>
    <row r="929" ht="12.75" spans="1:5">
      <c r="A929" s="5"/>
      <c r="B929" s="5"/>
      <c r="C929" s="5"/>
      <c r="D929" s="5"/>
      <c r="E929" s="5"/>
    </row>
    <row r="930" ht="12.75" spans="1:5">
      <c r="A930" s="5"/>
      <c r="B930" s="5"/>
      <c r="C930" s="5"/>
      <c r="D930" s="5"/>
      <c r="E930" s="5"/>
    </row>
    <row r="931" ht="12.75" spans="1:5">
      <c r="A931" s="5"/>
      <c r="B931" s="5"/>
      <c r="C931" s="5"/>
      <c r="D931" s="5"/>
      <c r="E931" s="5"/>
    </row>
    <row r="932" ht="12.75" spans="1:5">
      <c r="A932" s="5"/>
      <c r="B932" s="5"/>
      <c r="C932" s="5"/>
      <c r="D932" s="5"/>
      <c r="E932" s="5"/>
    </row>
    <row r="933" ht="12.75" spans="1:5">
      <c r="A933" s="5"/>
      <c r="B933" s="5"/>
      <c r="C933" s="5"/>
      <c r="D933" s="5"/>
      <c r="E933" s="5"/>
    </row>
    <row r="934" ht="12.75" spans="1:5">
      <c r="A934" s="5"/>
      <c r="B934" s="5"/>
      <c r="C934" s="5"/>
      <c r="D934" s="5"/>
      <c r="E934" s="5"/>
    </row>
    <row r="935" ht="12.75" spans="1:5">
      <c r="A935" s="5"/>
      <c r="B935" s="5"/>
      <c r="C935" s="5"/>
      <c r="D935" s="5"/>
      <c r="E935" s="5"/>
    </row>
    <row r="936" ht="12.75" spans="1:5">
      <c r="A936" s="5"/>
      <c r="B936" s="5"/>
      <c r="C936" s="5"/>
      <c r="D936" s="5"/>
      <c r="E936" s="5"/>
    </row>
    <row r="937" ht="12.75" spans="1:5">
      <c r="A937" s="5"/>
      <c r="B937" s="5"/>
      <c r="C937" s="5"/>
      <c r="D937" s="5"/>
      <c r="E937" s="5"/>
    </row>
    <row r="938" ht="12.75" spans="1:5">
      <c r="A938" s="5"/>
      <c r="B938" s="5"/>
      <c r="C938" s="5"/>
      <c r="D938" s="5"/>
      <c r="E938" s="5"/>
    </row>
    <row r="939" ht="12.75" spans="1:5">
      <c r="A939" s="5"/>
      <c r="B939" s="5"/>
      <c r="C939" s="5"/>
      <c r="D939" s="5"/>
      <c r="E939" s="5"/>
    </row>
    <row r="940" ht="12.75" spans="1:5">
      <c r="A940" s="5"/>
      <c r="B940" s="5"/>
      <c r="C940" s="5"/>
      <c r="D940" s="5"/>
      <c r="E940" s="5"/>
    </row>
    <row r="941" ht="12.75" spans="1:5">
      <c r="A941" s="5"/>
      <c r="B941" s="5"/>
      <c r="C941" s="5"/>
      <c r="D941" s="5"/>
      <c r="E941" s="5"/>
    </row>
    <row r="942" ht="12.75" spans="1:5">
      <c r="A942" s="5"/>
      <c r="B942" s="5"/>
      <c r="C942" s="5"/>
      <c r="D942" s="5"/>
      <c r="E942" s="5"/>
    </row>
    <row r="943" ht="12.75" spans="1:5">
      <c r="A943" s="5"/>
      <c r="B943" s="5"/>
      <c r="C943" s="5"/>
      <c r="D943" s="5"/>
      <c r="E943" s="5"/>
    </row>
    <row r="944" ht="12.75" spans="1:5">
      <c r="A944" s="5"/>
      <c r="B944" s="5"/>
      <c r="C944" s="5"/>
      <c r="D944" s="5"/>
      <c r="E944" s="5"/>
    </row>
    <row r="945" ht="12.75" spans="1:5">
      <c r="A945" s="5"/>
      <c r="B945" s="5"/>
      <c r="C945" s="5"/>
      <c r="D945" s="5"/>
      <c r="E945" s="5"/>
    </row>
    <row r="946" ht="12.75" spans="1:5">
      <c r="A946" s="5"/>
      <c r="B946" s="5"/>
      <c r="C946" s="5"/>
      <c r="D946" s="5"/>
      <c r="E946" s="5"/>
    </row>
    <row r="947" ht="12.75" spans="1:5">
      <c r="A947" s="5"/>
      <c r="B947" s="5"/>
      <c r="C947" s="5"/>
      <c r="D947" s="5"/>
      <c r="E947" s="5"/>
    </row>
    <row r="948" ht="12.75" spans="1:5">
      <c r="A948" s="5"/>
      <c r="B948" s="5"/>
      <c r="C948" s="5"/>
      <c r="D948" s="5"/>
      <c r="E948" s="5"/>
    </row>
    <row r="949" ht="12.75" spans="1:5">
      <c r="A949" s="5"/>
      <c r="B949" s="5"/>
      <c r="C949" s="5"/>
      <c r="D949" s="5"/>
      <c r="E949" s="5"/>
    </row>
    <row r="950" ht="12.75" spans="1:5">
      <c r="A950" s="5"/>
      <c r="B950" s="5"/>
      <c r="C950" s="5"/>
      <c r="D950" s="5"/>
      <c r="E950" s="5"/>
    </row>
    <row r="951" ht="12.75" spans="1:5">
      <c r="A951" s="5"/>
      <c r="B951" s="5"/>
      <c r="C951" s="5"/>
      <c r="D951" s="5"/>
      <c r="E951" s="5"/>
    </row>
    <row r="952" ht="12.75" spans="1:5">
      <c r="A952" s="5"/>
      <c r="B952" s="5"/>
      <c r="C952" s="5"/>
      <c r="D952" s="5"/>
      <c r="E952" s="5"/>
    </row>
    <row r="953" ht="12.75" spans="1:5">
      <c r="A953" s="5"/>
      <c r="B953" s="5"/>
      <c r="C953" s="5"/>
      <c r="D953" s="5"/>
      <c r="E953" s="5"/>
    </row>
    <row r="954" ht="12.75" spans="1:5">
      <c r="A954" s="5"/>
      <c r="B954" s="5"/>
      <c r="C954" s="5"/>
      <c r="D954" s="5"/>
      <c r="E954" s="5"/>
    </row>
    <row r="955" ht="12.75" spans="1:5">
      <c r="A955" s="5"/>
      <c r="B955" s="5"/>
      <c r="C955" s="5"/>
      <c r="D955" s="5"/>
      <c r="E955" s="5"/>
    </row>
    <row r="956" ht="12.75" spans="1:5">
      <c r="A956" s="5"/>
      <c r="B956" s="5"/>
      <c r="C956" s="5"/>
      <c r="D956" s="5"/>
      <c r="E956" s="5"/>
    </row>
    <row r="957" ht="12.75" spans="1:5">
      <c r="A957" s="5"/>
      <c r="B957" s="5"/>
      <c r="C957" s="5"/>
      <c r="D957" s="5"/>
      <c r="E957" s="5"/>
    </row>
    <row r="958" ht="12.75" spans="1:5">
      <c r="A958" s="5"/>
      <c r="B958" s="5"/>
      <c r="C958" s="5"/>
      <c r="D958" s="5"/>
      <c r="E958" s="5"/>
    </row>
    <row r="959" ht="12.75" spans="1:5">
      <c r="A959" s="5"/>
      <c r="B959" s="5"/>
      <c r="C959" s="5"/>
      <c r="D959" s="5"/>
      <c r="E959" s="5"/>
    </row>
    <row r="960" ht="12.75" spans="1:5">
      <c r="A960" s="5"/>
      <c r="B960" s="5"/>
      <c r="C960" s="5"/>
      <c r="D960" s="5"/>
      <c r="E960" s="5"/>
    </row>
    <row r="961" ht="12.75" spans="1:5">
      <c r="A961" s="5"/>
      <c r="B961" s="5"/>
      <c r="C961" s="5"/>
      <c r="D961" s="5"/>
      <c r="E961" s="5"/>
    </row>
    <row r="962" ht="12.75" spans="1:5">
      <c r="A962" s="5"/>
      <c r="B962" s="5"/>
      <c r="C962" s="5"/>
      <c r="D962" s="5"/>
      <c r="E962" s="5"/>
    </row>
    <row r="963" ht="12.75" spans="1:5">
      <c r="A963" s="5"/>
      <c r="B963" s="5"/>
      <c r="C963" s="5"/>
      <c r="D963" s="5"/>
      <c r="E963" s="5"/>
    </row>
    <row r="964" ht="12.75" spans="1:5">
      <c r="A964" s="5"/>
      <c r="B964" s="5"/>
      <c r="C964" s="5"/>
      <c r="D964" s="5"/>
      <c r="E964" s="5"/>
    </row>
    <row r="965" ht="12.75" spans="1:5">
      <c r="A965" s="5"/>
      <c r="B965" s="5"/>
      <c r="C965" s="5"/>
      <c r="D965" s="5"/>
      <c r="E965" s="5"/>
    </row>
    <row r="966" ht="12.75" spans="1:5">
      <c r="A966" s="5"/>
      <c r="B966" s="5"/>
      <c r="C966" s="5"/>
      <c r="D966" s="5"/>
      <c r="E966" s="5"/>
    </row>
    <row r="967" ht="12.75" spans="1:5">
      <c r="A967" s="5"/>
      <c r="B967" s="5"/>
      <c r="C967" s="5"/>
      <c r="D967" s="5"/>
      <c r="E967" s="5"/>
    </row>
    <row r="968" ht="12.75" spans="1:5">
      <c r="A968" s="5"/>
      <c r="B968" s="5"/>
      <c r="C968" s="5"/>
      <c r="D968" s="5"/>
      <c r="E968" s="5"/>
    </row>
    <row r="969" ht="12.75" spans="1:5">
      <c r="A969" s="5"/>
      <c r="B969" s="5"/>
      <c r="C969" s="5"/>
      <c r="D969" s="5"/>
      <c r="E969" s="5"/>
    </row>
    <row r="970" ht="12.75" spans="1:5">
      <c r="A970" s="5"/>
      <c r="B970" s="5"/>
      <c r="C970" s="5"/>
      <c r="D970" s="5"/>
      <c r="E970" s="5"/>
    </row>
    <row r="971" ht="12.75" spans="1:5">
      <c r="A971" s="5"/>
      <c r="B971" s="5"/>
      <c r="C971" s="5"/>
      <c r="D971" s="5"/>
      <c r="E971" s="5"/>
    </row>
    <row r="972" ht="12.75" spans="1:5">
      <c r="A972" s="5"/>
      <c r="B972" s="5"/>
      <c r="C972" s="5"/>
      <c r="D972" s="5"/>
      <c r="E972" s="5"/>
    </row>
    <row r="973" ht="12.75" spans="1:5">
      <c r="A973" s="5"/>
      <c r="B973" s="5"/>
      <c r="C973" s="5"/>
      <c r="D973" s="5"/>
      <c r="E973" s="5"/>
    </row>
    <row r="974" ht="12.75" spans="1:5">
      <c r="A974" s="5"/>
      <c r="B974" s="5"/>
      <c r="C974" s="5"/>
      <c r="D974" s="5"/>
      <c r="E974" s="5"/>
    </row>
    <row r="975" ht="12.75" spans="1:5">
      <c r="A975" s="5"/>
      <c r="B975" s="5"/>
      <c r="C975" s="5"/>
      <c r="D975" s="5"/>
      <c r="E975" s="5"/>
    </row>
    <row r="976" ht="12.75" spans="1:5">
      <c r="A976" s="5"/>
      <c r="B976" s="5"/>
      <c r="C976" s="5"/>
      <c r="D976" s="5"/>
      <c r="E976" s="5"/>
    </row>
    <row r="977" ht="12.75" spans="1:5">
      <c r="A977" s="5"/>
      <c r="B977" s="5"/>
      <c r="C977" s="5"/>
      <c r="D977" s="5"/>
      <c r="E977" s="5"/>
    </row>
    <row r="978" ht="12.75" spans="1:5">
      <c r="A978" s="5"/>
      <c r="B978" s="5"/>
      <c r="C978" s="5"/>
      <c r="D978" s="5"/>
      <c r="E978" s="5"/>
    </row>
    <row r="979" ht="12.75" spans="1:5">
      <c r="A979" s="5"/>
      <c r="B979" s="5"/>
      <c r="C979" s="5"/>
      <c r="D979" s="5"/>
      <c r="E979" s="5"/>
    </row>
    <row r="980" ht="12.75" spans="1:5">
      <c r="A980" s="5"/>
      <c r="B980" s="5"/>
      <c r="C980" s="5"/>
      <c r="D980" s="5"/>
      <c r="E980" s="5"/>
    </row>
    <row r="981" ht="12.75" spans="1:5">
      <c r="A981" s="5"/>
      <c r="B981" s="5"/>
      <c r="C981" s="5"/>
      <c r="D981" s="5"/>
      <c r="E981" s="5"/>
    </row>
    <row r="982" ht="12.75" spans="1:5">
      <c r="A982" s="5"/>
      <c r="B982" s="5"/>
      <c r="C982" s="5"/>
      <c r="D982" s="5"/>
      <c r="E982" s="5"/>
    </row>
    <row r="983" ht="12.75" spans="1:5">
      <c r="A983" s="5"/>
      <c r="B983" s="5"/>
      <c r="C983" s="5"/>
      <c r="D983" s="5"/>
      <c r="E983" s="5"/>
    </row>
    <row r="984" ht="12.75" spans="1:5">
      <c r="A984" s="5"/>
      <c r="B984" s="5"/>
      <c r="C984" s="5"/>
      <c r="D984" s="5"/>
      <c r="E984" s="5"/>
    </row>
    <row r="985" ht="12.75" spans="1:5">
      <c r="A985" s="5"/>
      <c r="B985" s="5"/>
      <c r="C985" s="5"/>
      <c r="D985" s="5"/>
      <c r="E985" s="5"/>
    </row>
    <row r="986" ht="12.75" spans="1:5">
      <c r="A986" s="5"/>
      <c r="B986" s="5"/>
      <c r="C986" s="5"/>
      <c r="D986" s="5"/>
      <c r="E986" s="5"/>
    </row>
    <row r="987" ht="12.75" spans="1:5">
      <c r="A987" s="5"/>
      <c r="B987" s="5"/>
      <c r="C987" s="5"/>
      <c r="D987" s="5"/>
      <c r="E987" s="5"/>
    </row>
    <row r="988" ht="12.75" spans="1:5">
      <c r="A988" s="5"/>
      <c r="B988" s="5"/>
      <c r="C988" s="5"/>
      <c r="D988" s="5"/>
      <c r="E988" s="5"/>
    </row>
    <row r="989" ht="12.75" spans="1:5">
      <c r="A989" s="5"/>
      <c r="B989" s="5"/>
      <c r="C989" s="5"/>
      <c r="D989" s="5"/>
      <c r="E989" s="5"/>
    </row>
    <row r="990" ht="12.75" spans="1:5">
      <c r="A990" s="5"/>
      <c r="B990" s="5"/>
      <c r="C990" s="5"/>
      <c r="D990" s="5"/>
      <c r="E990" s="5"/>
    </row>
    <row r="991" ht="12.75" spans="1:5">
      <c r="A991" s="5"/>
      <c r="B991" s="5"/>
      <c r="C991" s="5"/>
      <c r="D991" s="5"/>
      <c r="E991" s="5"/>
    </row>
    <row r="992" ht="12.75" spans="1:5">
      <c r="A992" s="5"/>
      <c r="B992" s="5"/>
      <c r="C992" s="5"/>
      <c r="D992" s="5"/>
      <c r="E992" s="5"/>
    </row>
    <row r="993" ht="12.75" spans="1:5">
      <c r="A993" s="5"/>
      <c r="B993" s="5"/>
      <c r="C993" s="5"/>
      <c r="D993" s="5"/>
      <c r="E993" s="5"/>
    </row>
    <row r="994" ht="12.75" spans="1:5">
      <c r="A994" s="5"/>
      <c r="B994" s="5"/>
      <c r="C994" s="5"/>
      <c r="D994" s="5"/>
      <c r="E994" s="5"/>
    </row>
    <row r="995" ht="12.75" spans="1:5">
      <c r="A995" s="5"/>
      <c r="B995" s="5"/>
      <c r="C995" s="5"/>
      <c r="D995" s="5"/>
      <c r="E995" s="5"/>
    </row>
    <row r="996" ht="12.75" spans="1:5">
      <c r="A996" s="5"/>
      <c r="B996" s="5"/>
      <c r="C996" s="5"/>
      <c r="D996" s="5"/>
      <c r="E996" s="5"/>
    </row>
    <row r="997" ht="12.75" spans="1:5">
      <c r="A997" s="5"/>
      <c r="B997" s="5"/>
      <c r="C997" s="5"/>
      <c r="D997" s="5"/>
      <c r="E997" s="5"/>
    </row>
    <row r="998" ht="12.75" spans="1:5">
      <c r="A998" s="5"/>
      <c r="B998" s="5"/>
      <c r="C998" s="5"/>
      <c r="D998" s="5"/>
      <c r="E998" s="5"/>
    </row>
    <row r="999" ht="12.75" spans="1:5">
      <c r="A999" s="5"/>
      <c r="B999" s="5"/>
      <c r="C999" s="5"/>
      <c r="D999" s="5"/>
      <c r="E999" s="5"/>
    </row>
    <row r="1000" ht="12.75" spans="1:5">
      <c r="A1000" s="5"/>
      <c r="B1000" s="5"/>
      <c r="C1000" s="5"/>
      <c r="D1000" s="5"/>
      <c r="E1000" s="5"/>
    </row>
  </sheetData>
  <hyperlinks>
    <hyperlink ref="C2" r:id="rId1" display="=IFERROR(@__xludf.DUMMYFUNCTION(&quot;&quot;&quot;COMPUTED_VALUE&quot;&quot;&quot;),&quot;https://vt.tiktok.com/ZSH33gDKeCE38-KKZw9/&quot;)"/>
    <hyperlink ref="C3" r:id="rId2" display="=IFERROR(@__xludf.DUMMYFUNCTION(&quot;&quot;&quot;COMPUTED_VALUE&quot;&quot;&quot;),&quot;vt.tiktok.com/ZSHTn4KNMuCWS-Ch5TU/&quot;)"/>
    <hyperlink ref="C4" r:id="rId3" display="=IFERROR(@__xludf.DUMMYFUNCTION(&quot;&quot;&quot;COMPUTED_VALUE&quot;&quot;&quot;),&quot;vt.tiktok.com/ZSHTnVgqajpEW-Ps3gE/&quot;)"/>
    <hyperlink ref="C5" r:id="rId4" display="=IFERROR(@__xludf.DUMMYFUNCTION(&quot;&quot;&quot;COMPUTED_VALUE&quot;&quot;&quot;),&quot;vt.tiktok.com/ZSHTnbPERWSQj-pMmbz/&quot;)"/>
    <hyperlink ref="C6" r:id="rId5" display="=IFERROR(@__xludf.DUMMYFUNCTION(&quot;&quot;&quot;COMPUTED_VALUE&quot;&quot;&quot;),&quot;vt.tiktok.com/ZSHTno6Jvh6E5-OhBap/&quot;)"/>
    <hyperlink ref="C7" r:id="rId6" display="=IFERROR(@__xludf.DUMMYFUNCTION(&quot;&quot;&quot;COMPUTED_VALUE&quot;&quot;&quot;),&quot;https://vt.tiktok.com/ZSHTW1YHfKjd5-6jLP1/&quot;)"/>
    <hyperlink ref="C8" r:id="rId7" display="=IFERROR(@__xludf.DUMMYFUNCTION(&quot;&quot;&quot;COMPUTED_VALUE&quot;&quot;&quot;),&quot;vt.tiktok.com/ZSHT31YDuQ7q2-dzrRd/&quot;)"/>
    <hyperlink ref="C9" r:id="rId8" display="=IFERROR(@__xludf.DUMMYFUNCTION(&quot;&quot;&quot;COMPUTED_VALUE&quot;&quot;&quot;),&quot;vt.tiktok.com/ZSHT3JV5p6aup-flQzs/&quot;)"/>
    <hyperlink ref="C10" r:id="rId9" display="=IFERROR(@__xludf.DUMMYFUNCTION(&quot;&quot;&quot;COMPUTED_VALUE&quot;&quot;&quot;),&quot;vt.tiktok.com/ZSHwr7RbfJxQm-iyjTA/&quot;)"/>
    <hyperlink ref="C11" r:id="rId10" display="=IFERROR(@__xludf.DUMMYFUNCTION(&quot;&quot;&quot;COMPUTED_VALUE&quot;&quot;&quot;),&quot;vt.tiktok.com/ZSHwr7nMgQceL-mSUob/&quot;)"/>
    <hyperlink ref="C12" r:id="rId11" display="=IFERROR(@__xludf.DUMMYFUNCTION(&quot;&quot;&quot;COMPUTED_VALUE&quot;&quot;&quot;),&quot;vt.tiktok.com/ZSHwTkKW98EQN-vKpPs/&quot;)"/>
    <hyperlink ref="C13" r:id="rId12" display="=IFERROR(@__xludf.DUMMYFUNCTION(&quot;&quot;&quot;COMPUTED_VALUE&quot;&quot;&quot;),&quot;vt.tiktok.com/ZSHTWNDbkExes-WfQqQ/&quot;)"/>
    <hyperlink ref="C14" r:id="rId13" display="=IFERROR(@__xludf.DUMMYFUNCTION(&quot;&quot;&quot;COMPUTED_VALUE&quot;&quot;&quot;),&quot;vt.tiktok.com/ZSHTWFLwdUANv-07tFR/&quot;)"/>
    <hyperlink ref="C15" r:id="rId14" display="=IFERROR(@__xludf.DUMMYFUNCTION(&quot;&quot;&quot;COMPUTED_VALUE&quot;&quot;&quot;),&quot;vt.tiktok.com/ZSHTWFppPLQds-EtOmN/&quot;)"/>
    <hyperlink ref="C16" r:id="rId15" display="=IFERROR(@__xludf.DUMMYFUNCTION(&quot;&quot;&quot;COMPUTED_VALUE&quot;&quot;&quot;),&quot;vt.tiktok.com/ZSHTW2hoxQPtq-7Zv5x/&quot;)"/>
    <hyperlink ref="C17" r:id="rId16" display="=IFERROR(@__xludf.DUMMYFUNCTION(&quot;&quot;&quot;COMPUTED_VALUE&quot;&quot;&quot;),&quot;https://vt.tiktok.com/ZSH33b8GtX8c1-7HJaj/&quot;)"/>
    <hyperlink ref="C18" r:id="rId17" display="=IFERROR(@__xludf.DUMMYFUNCTION(&quot;&quot;&quot;COMPUTED_VALUE&quot;&quot;&quot;),&quot;vt.tiktok.com/ZSHKYqJXaEYFT-S2yhu/&quot;)"/>
    <hyperlink ref="C19" r:id="rId18" display="=IFERROR(@__xludf.DUMMYFUNCTION(&quot;&quot;&quot;COMPUTED_VALUE&quot;&quot;&quot;),&quot;vt.tiktok.com/ZSHKyG6rdSHos-Xs9X4/&quot;)"/>
    <hyperlink ref="C20" r:id="rId19" display="=IFERROR(@__xludf.DUMMYFUNCTION(&quot;&quot;&quot;COMPUTED_VALUE&quot;&quot;&quot;),&quot;vt.tiktok.com/ZSHKm6H9kuX14-ejNnQ/&quot;)"/>
    <hyperlink ref="C21" r:id="rId20" display="=IFERROR(@__xludf.DUMMYFUNCTION(&quot;&quot;&quot;COMPUTED_VALUE&quot;&quot;&quot;),&quot;vt.tiktok.com/ZSHTWYESAsdjV-aa3rY/&quot;)"/>
    <hyperlink ref="C22" r:id="rId21" display="=IFERROR(@__xludf.DUMMYFUNCTION(&quot;&quot;&quot;COMPUTED_VALUE&quot;&quot;&quot;),&quot;vt.tiktok.com/ZSHTWjsEBfhHt-bOa3b/&quot;)"/>
    <hyperlink ref="C23" r:id="rId22" display="=IFERROR(@__xludf.DUMMYFUNCTION(&quot;&quot;&quot;COMPUTED_VALUE&quot;&quot;&quot;),&quot;vt.tiktok.com/ZSHwPKEspepcu-Nu8Oi/&quot;)"/>
    <hyperlink ref="C24" r:id="rId23" display="=IFERROR(@__xludf.DUMMYFUNCTION(&quot;&quot;&quot;COMPUTED_VALUE&quot;&quot;&quot;),&quot;vt.tiktok.com/ZSHTKd6p15AdJ-sjjec/&quot;)"/>
    <hyperlink ref="C25" r:id="rId24" display="=IFERROR(@__xludf.DUMMYFUNCTION(&quot;&quot;&quot;COMPUTED_VALUE&quot;&quot;&quot;),&quot;vt.tiktok.com/ZSHTK8jCLbCj9-Iqe3t/&quot;)"/>
    <hyperlink ref="C26" r:id="rId25" display="=IFERROR(@__xludf.DUMMYFUNCTION(&quot;&quot;&quot;COMPUTED_VALUE&quot;&quot;&quot;),&quot;vt.tiktok.com/ZSHwhvQnsB58o-6icrx/&quot;)"/>
    <hyperlink ref="C27" r:id="rId26" display="=IFERROR(@__xludf.DUMMYFUNCTION(&quot;&quot;&quot;COMPUTED_VALUE&quot;&quot;&quot;),&quot;vt.tiktok.com/ZSHKBxKmFEpDW-bCZWb/&quot;)"/>
    <hyperlink ref="C28" r:id="rId27" display="=IFERROR(@__xludf.DUMMYFUNCTION(&quot;&quot;&quot;COMPUTED_VALUE&quot;&quot;&quot;),&quot;vt.tiktok.com/ZSHKQfCV8v6c4-ZEg1j/&quot;)"/>
    <hyperlink ref="C29" r:id="rId28" display="=IFERROR(@__xludf.DUMMYFUNCTION(&quot;&quot;&quot;COMPUTED_VALUE&quot;&quot;&quot;),&quot;https://vt.tiktok.com/ZSHTnnXyxWjK6-wJ4iJ/&quot;)"/>
    <hyperlink ref="C30" r:id="rId29" display="=IFERROR(@__xludf.DUMMYFUNCTION(&quot;&quot;&quot;COMPUTED_VALUE&quot;&quot;&quot;),&quot;vt.tiktok.com/ZSHTcoAMmGoMv-zrM19/&quot;)"/>
    <hyperlink ref="C31" r:id="rId30" display="=IFERROR(@__xludf.DUMMYFUNCTION(&quot;&quot;&quot;COMPUTED_VALUE&quot;&quot;&quot;),&quot;vt.tiktok.com/ZSHwsGf5R7VPv-CGziB/&quot;)"/>
    <hyperlink ref="C32" r:id="rId31" display="=IFERROR(@__xludf.DUMMYFUNCTION(&quot;&quot;&quot;COMPUTED_VALUE&quot;&quot;&quot;),&quot;vt.tiktok.com/ZSHwTaXMBeCGg-NMo0X/&quot;)"/>
    <hyperlink ref="C33" r:id="rId32" display="=IFERROR(@__xludf.DUMMYFUNCTION(&quot;&quot;&quot;COMPUTED_VALUE&quot;&quot;&quot;),&quot;vt.tiktok.com/ZSHKytaFYs9rr-Kqc8B/&quot;)"/>
    <hyperlink ref="C34" r:id="rId33" display="=IFERROR(@__xludf.DUMMYFUNCTION(&quot;&quot;&quot;COMPUTED_VALUE&quot;&quot;&quot;),&quot;vt.tiktok.com/ZSHTK8aR43Ng7-dODbO/&quot;)"/>
    <hyperlink ref="C35" r:id="rId34" display="=IFERROR(@__xludf.DUMMYFUNCTION(&quot;&quot;&quot;COMPUTED_VALUE&quot;&quot;&quot;),&quot;vt.tiktok.com/ZSHTWhrywnUCu-9oE7a/&quot;)"/>
    <hyperlink ref="C36" r:id="rId35" display="=IFERROR(@__xludf.DUMMYFUNCTION(&quot;&quot;&quot;COMPUTED_VALUE&quot;&quot;&quot;),&quot;vt.tiktok.com/ZSHTcKdf8Sawj-7Jbhn/&quot;)"/>
    <hyperlink ref="C37" r:id="rId36" display="=IFERROR(@__xludf.DUMMYFUNCTION(&quot;&quot;&quot;COMPUTED_VALUE&quot;&quot;&quot;),&quot;vt.tiktok.com/ZSHKBtS9vWS9v-SQKog/&quot;)"/>
    <hyperlink ref="C38" r:id="rId37" display="=IFERROR(@__xludf.DUMMYFUNCTION(&quot;&quot;&quot;COMPUTED_VALUE&quot;&quot;&quot;),&quot;vt.tiktok.com/ZSHKBnJfeSfRC-kgX2v/&quot;)"/>
    <hyperlink ref="C39" r:id="rId38" display="=IFERROR(@__xludf.DUMMYFUNCTION(&quot;&quot;&quot;COMPUTED_VALUE&quot;&quot;&quot;),&quot;vt.tiktok.com/ZSHKSqG1UrBNw-EKczA/&quot;)"/>
    <hyperlink ref="C40" r:id="rId39" display="=IFERROR(@__xludf.DUMMYFUNCTION(&quot;&quot;&quot;COMPUTED_VALUE&quot;&quot;&quot;),&quot;vt.tiktok.com/ZSHKyntJc2PQW-eEfqP/&quot;)"/>
    <hyperlink ref="C41" r:id="rId40" display="=IFERROR(@__xludf.DUMMYFUNCTION(&quot;&quot;&quot;COMPUTED_VALUE&quot;&quot;&quot;),&quot;http://vt.tiktok.com/ZSHTnxyACuUHp-SguEE/&quot;)"/>
    <hyperlink ref="C42" r:id="rId41" display="=IFERROR(@__xludf.DUMMYFUNCTION(&quot;&quot;&quot;COMPUTED_VALUE&quot;&quot;&quot;),&quot;vt.tiktok.com/ZSHTnQ8Ae3tFd-pYwlR/&quot;)"/>
    <hyperlink ref="C43" r:id="rId42" display="=IFERROR(@__xludf.DUMMYFUNCTION(&quot;&quot;&quot;COMPUTED_VALUE&quot;&quot;&quot;),&quot;https://vt.tiktok.com/ZSHTnCg4SsW16-DebZj/&quot;)"/>
    <hyperlink ref="C44" r:id="rId43" display="=IFERROR(@__xludf.DUMMYFUNCTION(&quot;&quot;&quot;COMPUTED_VALUE&quot;&quot;&quot;),&quot;vt.tiktok.com/ZSHTn4gkA24yf-X7lGb/&quot;)"/>
    <hyperlink ref="C45" r:id="rId44" display="=IFERROR(@__xludf.DUMMYFUNCTION(&quot;&quot;&quot;COMPUTED_VALUE&quot;&quot;&quot;),&quot;https://vt.tiktok.com/ZSHTnqe34C8Hh-ntdNB/&quot;)"/>
    <hyperlink ref="C46" r:id="rId45" display="=IFERROR(@__xludf.DUMMYFUNCTION(&quot;&quot;&quot;COMPUTED_VALUE&quot;&quot;&quot;),&quot;vt.tiktok.com/ZSHwkYjpsjS7X-Wj267/&quot;)"/>
    <hyperlink ref="C47" r:id="rId46" display="=IFERROR(@__xludf.DUMMYFUNCTION(&quot;&quot;&quot;COMPUTED_VALUE&quot;&quot;&quot;),&quot;vt.tiktok.com/ZSHwGUv6QEP5F-tSjZV/&quot;)"/>
    <hyperlink ref="C48" r:id="rId47" display="=IFERROR(@__xludf.DUMMYFUNCTION(&quot;&quot;&quot;COMPUTED_VALUE&quot;&quot;&quot;),&quot;vt.tiktok.com/ZSHwTrjQqmFjF-fSQnp/&quot;)"/>
    <hyperlink ref="C49" r:id="rId48" display="=IFERROR(@__xludf.DUMMYFUNCTION(&quot;&quot;&quot;COMPUTED_VALUE&quot;&quot;&quot;),&quot;vt.tiktok.com/ZSHKFHMSykB4J-lkL3m/&quot;)"/>
    <hyperlink ref="C50" r:id="rId49" display="=IFERROR(@__xludf.DUMMYFUNCTION(&quot;&quot;&quot;COMPUTED_VALUE&quot;&quot;&quot;),&quot;https://vt.tiktok.com/ZSH33bUxgCykd-iNc4r/&quot;)"/>
    <hyperlink ref="C51" r:id="rId50" display="=IFERROR(@__xludf.DUMMYFUNCTION(&quot;&quot;&quot;COMPUTED_VALUE&quot;&quot;&quot;),&quot;https://vt.tiktok.com/ZSHTgwyTt82j6-1aDXw/&quot;)"/>
    <hyperlink ref="C52" r:id="rId51" display="=IFERROR(@__xludf.DUMMYFUNCTION(&quot;&quot;&quot;COMPUTED_VALUE&quot;&quot;&quot;),&quot;vt.tiktok.com/ZSHTccbqXqehK-DU6il/&quot;)"/>
    <hyperlink ref="C53" r:id="rId52" display="=IFERROR(@__xludf.DUMMYFUNCTION(&quot;&quot;&quot;COMPUTED_VALUE&quot;&quot;&quot;),&quot;vt.tiktok.com/ZSHT3FSEYUSN7-DAAuc/&quot;)"/>
    <hyperlink ref="C54" r:id="rId53" display="=IFERROR(@__xludf.DUMMYFUNCTION(&quot;&quot;&quot;COMPUTED_VALUE&quot;&quot;&quot;),&quot;vt.tiktok.com/ZSHwrv2x1XaEB-w3Txc/&quot;)"/>
    <hyperlink ref="C55" r:id="rId54" display="=IFERROR(@__xludf.DUMMYFUNCTION(&quot;&quot;&quot;COMPUTED_VALUE&quot;&quot;&quot;),&quot;http://vt.tiktok.com/ZSHwhWQhhGtyJ-KcZaI/&quot;)"/>
    <hyperlink ref="C56" r:id="rId55" display="=IFERROR(@__xludf.DUMMYFUNCTION(&quot;&quot;&quot;COMPUTED_VALUE&quot;&quot;&quot;),&quot;vt.tiktok.com/ZSHwkFrQc9c3m-BAwdy/&quot;)"/>
    <hyperlink ref="C57" r:id="rId56" display="=IFERROR(@__xludf.DUMMYFUNCTION(&quot;&quot;&quot;COMPUTED_VALUE&quot;&quot;&quot;),&quot;vt.tiktok.com/ZSHwAP8jrkbyt-JDXNc/&quot;)"/>
    <hyperlink ref="C58" r:id="rId57" display="=IFERROR(@__xludf.DUMMYFUNCTION(&quot;&quot;&quot;COMPUTED_VALUE&quot;&quot;&quot;),&quot;vt.tiktok.com/ZSHw93fF9Er81-oq2kC/&quot;)"/>
    <hyperlink ref="C59" r:id="rId58" display="=IFERROR(@__xludf.DUMMYFUNCTION(&quot;&quot;&quot;COMPUTED_VALUE&quot;&quot;&quot;),&quot;vt.tiktok.com/ZSHwTkrqtprTk-VSx6I/&quot;)"/>
    <hyperlink ref="C60" r:id="rId59" display="=IFERROR(@__xludf.DUMMYFUNCTION(&quot;&quot;&quot;COMPUTED_VALUE&quot;&quot;&quot;),&quot;vt.tiktok.com/ZSHwTSfMsmxTE-5K8Q9/&quot;)"/>
    <hyperlink ref="C61" r:id="rId60" display="=IFERROR(@__xludf.DUMMYFUNCTION(&quot;&quot;&quot;COMPUTED_VALUE&quot;&quot;&quot;),&quot;vt.tiktok.com/ZSHwTadQDjpWh-dy6m7/&quot;)"/>
    <hyperlink ref="C62" r:id="rId61" display="=IFERROR(@__xludf.DUMMYFUNCTION(&quot;&quot;&quot;COMPUTED_VALUE&quot;&quot;&quot;),&quot;vt.tiktok.com/ZSHwTuDm7Hmkf-E1zvr/&quot;)"/>
    <hyperlink ref="C63" r:id="rId62" display="=IFERROR(@__xludf.DUMMYFUNCTION(&quot;&quot;&quot;COMPUTED_VALUE&quot;&quot;&quot;),&quot;vt.tiktok.com/ZSHK1eSNbFN9h-7r5JZ/&quot;)"/>
    <hyperlink ref="C64" r:id="rId63" display="=IFERROR(@__xludf.DUMMYFUNCTION(&quot;&quot;&quot;COMPUTED_VALUE&quot;&quot;&quot;),&quot;vt.tiktok.com/ZSHK1VJoMfYg6-UZTHf/&quot;)"/>
    <hyperlink ref="C65" r:id="rId64" display="=IFERROR(@__xludf.DUMMYFUNCTION(&quot;&quot;&quot;COMPUTED_VALUE&quot;&quot;&quot;),&quot;https://vt.tiktok.com/ZSHK1q8YhMvWK-eTocm/&quot;)"/>
    <hyperlink ref="C66" r:id="rId65" display="=IFERROR(@__xludf.DUMMYFUNCTION(&quot;&quot;&quot;COMPUTED_VALUE&quot;&quot;&quot;),&quot;vt.tiktok.com/ZSHK88eJSR2fJ-wODqV/&quot;)"/>
    <hyperlink ref="C67" r:id="rId66" display="=IFERROR(@__xludf.DUMMYFUNCTION(&quot;&quot;&quot;COMPUTED_VALUE&quot;&quot;&quot;),&quot;vt.tiktok.com/ZSHTKr9GuDS2j-D37mB/&quot;)"/>
    <hyperlink ref="C68" r:id="rId67" display="=IFERROR(@__xludf.DUMMYFUNCTION(&quot;&quot;&quot;COMPUTED_VALUE&quot;&quot;&quot;),&quot;vt.tiktok.com/ZSHKRoE2Fro9u-8pfJ5/&quot;)"/>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1000"/>
  <sheetViews>
    <sheetView workbookViewId="0">
      <pane ySplit="1" topLeftCell="A2" activePane="bottomLeft" state="frozen"/>
      <selection/>
      <selection pane="bottomLeft" activeCell="B3" sqref="B3"/>
    </sheetView>
  </sheetViews>
  <sheetFormatPr defaultColWidth="12.6285714285714" defaultRowHeight="15.75" customHeight="1"/>
  <cols>
    <col min="1" max="1" width="12.752380952381" customWidth="1"/>
    <col min="2" max="2" width="21.752380952381" customWidth="1"/>
    <col min="3" max="3" width="18.8761904761905" customWidth="1"/>
    <col min="4" max="4" width="21.8761904761905" customWidth="1"/>
    <col min="5" max="5" width="16" customWidth="1"/>
    <col min="6" max="6" width="20.752380952381" customWidth="1"/>
    <col min="7" max="7" width="20.1333333333333" customWidth="1"/>
  </cols>
  <sheetData>
    <row r="1" ht="12.75" spans="1:16">
      <c r="A1" s="1" t="str">
        <f>IFERROR(__xludf.DUMMYFUNCTION("QUERY(
  IMPORTRANGE(""https://docs.google.com/spreadsheets/d/1xPxnEUD0Mw3SuGTnms-V8QULqAGXJE4cD0t6nXwOSmc/edit?usp=sharing"",""'Tổng'!A:Z""),
  ""select Col1, Col3, Col5, Col16, Col17 where Col12='Đã có hàng'order by Col16 asc"",
  1
)"),"Ngày")</f>
        <v>Ngày</v>
      </c>
      <c r="B1" s="1" t="str">
        <f>IFERROR(__xludf.DUMMYFUNCTION("""COMPUTED_VALUE"""),"Tên sản phẩm")</f>
        <v>Tên sản phẩm</v>
      </c>
      <c r="C1" s="1" t="str">
        <f>IFERROR(__xludf.DUMMYFUNCTION("""COMPUTED_VALUE"""),"Link sp")</f>
        <v>Link sp</v>
      </c>
      <c r="D1" s="1" t="str">
        <f>IFERROR(__xludf.DUMMYFUNCTION("""COMPUTED_VALUE"""),"Mã sản phẩm")</f>
        <v>Mã sản phẩm</v>
      </c>
      <c r="E1" s="1" t="str">
        <f>IFERROR(__xludf.DUMMYFUNCTION("""COMPUTED_VALUE"""),"Content")</f>
        <v>Content</v>
      </c>
      <c r="F1" s="2"/>
      <c r="G1" s="3"/>
      <c r="K1" s="7"/>
      <c r="L1" s="7"/>
      <c r="M1" s="7"/>
      <c r="N1" s="7"/>
      <c r="O1" s="7"/>
      <c r="P1" s="8"/>
    </row>
    <row r="2" ht="77.25" customHeight="1" spans="1:16">
      <c r="A2" s="4" t="str">
        <f>IFERROR(__xludf.DUMMYFUNCTION("""COMPUTED_VALUE"""),"29/8/2025")</f>
        <v>29/8/2025</v>
      </c>
      <c r="B2" s="5" t="str">
        <f>IFERROR(__xludf.DUMMYFUNCTION("""COMPUTED_VALUE"""),"LUXE ORGANIX Niacinamide + Alpha Arbutin 3x Whitening Velvet Shower Salt Scrub 320g")</f>
        <v>LUXE ORGANIX Niacinamide + Alpha Arbutin 3x Whitening Velvet Shower Salt Scrub 320g</v>
      </c>
      <c r="C2" s="6" t="str">
        <f>IFERROR(__xludf.DUMMYFUNCTION("""COMPUTED_VALUE"""),"https://vt.tiktok.com/ZSAx8w5aE/")</f>
        <v>https://vt.tiktok.com/ZSAx8w5aE/</v>
      </c>
      <c r="D2" s="4" t="str">
        <f>IFERROR(__xludf.DUMMYFUNCTION("""COMPUTED_VALUE"""),"LD_CS_BC_001")</f>
        <v>LD_CS_BC_001</v>
      </c>
      <c r="E2" s="5" t="str">
        <f>IFERROR(__xludf.DUMMYFUNCTION("""COMPUTED_VALUE"""),"LUXE ORGANIX Shower Salt Scrub #luxeorganix #showerscrub")</f>
        <v>LUXE ORGANIX Shower Salt Scrub #luxeorganix #showerscrub</v>
      </c>
      <c r="F2" s="3"/>
      <c r="G2" s="3"/>
      <c r="K2" s="8"/>
      <c r="L2" s="8"/>
      <c r="M2" s="8"/>
      <c r="N2" s="8"/>
      <c r="O2" s="8"/>
      <c r="P2" s="8"/>
    </row>
    <row r="3" ht="76.5" spans="1:16">
      <c r="A3" s="4" t="str">
        <f>IFERROR(__xludf.DUMMYFUNCTION("""COMPUTED_VALUE"""),"29/8")</f>
        <v>29/8</v>
      </c>
      <c r="B3" s="5" t="str">
        <f>IFERROR(__xludf.DUMMYFUNCTION("""COMPUTED_VALUE"""),"1000ML Botox Keratin Hair Treatment Mask Collagen Hair Straightening Organic Repair Conditioner FDA Approved")</f>
        <v>1000ML Botox Keratin Hair Treatment Mask Collagen Hair Straightening Organic Repair Conditioner FDA Approved</v>
      </c>
      <c r="C3" s="6" t="str">
        <f>IFERROR(__xludf.DUMMYFUNCTION("""COMPUTED_VALUE"""),"https://www.tiktok.com/shop/ph/pdp/1731255716174990245")</f>
        <v>https://www.tiktok.com/shop/ph/pdp/1731255716174990245</v>
      </c>
      <c r="D3" s="4" t="str">
        <f>IFERROR(__xludf.DUMMYFUNCTION("""COMPUTED_VALUE"""),"LD_CS_BC_002")</f>
        <v>LD_CS_BC_002</v>
      </c>
      <c r="E3" s="5" t="str">
        <f>IFERROR(__xludf.DUMMYFUNCTION("""COMPUTED_VALUE"""),"Botox Keratin Hair Treatment Mask #hairmask #haircare")</f>
        <v>Botox Keratin Hair Treatment Mask #hairmask #haircare</v>
      </c>
      <c r="F3" s="3"/>
      <c r="G3" s="3"/>
      <c r="K3" s="8"/>
      <c r="L3" s="8"/>
      <c r="M3" s="8"/>
      <c r="N3" s="8"/>
      <c r="O3" s="8"/>
      <c r="P3" s="8"/>
    </row>
    <row r="4" ht="109.5" customHeight="1" spans="1:16">
      <c r="A4" s="4" t="str">
        <f>IFERROR(__xludf.DUMMYFUNCTION("""COMPUTED_VALUE"""),"29/8")</f>
        <v>29/8</v>
      </c>
      <c r="B4" s="5" t="str">
        <f>IFERROR(__xludf.DUMMYFUNCTION("""COMPUTED_VALUE"""),"Organic Skin Japan Nape, Knee &amp; Elbow Lightening Cream 40ml ")</f>
        <v>Organic Skin Japan Nape, Knee &amp; Elbow Lightening Cream 40ml </v>
      </c>
      <c r="C4" s="6" t="str">
        <f>IFERROR(__xludf.DUMMYFUNCTION("""COMPUTED_VALUE"""),"https://www.tiktok.com/shop/ph/pdp/1729398167849176878")</f>
        <v>https://www.tiktok.com/shop/ph/pdp/1729398167849176878</v>
      </c>
      <c r="D4" s="4" t="str">
        <f>IFERROR(__xludf.DUMMYFUNCTION("""COMPUTED_VALUE"""),"LD_CS_BC_003")</f>
        <v>LD_CS_BC_003</v>
      </c>
      <c r="E4" s="5" t="str">
        <f>IFERROR(__xludf.DUMMYFUNCTION("""COMPUTED_VALUE"""),"Organic Skin Japan Nape, Knee &amp; Elbow Lightening Cream #organicskin #skincare")</f>
        <v>Organic Skin Japan Nape, Knee &amp; Elbow Lightening Cream #organicskin #skincare</v>
      </c>
      <c r="F4" s="3"/>
      <c r="G4" s="3"/>
      <c r="K4" s="8"/>
      <c r="L4" s="8"/>
      <c r="M4" s="8"/>
      <c r="N4" s="8"/>
      <c r="O4" s="8"/>
      <c r="P4" s="8"/>
    </row>
    <row r="5" ht="97.5" customHeight="1" spans="1:16">
      <c r="A5" s="4" t="str">
        <f>IFERROR(__xludf.DUMMYFUNCTION("""COMPUTED_VALUE"""),"29/8")</f>
        <v>29/8</v>
      </c>
      <c r="B5" s="5" t="str">
        <f>IFERROR(__xludf.DUMMYFUNCTION("""COMPUTED_VALUE"""),"BUY 1 TAKE 1 Organic Skin Japan Intensive Whitening Underarm Deo Mist Under Arm Deodorant Spray (60ml)")</f>
        <v>BUY 1 TAKE 1 Organic Skin Japan Intensive Whitening Underarm Deo Mist Under Arm Deodorant Spray (60ml)</v>
      </c>
      <c r="C5" s="6" t="str">
        <f>IFERROR(__xludf.DUMMYFUNCTION("""COMPUTED_VALUE"""),"https://www.tiktok.com/shop/ph/pdp/1729429381825858350")</f>
        <v>https://www.tiktok.com/shop/ph/pdp/1729429381825858350</v>
      </c>
      <c r="D5" s="4" t="str">
        <f>IFERROR(__xludf.DUMMYFUNCTION("""COMPUTED_VALUE"""),"LD_CS_BC_004")</f>
        <v>LD_CS_BC_004</v>
      </c>
      <c r="E5" s="5" t="str">
        <f>IFERROR(__xludf.DUMMYFUNCTION("""COMPUTED_VALUE"""),"Organic Skin Japan Underarm Care #organicskin #underarmcare")</f>
        <v>Organic Skin Japan Underarm Care #organicskin #underarmcare</v>
      </c>
      <c r="F5" s="3"/>
      <c r="G5" s="3"/>
      <c r="K5" s="8"/>
      <c r="L5" s="8"/>
      <c r="M5" s="8"/>
      <c r="N5" s="8"/>
      <c r="O5" s="8"/>
      <c r="P5" s="8"/>
    </row>
    <row r="6" ht="63.75" spans="1:16">
      <c r="A6" s="4" t="str">
        <f>IFERROR(__xludf.DUMMYFUNCTION("""COMPUTED_VALUE"""),"29/8")</f>
        <v>29/8</v>
      </c>
      <c r="B6" s="5" t="str">
        <f>IFERROR(__xludf.DUMMYFUNCTION("""COMPUTED_VALUE"""),"Organic Skin Japan Intensive Whitening Underarm Powder Dry Deodorant Under Arm Deo Roll on (40ml) ")</f>
        <v>Organic Skin Japan Intensive Whitening Underarm Powder Dry Deodorant Under Arm Deo Roll on (40ml) </v>
      </c>
      <c r="C6" s="6" t="str">
        <f>IFERROR(__xludf.DUMMYFUNCTION("""COMPUTED_VALUE"""),"https://www.tiktok.com/shop/ph/pdp/1729429396734315310")</f>
        <v>https://www.tiktok.com/shop/ph/pdp/1729429396734315310</v>
      </c>
      <c r="D6" s="4" t="str">
        <f>IFERROR(__xludf.DUMMYFUNCTION("""COMPUTED_VALUE"""),"LD_CS_BC_005")</f>
        <v>LD_CS_BC_005</v>
      </c>
      <c r="E6" s="5" t="str">
        <f>IFERROR(__xludf.DUMMYFUNCTION("""COMPUTED_VALUE"""),"Organic Skin Japan Underarm Care #organicskin #underarmcare")</f>
        <v>Organic Skin Japan Underarm Care #organicskin #underarmcare</v>
      </c>
      <c r="F6" s="3"/>
      <c r="G6" s="3"/>
      <c r="K6" s="8"/>
      <c r="L6" s="8"/>
      <c r="M6" s="8"/>
      <c r="N6" s="8"/>
      <c r="O6" s="8"/>
      <c r="P6" s="8"/>
    </row>
    <row r="7" ht="63.75" spans="1:16">
      <c r="A7" s="4" t="str">
        <f>IFERROR(__xludf.DUMMYFUNCTION("""COMPUTED_VALUE"""),"29/8")</f>
        <v>29/8</v>
      </c>
      <c r="B7" s="5" t="str">
        <f>IFERROR(__xludf.DUMMYFUNCTION("""COMPUTED_VALUE"""),"Organic Skin Japan Intensive Whitening Underarm 3-Steps Kit with Under Arm Deodorant Roll on")</f>
        <v>Organic Skin Japan Intensive Whitening Underarm 3-Steps Kit with Under Arm Deodorant Roll on</v>
      </c>
      <c r="C7" s="6" t="str">
        <f>IFERROR(__xludf.DUMMYFUNCTION("""COMPUTED_VALUE"""),"https://www.tiktok.com/shop/ph/pdp/1729382765930057518")</f>
        <v>https://www.tiktok.com/shop/ph/pdp/1729382765930057518</v>
      </c>
      <c r="D7" s="4" t="str">
        <f>IFERROR(__xludf.DUMMYFUNCTION("""COMPUTED_VALUE"""),"LD_CS_BC_006")</f>
        <v>LD_CS_BC_006</v>
      </c>
      <c r="E7" s="5" t="str">
        <f>IFERROR(__xludf.DUMMYFUNCTION("""COMPUTED_VALUE"""),"Organic Skin Japan Underarm Care #organicskin #underarmcare")</f>
        <v>Organic Skin Japan Underarm Care #organicskin #underarmcare</v>
      </c>
      <c r="F7" s="3"/>
      <c r="G7" s="3"/>
      <c r="K7" s="8"/>
      <c r="L7" s="8"/>
      <c r="M7" s="8"/>
      <c r="N7" s="8"/>
      <c r="O7" s="8"/>
      <c r="P7" s="8"/>
    </row>
    <row r="8" ht="76.5" customHeight="1" spans="1:16">
      <c r="A8" s="4" t="str">
        <f>IFERROR(__xludf.DUMMYFUNCTION("""COMPUTED_VALUE"""),"29/8")</f>
        <v>29/8</v>
      </c>
      <c r="B8" s="5" t="str">
        <f>IFERROR(__xludf.DUMMYFUNCTION("""COMPUTED_VALUE"""),"MILKY GLUTA WHITE BAR SOAP 20X WHITENING Pampaputi, Pampakanis, Pampabata ng Balat")</f>
        <v>MILKY GLUTA WHITE BAR SOAP 20X WHITENING Pampaputi, Pampakanis, Pampabata ng Balat</v>
      </c>
      <c r="C8" s="6" t="str">
        <f>IFERROR(__xludf.DUMMYFUNCTION("""COMPUTED_VALUE"""),"https://www.tiktok.com/shop/ph/pdp/1729398934996749394")</f>
        <v>https://www.tiktok.com/shop/ph/pdp/1729398934996749394</v>
      </c>
      <c r="D8" s="4" t="str">
        <f>IFERROR(__xludf.DUMMYFUNCTION("""COMPUTED_VALUE"""),"LD_CS_BC_007")</f>
        <v>LD_CS_BC_007</v>
      </c>
      <c r="E8" s="5" t="str">
        <f>IFERROR(__xludf.DUMMYFUNCTION("""COMPUTED_VALUE"""),"MILKY GLUTA WHITE BAR SOAP #milkysoap #soap")</f>
        <v>MILKY GLUTA WHITE BAR SOAP #milkysoap #soap</v>
      </c>
      <c r="F8" s="3"/>
      <c r="G8" s="3"/>
      <c r="K8" s="8"/>
      <c r="L8" s="8"/>
      <c r="M8" s="8"/>
      <c r="N8" s="8"/>
      <c r="O8" s="8"/>
      <c r="P8" s="8"/>
    </row>
    <row r="9" ht="38.25" spans="1:16">
      <c r="A9" s="4" t="str">
        <f>IFERROR(__xludf.DUMMYFUNCTION("""COMPUTED_VALUE"""),"20/9")</f>
        <v>20/9</v>
      </c>
      <c r="B9" s="5" t="str">
        <f>IFERROR(__xludf.DUMMYFUNCTION("""COMPUTED_VALUE"""),"Abonne Whitening Milk Lotion from Thailand 500")</f>
        <v>Abonne Whitening Milk Lotion from Thailand 500</v>
      </c>
      <c r="C9" s="6" t="str">
        <f>IFERROR(__xludf.DUMMYFUNCTION("""COMPUTED_VALUE"""),"https://www.tiktok.com/shop/ph/pdp/1729387127189703767")</f>
        <v>https://www.tiktok.com/shop/ph/pdp/1729387127189703767</v>
      </c>
      <c r="D9" s="4" t="str">
        <f>IFERROR(__xludf.DUMMYFUNCTION("""COMPUTED_VALUE"""),"LD_CS_BC_011")</f>
        <v>LD_CS_BC_011</v>
      </c>
      <c r="E9" s="5" t="str">
        <f>IFERROR(__xludf.DUMMYFUNCTION("""COMPUTED_VALUE"""),"Abonne Whitening Milk Lotion #abonne #lotion")</f>
        <v>Abonne Whitening Milk Lotion #abonne #lotion</v>
      </c>
      <c r="F9" s="3"/>
      <c r="G9" s="3"/>
      <c r="K9" s="8"/>
      <c r="L9" s="8"/>
      <c r="M9" s="8"/>
      <c r="N9" s="8"/>
      <c r="O9" s="8"/>
      <c r="P9" s="8"/>
    </row>
    <row r="10" ht="63.75" spans="1:16">
      <c r="A10" s="4" t="str">
        <f>IFERROR(__xludf.DUMMYFUNCTION("""COMPUTED_VALUE"""),"20/9")</f>
        <v>20/9</v>
      </c>
      <c r="B10" s="5" t="str">
        <f>IFERROR(__xludf.DUMMYFUNCTION("""COMPUTED_VALUE"""),"Terra Pafe Aroma Balm | Massage Balm - Natural, Fresh, Soothing, Convenient to Carry, 7g, 1 - 2 pieces")</f>
        <v>Terra Pafe Aroma Balm | Massage Balm - Natural, Fresh, Soothing, Convenient to Carry, 7g, 1 - 2 pieces</v>
      </c>
      <c r="C10" s="6" t="str">
        <f>IFERROR(__xludf.DUMMYFUNCTION("""COMPUTED_VALUE"""),"https://www.tiktok.com/shop/ph/pdp/1730201734699256176")</f>
        <v>https://www.tiktok.com/shop/ph/pdp/1730201734699256176</v>
      </c>
      <c r="D10" s="4" t="str">
        <f>IFERROR(__xludf.DUMMYFUNCTION("""COMPUTED_VALUE"""),"LD_CS_BC_012")</f>
        <v>LD_CS_BC_012</v>
      </c>
      <c r="E10" s="5" t="str">
        <f>IFERROR(__xludf.DUMMYFUNCTION("""COMPUTED_VALUE"""),"Massage Balm #massagebalm #massage")</f>
        <v>Massage Balm #massagebalm #massage</v>
      </c>
      <c r="F10" s="3"/>
      <c r="G10" s="3"/>
      <c r="K10" s="8"/>
      <c r="L10" s="8"/>
      <c r="M10" s="8"/>
      <c r="N10" s="8"/>
      <c r="O10" s="8"/>
      <c r="P10" s="8"/>
    </row>
    <row r="11" ht="98.25" customHeight="1" spans="1:16">
      <c r="A11" s="4" t="str">
        <f>IFERROR(__xludf.DUMMYFUNCTION("""COMPUTED_VALUE"""),"29/08/25")</f>
        <v>29/08/25</v>
      </c>
      <c r="B11" s="5" t="str">
        <f>IFERROR(__xludf.DUMMYFUNCTION("""COMPUTED_VALUE"""),"Klued - Ceramide Daily Barrier Hybrid Sunscreen SPF50+ PA++++ ")</f>
        <v>Klued - Ceramide Daily Barrier Hybrid Sunscreen SPF50+ PA++++ </v>
      </c>
      <c r="C11" s="6" t="str">
        <f>IFERROR(__xludf.DUMMYFUNCTION("""COMPUTED_VALUE"""),"https://vt.tiktok.com/ZSA9H5Jhp/")</f>
        <v>https://vt.tiktok.com/ZSA9H5Jhp/</v>
      </c>
      <c r="D11" s="4" t="str">
        <f>IFERROR(__xludf.DUMMYFUNCTION("""COMPUTED_VALUE"""),"LD_CS_FC_002")</f>
        <v>LD_CS_FC_002</v>
      </c>
      <c r="E11" s="5" t="str">
        <f>IFERROR(__xludf.DUMMYFUNCTION("""COMPUTED_VALUE"""),"Klued Sunscreen #klued #sunscreen")</f>
        <v>Klued Sunscreen #klued #sunscreen</v>
      </c>
      <c r="F11" s="3"/>
      <c r="G11" s="3"/>
      <c r="K11" s="8"/>
      <c r="L11" s="8"/>
      <c r="M11" s="8"/>
      <c r="N11" s="8"/>
      <c r="O11" s="8"/>
      <c r="P11" s="8"/>
    </row>
    <row r="12" ht="63.75" spans="1:16">
      <c r="A12" s="4" t="str">
        <f>IFERROR(__xludf.DUMMYFUNCTION("""COMPUTED_VALUE"""),"29/08/25")</f>
        <v>29/08/25</v>
      </c>
      <c r="B12" s="5" t="str">
        <f>IFERROR(__xludf.DUMMYFUNCTION("""COMPUTED_VALUE"""),"ShaHeen Beauty TITATHIONE Spf 50/ PA+++ Hybrid")</f>
        <v>ShaHeen Beauty TITATHIONE Spf 50/ PA+++ Hybrid</v>
      </c>
      <c r="C12" s="6" t="str">
        <f>IFERROR(__xludf.DUMMYFUNCTION("""COMPUTED_VALUE"""),"https://vt.tiktok.com/ZSA99jTHC/")</f>
        <v>https://vt.tiktok.com/ZSA99jTHC/</v>
      </c>
      <c r="D12" s="4" t="str">
        <f>IFERROR(__xludf.DUMMYFUNCTION("""COMPUTED_VALUE"""),"LD_CS_FC_003")</f>
        <v>LD_CS_FC_003</v>
      </c>
      <c r="E12" s="5" t="str">
        <f>IFERROR(__xludf.DUMMYFUNCTION("""COMPUTED_VALUE"""),"ShaHeen Beauty Sunscreen #sunscreen #titathionsunscreen")</f>
        <v>ShaHeen Beauty Sunscreen #sunscreen #titathionsunscreen</v>
      </c>
      <c r="F12" s="3"/>
      <c r="G12" s="3"/>
      <c r="K12" s="8"/>
      <c r="L12" s="8"/>
      <c r="M12" s="8"/>
      <c r="N12" s="8"/>
      <c r="O12" s="8"/>
      <c r="P12" s="8"/>
    </row>
    <row r="13" ht="111" customHeight="1" spans="1:16">
      <c r="A13" s="4" t="str">
        <f>IFERROR(__xludf.DUMMYFUNCTION("""COMPUTED_VALUE"""),"29/08/25")</f>
        <v>29/08/25</v>
      </c>
      <c r="B13" s="5" t="str">
        <f>IFERROR(__xludf.DUMMYFUNCTION("""COMPUTED_VALUE"""),"Shawill Sunscreen For Face SPF 50 High Sun Protection Waterproof Sweatproof")</f>
        <v>Shawill Sunscreen For Face SPF 50 High Sun Protection Waterproof Sweatproof</v>
      </c>
      <c r="C13" s="6" t="str">
        <f>IFERROR(__xludf.DUMMYFUNCTION("""COMPUTED_VALUE"""),"https://vt.tiktok.com/ZSA99Q3Vu/")</f>
        <v>https://vt.tiktok.com/ZSA99Q3Vu/</v>
      </c>
      <c r="D13" s="4" t="str">
        <f>IFERROR(__xludf.DUMMYFUNCTION("""COMPUTED_VALUE"""),"LD_CS_FC_004")</f>
        <v>LD_CS_FC_004</v>
      </c>
      <c r="E13" s="5" t="str">
        <f>IFERROR(__xludf.DUMMYFUNCTION("""COMPUTED_VALUE"""),"Shawill Sunscreen #shawill #sunscreen")</f>
        <v>Shawill Sunscreen #shawill #sunscreen</v>
      </c>
      <c r="F13" s="3"/>
      <c r="G13" s="3"/>
      <c r="K13" s="8"/>
      <c r="L13" s="8"/>
      <c r="M13" s="8"/>
      <c r="N13" s="8"/>
      <c r="O13" s="8"/>
      <c r="P13" s="8"/>
    </row>
    <row r="14" ht="105.75" customHeight="1" spans="1:16">
      <c r="A14" s="4" t="str">
        <f>IFERROR(__xludf.DUMMYFUNCTION("""COMPUTED_VALUE"""),"29/08/25")</f>
        <v>29/08/25</v>
      </c>
      <c r="B14" s="5" t="str">
        <f>IFERROR(__xludf.DUMMYFUNCTION("""COMPUTED_VALUE"""),"DW Matte /UVB Sunscreen 19g")</f>
        <v>DW Matte /UVB Sunscreen 19g</v>
      </c>
      <c r="C14" s="6" t="str">
        <f>IFERROR(__xludf.DUMMYFUNCTION("""COMPUTED_VALUE"""),"https://vt.tiktok.com/ZSA993xr7/")</f>
        <v>https://vt.tiktok.com/ZSA993xr7/</v>
      </c>
      <c r="D14" s="4" t="str">
        <f>IFERROR(__xludf.DUMMYFUNCTION("""COMPUTED_VALUE"""),"LD_CS_FC_005")</f>
        <v>LD_CS_FC_005</v>
      </c>
      <c r="E14" s="5" t="str">
        <f>IFERROR(__xludf.DUMMYFUNCTION("""COMPUTED_VALUE"""),"DW Matte Sunscreen #DW #sunscreen")</f>
        <v>DW Matte Sunscreen #DW #sunscreen</v>
      </c>
      <c r="F14" s="3"/>
      <c r="G14" s="3"/>
      <c r="K14" s="8"/>
      <c r="L14" s="8"/>
      <c r="M14" s="8"/>
      <c r="N14" s="8"/>
      <c r="O14" s="8"/>
      <c r="P14" s="8"/>
    </row>
    <row r="15" ht="111" customHeight="1" spans="1:16">
      <c r="A15" s="4" t="str">
        <f>IFERROR(__xludf.DUMMYFUNCTION("""COMPUTED_VALUE"""),"29/08/25")</f>
        <v>29/08/25</v>
      </c>
      <c r="B15" s="5" t="str">
        <f>IFERROR(__xludf.DUMMYFUNCTION("""COMPUTED_VALUE"""),"Human Nature Aloe Face Mist 50ml (No Harmful Chemicals)")</f>
        <v>Human Nature Aloe Face Mist 50ml (No Harmful Chemicals)</v>
      </c>
      <c r="C15" s="6" t="str">
        <f>IFERROR(__xludf.DUMMYFUNCTION("""COMPUTED_VALUE"""),"https://vt.tiktok.com/ZSA9QdnAv/")</f>
        <v>https://vt.tiktok.com/ZSA9QdnAv/</v>
      </c>
      <c r="D15" s="4" t="str">
        <f>IFERROR(__xludf.DUMMYFUNCTION("""COMPUTED_VALUE"""),"LD_CS_FC_006")</f>
        <v>LD_CS_FC_006</v>
      </c>
      <c r="E15" s="5" t="str">
        <f>IFERROR(__xludf.DUMMYFUNCTION("""COMPUTED_VALUE"""),"Human Nature Aloe Face Mist #humannature #facemist")</f>
        <v>Human Nature Aloe Face Mist #humannature #facemist</v>
      </c>
      <c r="F15" s="3"/>
      <c r="G15" s="3"/>
      <c r="K15" s="8"/>
      <c r="L15" s="8"/>
      <c r="M15" s="8"/>
      <c r="N15" s="8"/>
      <c r="O15" s="8"/>
      <c r="P15" s="8"/>
    </row>
    <row r="16" ht="63.75" spans="1:16">
      <c r="A16" s="4" t="str">
        <f>IFERROR(__xludf.DUMMYFUNCTION("""COMPUTED_VALUE"""),"29/08/25")</f>
        <v>29/08/25</v>
      </c>
      <c r="B16" s="5" t="str">
        <f>IFERROR(__xludf.DUMMYFUNCTION("""COMPUTED_VALUE"""),"Human Nature Hyaluronic Face Mist 50ml (No Harmful Chemicals)")</f>
        <v>Human Nature Hyaluronic Face Mist 50ml (No Harmful Chemicals)</v>
      </c>
      <c r="C16" s="6" t="str">
        <f>IFERROR(__xludf.DUMMYFUNCTION("""COMPUTED_VALUE"""),"https://vt.tiktok.com/ZSA9QMaB5/")</f>
        <v>https://vt.tiktok.com/ZSA9QMaB5/</v>
      </c>
      <c r="D16" s="4" t="str">
        <f>IFERROR(__xludf.DUMMYFUNCTION("""COMPUTED_VALUE"""),"LD_CS_FC_007")</f>
        <v>LD_CS_FC_007</v>
      </c>
      <c r="E16" s="5" t="str">
        <f>IFERROR(__xludf.DUMMYFUNCTION("""COMPUTED_VALUE"""),"Human Nature Hyaluronic Face Mist #humannature #facemist")</f>
        <v>Human Nature Hyaluronic Face Mist #humannature #facemist</v>
      </c>
      <c r="F16" s="3"/>
      <c r="G16" s="3"/>
      <c r="K16" s="8"/>
      <c r="L16" s="8"/>
      <c r="M16" s="8"/>
      <c r="N16" s="8"/>
      <c r="O16" s="8"/>
      <c r="P16" s="8"/>
    </row>
    <row r="17" ht="63.75" spans="1:16">
      <c r="A17" s="4" t="str">
        <f>IFERROR(__xludf.DUMMYFUNCTION("""COMPUTED_VALUE"""),"29/08/25")</f>
        <v>29/08/25</v>
      </c>
      <c r="B17" s="5" t="str">
        <f>IFERROR(__xludf.DUMMYFUNCTION("""COMPUTED_VALUE"""),"GLO21 BUY 1 GET 1 SPF50+PA+++ waterproof UV Protection High Power Sunscreen Spray")</f>
        <v>GLO21 BUY 1 GET 1 SPF50+PA+++ waterproof UV Protection High Power Sunscreen Spray</v>
      </c>
      <c r="C17" s="6" t="str">
        <f>IFERROR(__xludf.DUMMYFUNCTION("""COMPUTED_VALUE"""),"
https://vt.tiktok.com/ZSHW3dLJ99JRP-CDjyg/")</f>
        <v>
https://vt.tiktok.com/ZSHW3dLJ99JRP-CDjyg/</v>
      </c>
      <c r="D17" s="4" t="str">
        <f>IFERROR(__xludf.DUMMYFUNCTION("""COMPUTED_VALUE"""),"LD_CS_FC_008")</f>
        <v>LD_CS_FC_008</v>
      </c>
      <c r="E17" s="5" t="str">
        <f>IFERROR(__xludf.DUMMYFUNCTION("""COMPUTED_VALUE"""),"GLO21 Sunscreen Spray #glo21 #sunscreenspray")</f>
        <v>GLO21 Sunscreen Spray #glo21 #sunscreenspray</v>
      </c>
      <c r="F17" s="3"/>
      <c r="G17" s="3"/>
      <c r="K17" s="8"/>
      <c r="L17" s="8"/>
      <c r="M17" s="8"/>
      <c r="N17" s="8"/>
      <c r="O17" s="8"/>
      <c r="P17" s="8"/>
    </row>
    <row r="18" ht="63.75" spans="1:16">
      <c r="A18" s="4" t="str">
        <f>IFERROR(__xludf.DUMMYFUNCTION("""COMPUTED_VALUE"""),"29/8")</f>
        <v>29/8</v>
      </c>
      <c r="B18" s="5" t="str">
        <f>IFERROR(__xludf.DUMMYFUNCTION("""COMPUTED_VALUE"""),"[Buy 1 Take 2] 500ml Vitamin C Toner + 30ml Niacinamide Whitening Hyaluronic Acid Serum + 60ml")</f>
        <v>[Buy 1 Take 2] 500ml Vitamin C Toner + 30ml Niacinamide Whitening Hyaluronic Acid Serum + 60ml</v>
      </c>
      <c r="C18" s="6" t="str">
        <f>IFERROR(__xludf.DUMMYFUNCTION("""COMPUTED_VALUE"""),"https://www.tiktok.com/shop/ph/pdp/1731463674154091659")</f>
        <v>https://www.tiktok.com/shop/ph/pdp/1731463674154091659</v>
      </c>
      <c r="D18" s="4" t="str">
        <f>IFERROR(__xludf.DUMMYFUNCTION("""COMPUTED_VALUE"""),"LD_CS_FC_009")</f>
        <v>LD_CS_FC_009</v>
      </c>
      <c r="E18" s="5" t="str">
        <f>IFERROR(__xludf.DUMMYFUNCTION("""COMPUTED_VALUE"""),"Skin care set #skincare #toner")</f>
        <v>Skin care set #skincare #toner</v>
      </c>
      <c r="F18" s="3"/>
      <c r="G18" s="3"/>
      <c r="K18" s="8"/>
      <c r="L18" s="8"/>
      <c r="M18" s="8"/>
      <c r="N18" s="8"/>
      <c r="O18" s="8"/>
      <c r="P18" s="8"/>
    </row>
    <row r="19" ht="60" customHeight="1" spans="1:16">
      <c r="A19" s="4" t="str">
        <f>IFERROR(__xludf.DUMMYFUNCTION("""COMPUTED_VALUE"""),"29/08/25")</f>
        <v>29/08/25</v>
      </c>
      <c r="B19" s="5" t="str">
        <f>IFERROR(__xludf.DUMMYFUNCTION("""COMPUTED_VALUE"""),"GLO21 JAPAN YAEZAKURA MUD MASK Deep Clean Whitening Remove Blackhead Anti-Acne Face Skin Care Cherry Blossoms Clay Mask")</f>
        <v>GLO21 JAPAN YAEZAKURA MUD MASK Deep Clean Whitening Remove Blackhead Anti-Acne Face Skin Care Cherry Blossoms Clay Mask</v>
      </c>
      <c r="C19" s="6" t="str">
        <f>IFERROR(__xludf.DUMMYFUNCTION("""COMPUTED_VALUE"""),"https://vt.tiktok.com/ZSH7AWCB7BAd9-zr4Ir/")</f>
        <v>https://vt.tiktok.com/ZSH7AWCB7BAd9-zr4Ir/</v>
      </c>
      <c r="D19" s="4" t="str">
        <f>IFERROR(__xludf.DUMMYFUNCTION("""COMPUTED_VALUE"""),"LD_CS_FC_010")</f>
        <v>LD_CS_FC_010</v>
      </c>
      <c r="E19" s="5" t="str">
        <f>IFERROR(__xludf.DUMMYFUNCTION("""COMPUTED_VALUE"""),"GLO21 JAPAN YAEZAKURA MUD MASK  #glo21 #facemask")</f>
        <v>GLO21 JAPAN YAEZAKURA MUD MASK  #glo21 #facemask</v>
      </c>
      <c r="F19" s="3"/>
      <c r="G19" s="3"/>
      <c r="K19" s="8"/>
      <c r="L19" s="8"/>
      <c r="M19" s="8"/>
      <c r="N19" s="8"/>
      <c r="O19" s="8"/>
      <c r="P19" s="8"/>
    </row>
    <row r="20" ht="107.25" customHeight="1" spans="1:16">
      <c r="A20" s="4" t="str">
        <f>IFERROR(__xludf.DUMMYFUNCTION("""COMPUTED_VALUE"""),"29/8")</f>
        <v>29/8</v>
      </c>
      <c r="B20" s="5" t="str">
        <f>IFERROR(__xludf.DUMMYFUNCTION("""COMPUTED_VALUE"""),"Dermorepubliq 5% Niacinamide + Hyaluronic Acid Sensitive Skin Formula Serum - 30 mL / 15mL")</f>
        <v>Dermorepubliq 5% Niacinamide + Hyaluronic Acid Sensitive Skin Formula Serum - 30 mL / 15mL</v>
      </c>
      <c r="C20" s="6" t="str">
        <f>IFERROR(__xludf.DUMMYFUNCTION("""COMPUTED_VALUE"""),"https://www.tiktok.com/shop/ph/pdp/1729428038081415654")</f>
        <v>https://www.tiktok.com/shop/ph/pdp/1729428038081415654</v>
      </c>
      <c r="D20" s="4" t="str">
        <f>IFERROR(__xludf.DUMMYFUNCTION("""COMPUTED_VALUE"""),"LD_CS_FC_011")</f>
        <v>LD_CS_FC_011</v>
      </c>
      <c r="E20" s="5" t="str">
        <f>IFERROR(__xludf.DUMMYFUNCTION("""COMPUTED_VALUE"""),"Dermorepubliq Serum #dermorepubliq #serum")</f>
        <v>Dermorepubliq Serum #dermorepubliq #serum</v>
      </c>
      <c r="F20" s="3"/>
      <c r="G20" s="3"/>
      <c r="K20" s="8"/>
      <c r="L20" s="8"/>
      <c r="M20" s="8"/>
      <c r="N20" s="8"/>
      <c r="O20" s="8"/>
      <c r="P20" s="8"/>
    </row>
    <row r="21" ht="51" spans="1:16">
      <c r="A21" s="4" t="str">
        <f>IFERROR(__xludf.DUMMYFUNCTION("""COMPUTED_VALUE"""),"29/8")</f>
        <v>29/8</v>
      </c>
      <c r="B21" s="5" t="str">
        <f>IFERROR(__xludf.DUMMYFUNCTION("""COMPUTED_VALUE"""),"Dermorepubliq Clarifying Gentle Face Wash Niacinamide + Botanical Extracts- 100ml / 50ml")</f>
        <v>Dermorepubliq Clarifying Gentle Face Wash Niacinamide + Botanical Extracts- 100ml / 50ml</v>
      </c>
      <c r="C21" s="6" t="str">
        <f>IFERROR(__xludf.DUMMYFUNCTION("""COMPUTED_VALUE"""),"https://vt.tiktok.com/ZSH7A77bPjwkD-mdPub/")</f>
        <v>https://vt.tiktok.com/ZSH7A77bPjwkD-mdPub/</v>
      </c>
      <c r="D21" s="4" t="str">
        <f>IFERROR(__xludf.DUMMYFUNCTION("""COMPUTED_VALUE"""),"LD_CS_FC_014")</f>
        <v>LD_CS_FC_014</v>
      </c>
      <c r="E21" s="5" t="str">
        <f>IFERROR(__xludf.DUMMYFUNCTION("""COMPUTED_VALUE"""),"Dermorepubliq Face Wash #dermorepubliq #facewash")</f>
        <v>Dermorepubliq Face Wash #dermorepubliq #facewash</v>
      </c>
      <c r="F21" s="3"/>
      <c r="G21" s="3"/>
      <c r="K21" s="8"/>
      <c r="L21" s="8"/>
      <c r="M21" s="8"/>
      <c r="N21" s="8"/>
      <c r="O21" s="8"/>
      <c r="P21" s="8"/>
    </row>
    <row r="22" ht="51" spans="1:16">
      <c r="A22" s="4" t="str">
        <f>IFERROR(__xludf.DUMMYFUNCTION("""COMPUTED_VALUE"""),"29/8")</f>
        <v>29/8</v>
      </c>
      <c r="B22" s="5" t="str">
        <f>IFERROR(__xludf.DUMMYFUNCTION("""COMPUTED_VALUE"""),"Dermorepubliq 7% Glycolic Acid (AHA) Skin Rene")</f>
        <v>Dermorepubliq 7% Glycolic Acid (AHA) Skin Rene</v>
      </c>
      <c r="C22" s="6" t="str">
        <f>IFERROR(__xludf.DUMMYFUNCTION("""COMPUTED_VALUE"""),"https://vt.tiktok.com/ZSH7AvpyUtKjK-EPX27/")</f>
        <v>https://vt.tiktok.com/ZSH7AvpyUtKjK-EPX27/</v>
      </c>
      <c r="D22" s="4" t="str">
        <f>IFERROR(__xludf.DUMMYFUNCTION("""COMPUTED_VALUE"""),"LD_CS_FC_015")</f>
        <v>LD_CS_FC_015</v>
      </c>
      <c r="E22" s="5" t="str">
        <f>IFERROR(__xludf.DUMMYFUNCTION("""COMPUTED_VALUE"""),"Dermorepubliq Toner #dermorepubliq #toner")</f>
        <v>Dermorepubliq Toner #dermorepubliq #toner</v>
      </c>
      <c r="F22" s="3"/>
      <c r="G22" s="3"/>
      <c r="K22" s="8"/>
      <c r="L22" s="8"/>
      <c r="M22" s="8"/>
      <c r="N22" s="8"/>
      <c r="O22" s="8"/>
      <c r="P22" s="8"/>
    </row>
    <row r="23" ht="63.75" spans="1:16">
      <c r="A23" s="4" t="str">
        <f>IFERROR(__xludf.DUMMYFUNCTION("""COMPUTED_VALUE"""),"29/8")</f>
        <v>29/8</v>
      </c>
      <c r="B23" s="5" t="str">
        <f>IFERROR(__xludf.DUMMYFUNCTION("""COMPUTED_VALUE"""),"The Originote Ceramella Sunscreen SPF 50 PA++")</f>
        <v>The Originote Ceramella Sunscreen SPF 50 PA++</v>
      </c>
      <c r="C23" s="6" t="str">
        <f>IFERROR(__xludf.DUMMYFUNCTION("""COMPUTED_VALUE"""),"https://vt.tiktok.com/ZSH7Av36H5rbD-jIEz0/")</f>
        <v>https://vt.tiktok.com/ZSH7Av36H5rbD-jIEz0/</v>
      </c>
      <c r="D23" s="4" t="str">
        <f>IFERROR(__xludf.DUMMYFUNCTION("""COMPUTED_VALUE"""),"LD_CS_FC_016")</f>
        <v>LD_CS_FC_016</v>
      </c>
      <c r="E23" s="5" t="str">
        <f>IFERROR(__xludf.DUMMYFUNCTION("""COMPUTED_VALUE"""),"The Originote Ceramella Sunscreen #theoriginote #sunscreen")</f>
        <v>The Originote Ceramella Sunscreen #theoriginote #sunscreen</v>
      </c>
      <c r="F23" s="3"/>
      <c r="G23" s="3"/>
      <c r="K23" s="8"/>
      <c r="L23" s="8"/>
      <c r="M23" s="8"/>
      <c r="N23" s="8"/>
      <c r="O23" s="8"/>
      <c r="P23" s="8"/>
    </row>
    <row r="24" ht="113.25" customHeight="1" spans="1:16">
      <c r="A24" s="4" t="str">
        <f>IFERROR(__xludf.DUMMYFUNCTION("""COMPUTED_VALUE"""),"29/08/25")</f>
        <v>29/08/25</v>
      </c>
      <c r="B24" s="5" t="str">
        <f>IFERROR(__xludf.DUMMYFUNCTION("""COMPUTED_VALUE"""),"Skuee Amino Acid Cleansing Water Vitamin C Facial Cleanser")</f>
        <v>Skuee Amino Acid Cleansing Water Vitamin C Facial Cleanser</v>
      </c>
      <c r="C24" s="6" t="str">
        <f>IFERROR(__xludf.DUMMYFUNCTION("""COMPUTED_VALUE"""),"https://vt.tiktok.com/ZSAxRkB3v/")</f>
        <v>https://vt.tiktok.com/ZSAxRkB3v/</v>
      </c>
      <c r="D24" s="4" t="str">
        <f>IFERROR(__xludf.DUMMYFUNCTION("""COMPUTED_VALUE"""),"LD_CS_FC_017")</f>
        <v>LD_CS_FC_017</v>
      </c>
      <c r="E24" s="5" t="str">
        <f>IFERROR(__xludf.DUMMYFUNCTION("""COMPUTED_VALUE"""),"Skuee Amino Acid Cleansing Water #skuee #cleansingwater")</f>
        <v>Skuee Amino Acid Cleansing Water #skuee #cleansingwater</v>
      </c>
      <c r="F24" s="3"/>
      <c r="G24" s="3"/>
      <c r="K24" s="8"/>
      <c r="L24" s="8"/>
      <c r="M24" s="8"/>
      <c r="N24" s="8"/>
      <c r="O24" s="8"/>
      <c r="P24" s="8"/>
    </row>
    <row r="25" ht="38.25" spans="1:16">
      <c r="A25" s="4" t="str">
        <f>IFERROR(__xludf.DUMMYFUNCTION("""COMPUTED_VALUE"""),"29/8")</f>
        <v>29/8</v>
      </c>
      <c r="B25" s="5" t="str">
        <f>IFERROR(__xludf.DUMMYFUNCTION("""COMPUTED_VALUE"""),"Collagen Night Wrapping Mask Peel Off Deep Cle")</f>
        <v>Collagen Night Wrapping Mask Peel Off Deep Cle</v>
      </c>
      <c r="C25" s="6" t="str">
        <f>IFERROR(__xludf.DUMMYFUNCTION("""COMPUTED_VALUE"""),"https://vt.tiktok.com/ZSH7AcN5sYKRP-bRBvI/")</f>
        <v>https://vt.tiktok.com/ZSH7AcN5sYKRP-bRBvI/</v>
      </c>
      <c r="D25" s="4" t="str">
        <f>IFERROR(__xludf.DUMMYFUNCTION("""COMPUTED_VALUE"""),"LD_CS_FC_018")</f>
        <v>LD_CS_FC_018</v>
      </c>
      <c r="E25" s="5"/>
      <c r="F25" s="3"/>
      <c r="G25" s="3"/>
      <c r="K25" s="8"/>
      <c r="L25" s="8"/>
      <c r="M25" s="8"/>
      <c r="N25" s="8"/>
      <c r="O25" s="8"/>
      <c r="P25" s="8"/>
    </row>
    <row r="26" ht="38.25" spans="1:16">
      <c r="A26" s="4" t="str">
        <f>IFERROR(__xludf.DUMMYFUNCTION("""COMPUTED_VALUE"""),"29/8")</f>
        <v>29/8</v>
      </c>
      <c r="B26" s="5" t="str">
        <f>IFERROR(__xludf.DUMMYFUNCTION("""COMPUTED_VALUE"""),"Dove Radiant + Care Serum Bar Niacinamide and ")</f>
        <v>Dove Radiant + Care Serum Bar Niacinamide and </v>
      </c>
      <c r="C26" s="6" t="str">
        <f>IFERROR(__xludf.DUMMYFUNCTION("""COMPUTED_VALUE"""),"https://vt.tiktok.com/ZSH7ATmLPK8gs-BGldx/")</f>
        <v>https://vt.tiktok.com/ZSH7ATmLPK8gs-BGldx/</v>
      </c>
      <c r="D26" s="4" t="str">
        <f>IFERROR(__xludf.DUMMYFUNCTION("""COMPUTED_VALUE"""),"LD_CS_FC_023")</f>
        <v>LD_CS_FC_023</v>
      </c>
      <c r="E26" s="5" t="str">
        <f>IFERROR(__xludf.DUMMYFUNCTION("""COMPUTED_VALUE"""),"Dove Serum Bar #dove #serumbar")</f>
        <v>Dove Serum Bar #dove #serumbar</v>
      </c>
      <c r="F26" s="3"/>
      <c r="G26" s="3"/>
      <c r="K26" s="8"/>
      <c r="L26" s="8"/>
      <c r="M26" s="8"/>
      <c r="N26" s="8"/>
      <c r="O26" s="8"/>
      <c r="P26" s="8"/>
    </row>
    <row r="27" ht="51" spans="1:16">
      <c r="A27" s="4" t="str">
        <f>IFERROR(__xludf.DUMMYFUNCTION("""COMPUTED_VALUE"""),"29/8")</f>
        <v>29/8</v>
      </c>
      <c r="B27" s="5" t="str">
        <f>IFERROR(__xludf.DUMMYFUNCTION("""COMPUTED_VALUE"""),"Miss Donna Glass skin secret Glow Set (Maintaina")</f>
        <v>Miss Donna Glass skin secret Glow Set (Maintaina</v>
      </c>
      <c r="C27" s="6" t="str">
        <f>IFERROR(__xludf.DUMMYFUNCTION("""COMPUTED_VALUE"""),"
https://vt.tiktok.com/ZSH7ATVDDjv35-dO8Rg/")</f>
        <v>
https://vt.tiktok.com/ZSH7ATVDDjv35-dO8Rg/</v>
      </c>
      <c r="D27" s="4" t="str">
        <f>IFERROR(__xludf.DUMMYFUNCTION("""COMPUTED_VALUE"""),"LD_CS_FC_024")</f>
        <v>LD_CS_FC_024</v>
      </c>
      <c r="E27" s="5" t="str">
        <f>IFERROR(__xludf.DUMMYFUNCTION("""COMPUTED_VALUE"""),"Miss Donna Skincare Set #missdonna #skincareset")</f>
        <v>Miss Donna Skincare Set #missdonna #skincareset</v>
      </c>
      <c r="F27" s="3"/>
      <c r="G27" s="3"/>
      <c r="K27" s="8"/>
      <c r="L27" s="8"/>
      <c r="M27" s="8"/>
      <c r="N27" s="8"/>
      <c r="O27" s="8"/>
      <c r="P27" s="8"/>
    </row>
    <row r="28" ht="102" spans="1:16">
      <c r="A28" s="4" t="str">
        <f>IFERROR(__xludf.DUMMYFUNCTION("""COMPUTED_VALUE"""),"29/8/2025")</f>
        <v>29/8/2025</v>
      </c>
      <c r="B28" s="5" t="str">
        <f>IFERROR(__xludf.DUMMYFUNCTION("""COMPUTED_VALUE"""),"Pimple Patches for Face, Colorful Hydrocolloid Acne Patches, Cute Star Zit Covers for Face, Spot Stickers with Tea Tree, Salicylic Acid &amp; Cica Oil| 4 Sizes (8mm, 10mm, 12mm &amp; 14mm)")</f>
        <v>Pimple Patches for Face, Colorful Hydrocolloid Acne Patches, Cute Star Zit Covers for Face, Spot Stickers with Tea Tree, Salicylic Acid &amp; Cica Oil| 4 Sizes (8mm, 10mm, 12mm &amp; 14mm)</v>
      </c>
      <c r="C28" s="6" t="str">
        <f>IFERROR(__xludf.DUMMYFUNCTION("""COMPUTED_VALUE"""),"https://vt.tiktok.com/ZSH7ATTFKjxsj-89aaC/")</f>
        <v>https://vt.tiktok.com/ZSH7ATTFKjxsj-89aaC/</v>
      </c>
      <c r="D28" s="4" t="str">
        <f>IFERROR(__xludf.DUMMYFUNCTION("""COMPUTED_VALUE"""),"LD_CS_FC_026")</f>
        <v>LD_CS_FC_026</v>
      </c>
      <c r="E28" s="5" t="str">
        <f>IFERROR(__xludf.DUMMYFUNCTION("""COMPUTED_VALUE"""),"Pimple Patches #pimplepatch #pimplecare")</f>
        <v>Pimple Patches #pimplepatch #pimplecare</v>
      </c>
      <c r="F28" s="3"/>
      <c r="G28" s="3"/>
      <c r="K28" s="8"/>
      <c r="L28" s="8"/>
      <c r="M28" s="8"/>
      <c r="N28" s="8"/>
      <c r="O28" s="8"/>
      <c r="P28" s="8"/>
    </row>
    <row r="29" ht="93" customHeight="1" spans="1:16">
      <c r="A29" s="4" t="str">
        <f>IFERROR(__xludf.DUMMYFUNCTION("""COMPUTED_VALUE"""),"29/8/2025")</f>
        <v>29/8/2025</v>
      </c>
      <c r="B29" s="5" t="str">
        <f>IFERROR(__xludf.DUMMYFUNCTION("""COMPUTED_VALUE"""),"LumiCub Cute Hydrocolloid Pimple Patch Acne Patches 90pcs – 3X Absorption, Fast Healing &amp; Invisible Protection beauty")</f>
        <v>LumiCub Cute Hydrocolloid Pimple Patch Acne Patches 90pcs – 3X Absorption, Fast Healing &amp; Invisible Protection beauty</v>
      </c>
      <c r="C29" s="6" t="str">
        <f>IFERROR(__xludf.DUMMYFUNCTION("""COMPUTED_VALUE"""),"https://vt.tiktok.com/ZSH7AwYGojW1a-QQUnl/")</f>
        <v>https://vt.tiktok.com/ZSH7AwYGojW1a-QQUnl/</v>
      </c>
      <c r="D29" s="4" t="str">
        <f>IFERROR(__xludf.DUMMYFUNCTION("""COMPUTED_VALUE"""),"LD_CS_FC_027")</f>
        <v>LD_CS_FC_027</v>
      </c>
      <c r="E29" s="5" t="str">
        <f>IFERROR(__xludf.DUMMYFUNCTION("""COMPUTED_VALUE"""),"LumiCub Cute Hydrocolloid Pimple Patch Acne Patches #pimplepatch #pimplecare")</f>
        <v>LumiCub Cute Hydrocolloid Pimple Patch Acne Patches #pimplepatch #pimplecare</v>
      </c>
      <c r="F29" s="3"/>
      <c r="G29" s="3"/>
      <c r="K29" s="8"/>
      <c r="L29" s="8"/>
      <c r="M29" s="8"/>
      <c r="N29" s="8"/>
      <c r="O29" s="8"/>
      <c r="P29" s="8"/>
    </row>
    <row r="30" ht="89.25" customHeight="1" spans="1:16">
      <c r="A30" s="4" t="str">
        <f>IFERROR(__xludf.DUMMYFUNCTION("""COMPUTED_VALUE"""),"29/8/2025")</f>
        <v>29/8/2025</v>
      </c>
      <c r="B30" s="5" t="str">
        <f>IFERROR(__xludf.DUMMYFUNCTION("""COMPUTED_VALUE"""),"600PCS Hydrocolloid Colorful Cartoon Acne Patch Gentle Non Irritating Invisible Acne Pimple Care Stickers")</f>
        <v>600PCS Hydrocolloid Colorful Cartoon Acne Patch Gentle Non Irritating Invisible Acne Pimple Care Stickers</v>
      </c>
      <c r="C30" s="6" t="str">
        <f>IFERROR(__xludf.DUMMYFUNCTION("""COMPUTED_VALUE"""),"https://vt.tiktok.com/ZSH7AwfXPnFK6-054ku/")</f>
        <v>https://vt.tiktok.com/ZSH7AwfXPnFK6-054ku/</v>
      </c>
      <c r="D30" s="4" t="str">
        <f>IFERROR(__xludf.DUMMYFUNCTION("""COMPUTED_VALUE"""),"LD_CS_FC_028")</f>
        <v>LD_CS_FC_028</v>
      </c>
      <c r="E30" s="5" t="str">
        <f>IFERROR(__xludf.DUMMYFUNCTION("""COMPUTED_VALUE"""),"Hydrocolloid Colorful Cartoon Acne Patch #pimplepatch #pimplecare")</f>
        <v>Hydrocolloid Colorful Cartoon Acne Patch #pimplepatch #pimplecare</v>
      </c>
      <c r="F30" s="3"/>
      <c r="G30" s="3"/>
      <c r="K30" s="8"/>
      <c r="L30" s="8"/>
      <c r="M30" s="8"/>
      <c r="N30" s="8"/>
      <c r="O30" s="8"/>
      <c r="P30" s="8"/>
    </row>
    <row r="31" ht="102.75" customHeight="1" spans="1:16">
      <c r="A31" s="4" t="str">
        <f>IFERROR(__xludf.DUMMYFUNCTION("""COMPUTED_VALUE"""),"29/8/2025")</f>
        <v>29/8/2025</v>
      </c>
      <c r="B31" s="5" t="str">
        <f>IFERROR(__xludf.DUMMYFUNCTION("""COMPUTED_VALUE"""),"SEOUL SECRETS NIACINAMIDE SOAP 20X Whiten")</f>
        <v>SEOUL SECRETS NIACINAMIDE SOAP 20X Whiten</v>
      </c>
      <c r="C31" s="6" t="str">
        <f>IFERROR(__xludf.DUMMYFUNCTION("""COMPUTED_VALUE"""),"https://vt.tiktok.com/ZSH7AwqjYW8Jm-P6Wy6/")</f>
        <v>https://vt.tiktok.com/ZSH7AwqjYW8Jm-P6Wy6/</v>
      </c>
      <c r="D31" s="4" t="str">
        <f>IFERROR(__xludf.DUMMYFUNCTION("""COMPUTED_VALUE"""),"LD_CS_FC_030")</f>
        <v>LD_CS_FC_030</v>
      </c>
      <c r="E31" s="5" t="str">
        <f>IFERROR(__xludf.DUMMYFUNCTION("""COMPUTED_VALUE"""),"SEOUL SECRETS NIACINAMIDE SOAP #seoulscrets #soap")</f>
        <v>SEOUL SECRETS NIACINAMIDE SOAP #seoulscrets #soap</v>
      </c>
      <c r="F31" s="3"/>
      <c r="G31" s="3"/>
      <c r="K31" s="8"/>
      <c r="L31" s="8"/>
      <c r="M31" s="8"/>
      <c r="N31" s="8"/>
      <c r="O31" s="8"/>
      <c r="P31" s="8"/>
    </row>
    <row r="32" ht="97.5" customHeight="1" spans="1:16">
      <c r="A32" s="4" t="str">
        <f>IFERROR(__xludf.DUMMYFUNCTION("""COMPUTED_VALUE"""),"29/8")</f>
        <v>29/8</v>
      </c>
      <c r="B32" s="5" t="str">
        <f>IFERROR(__xludf.DUMMYFUNCTION("""COMPUTED_VALUE"""),"SKINEVER Salicylic Acid Refreshing Scrub Cleanser")</f>
        <v>SKINEVER Salicylic Acid Refreshing Scrub Cleanser</v>
      </c>
      <c r="C32" s="6" t="str">
        <f>IFERROR(__xludf.DUMMYFUNCTION("""COMPUTED_VALUE"""),"https://vt.tiktok.com/ZSH7AwvGoap83-OHOtt/")</f>
        <v>https://vt.tiktok.com/ZSH7AwvGoap83-OHOtt/</v>
      </c>
      <c r="D32" s="4" t="str">
        <f>IFERROR(__xludf.DUMMYFUNCTION("""COMPUTED_VALUE"""),"LD_CS_FC_032")</f>
        <v>LD_CS_FC_032</v>
      </c>
      <c r="E32" s="5" t="str">
        <f>IFERROR(__xludf.DUMMYFUNCTION("""COMPUTED_VALUE"""),"SKINEVER Scrub Cleanser #skinever #scrubcleanser")</f>
        <v>SKINEVER Scrub Cleanser #skinever #scrubcleanser</v>
      </c>
      <c r="F32" s="3"/>
      <c r="G32" s="3"/>
      <c r="K32" s="8"/>
      <c r="L32" s="8"/>
      <c r="M32" s="8"/>
      <c r="N32" s="8"/>
      <c r="O32" s="8"/>
      <c r="P32" s="8"/>
    </row>
    <row r="33" ht="38.25" spans="1:16">
      <c r="A33" s="4" t="str">
        <f>IFERROR(__xludf.DUMMYFUNCTION("""COMPUTED_VALUE"""),"29/8")</f>
        <v>29/8</v>
      </c>
      <c r="B33" s="5" t="str">
        <f>IFERROR(__xludf.DUMMYFUNCTION("""COMPUTED_VALUE"""),"Buy 1 Take 1 Green Tea Mask Stick Remove Black")</f>
        <v>Buy 1 Take 1 Green Tea Mask Stick Remove Black</v>
      </c>
      <c r="C33" s="6" t="str">
        <f>IFERROR(__xludf.DUMMYFUNCTION("""COMPUTED_VALUE"""),"https://vt.tiktok.com/ZSH7AKJ5317Wk-8YSKO/")</f>
        <v>https://vt.tiktok.com/ZSH7AKJ5317Wk-8YSKO/</v>
      </c>
      <c r="D33" s="4" t="str">
        <f>IFERROR(__xludf.DUMMYFUNCTION("""COMPUTED_VALUE"""),"LD_CS_FC_033")</f>
        <v>LD_CS_FC_033</v>
      </c>
      <c r="E33" s="5" t="str">
        <f>IFERROR(__xludf.DUMMYFUNCTION("""COMPUTED_VALUE"""),"Green Tea Mask Stick #maskstick #facemask")</f>
        <v>Green Tea Mask Stick #maskstick #facemask</v>
      </c>
      <c r="F33" s="3"/>
      <c r="G33" s="3"/>
      <c r="K33" s="8"/>
      <c r="L33" s="8"/>
      <c r="M33" s="8"/>
      <c r="N33" s="8"/>
      <c r="O33" s="8"/>
      <c r="P33" s="8"/>
    </row>
    <row r="34" ht="38.25" spans="1:16">
      <c r="A34" s="4" t="str">
        <f>IFERROR(__xludf.DUMMYFUNCTION("""COMPUTED_VALUE"""),"29/8")</f>
        <v>29/8</v>
      </c>
      <c r="B34" s="5" t="str">
        <f>IFERROR(__xludf.DUMMYFUNCTION("""COMPUTED_VALUE"""),"BUY 1 TAKE 1 Pink Clay Mask Stick Mugwort Clay")</f>
        <v>BUY 1 TAKE 1 Pink Clay Mask Stick Mugwort Clay</v>
      </c>
      <c r="C34" s="6" t="str">
        <f>IFERROR(__xludf.DUMMYFUNCTION("""COMPUTED_VALUE"""),"https://vt.tiktok.com/ZSH7AKvf1KLTT-F5uhh/")</f>
        <v>https://vt.tiktok.com/ZSH7AKvf1KLTT-F5uhh/</v>
      </c>
      <c r="D34" s="4" t="str">
        <f>IFERROR(__xludf.DUMMYFUNCTION("""COMPUTED_VALUE"""),"LD_CS_FC_035")</f>
        <v>LD_CS_FC_035</v>
      </c>
      <c r="E34" s="5" t="str">
        <f>IFERROR(__xludf.DUMMYFUNCTION("""COMPUTED_VALUE"""),"Mask Stick #maskstick #facemask")</f>
        <v>Mask Stick #maskstick #facemask</v>
      </c>
      <c r="F34" s="3"/>
      <c r="G34" s="3"/>
      <c r="K34" s="8"/>
      <c r="L34" s="8"/>
      <c r="M34" s="8"/>
      <c r="N34" s="8"/>
      <c r="O34" s="8"/>
      <c r="P34" s="8"/>
    </row>
    <row r="35" ht="63.75" spans="1:16">
      <c r="A35" s="4" t="str">
        <f>IFERROR(__xludf.DUMMYFUNCTION("""COMPUTED_VALUE"""),"29/8")</f>
        <v>29/8</v>
      </c>
      <c r="B35" s="5" t="str">
        <f>IFERROR(__xludf.DUMMYFUNCTION("""COMPUTED_VALUE"""),"NIACINAMIDE Pure Serum Face and Body Moistur")</f>
        <v>NIACINAMIDE Pure Serum Face and Body Moistur</v>
      </c>
      <c r="C35" s="6" t="str">
        <f>IFERROR(__xludf.DUMMYFUNCTION("""COMPUTED_VALUE"""),"https://vt.tiktok.com/ZSH7AEkJvVTYn-hoiPc/")</f>
        <v>https://vt.tiktok.com/ZSH7AEkJvVTYn-hoiPc/</v>
      </c>
      <c r="D35" s="4" t="str">
        <f>IFERROR(__xludf.DUMMYFUNCTION("""COMPUTED_VALUE"""),"LD_CS_FC_036")</f>
        <v>LD_CS_FC_036</v>
      </c>
      <c r="E35" s="5" t="str">
        <f>IFERROR(__xludf.DUMMYFUNCTION("""COMPUTED_VALUE"""),"NIACINAMIDE Pure Serum Face and Body #bodyserum #faceserum")</f>
        <v>NIACINAMIDE Pure Serum Face and Body #bodyserum #faceserum</v>
      </c>
      <c r="F35" s="3"/>
      <c r="G35" s="3"/>
      <c r="K35" s="8"/>
      <c r="L35" s="8"/>
      <c r="M35" s="8"/>
      <c r="N35" s="8"/>
      <c r="O35" s="8"/>
      <c r="P35" s="8"/>
    </row>
    <row r="36" ht="99" customHeight="1" spans="1:16">
      <c r="A36" s="4" t="str">
        <f>IFERROR(__xludf.DUMMYFUNCTION("""COMPUTED_VALUE"""),"3/9")</f>
        <v>3/9</v>
      </c>
      <c r="B36" s="5" t="str">
        <f>IFERROR(__xludf.DUMMYFUNCTION("""COMPUTED_VALUE"""),"【TOP】Dr. Leo Acne Drying Lotion 10ml Helps al")</f>
        <v>【TOP】Dr. Leo Acne Drying Lotion 10ml Helps al</v>
      </c>
      <c r="C36" s="6" t="str">
        <f>IFERROR(__xludf.DUMMYFUNCTION("""COMPUTED_VALUE"""),"https://vt.tiktok.com/ZSH7AECaoF3bA-D9erm/")</f>
        <v>https://vt.tiktok.com/ZSH7AECaoF3bA-D9erm/</v>
      </c>
      <c r="D36" s="4" t="str">
        <f>IFERROR(__xludf.DUMMYFUNCTION("""COMPUTED_VALUE"""),"LD_CS_FC_037")</f>
        <v>LD_CS_FC_037</v>
      </c>
      <c r="E36" s="5" t="str">
        <f>IFERROR(__xludf.DUMMYFUNCTION("""COMPUTED_VALUE"""),"Dr. Leo Acne Drying Lotion #drleo #acnecare")</f>
        <v>Dr. Leo Acne Drying Lotion #drleo #acnecare</v>
      </c>
      <c r="F36" s="3"/>
      <c r="G36" s="3"/>
      <c r="K36" s="8"/>
      <c r="L36" s="8"/>
      <c r="M36" s="8"/>
      <c r="N36" s="8"/>
      <c r="O36" s="8"/>
      <c r="P36" s="8"/>
    </row>
    <row r="37" ht="100.5" customHeight="1" spans="1:16">
      <c r="A37" s="4" t="str">
        <f>IFERROR(__xludf.DUMMYFUNCTION("""COMPUTED_VALUE"""),"3/9")</f>
        <v>3/9</v>
      </c>
      <c r="B37" s="5" t="str">
        <f>IFERROR(__xludf.DUMMYFUNCTION("""COMPUTED_VALUE"""),"Glad2Glow Clay Mask Stick 25g | Calm Redness &amp;")</f>
        <v>Glad2Glow Clay Mask Stick 25g | Calm Redness &amp;</v>
      </c>
      <c r="C37" s="6" t="str">
        <f>IFERROR(__xludf.DUMMYFUNCTION("""COMPUTED_VALUE"""),"https://vt.tiktok.com/ZSH7AEsXtn36c-OKJl2/")</f>
        <v>https://vt.tiktok.com/ZSH7AEsXtn36c-OKJl2/</v>
      </c>
      <c r="D37" s="4" t="str">
        <f>IFERROR(__xludf.DUMMYFUNCTION("""COMPUTED_VALUE"""),"LD_CS_FC_038")</f>
        <v>LD_CS_FC_038</v>
      </c>
      <c r="E37" s="5" t="str">
        <f>IFERROR(__xludf.DUMMYFUNCTION("""COMPUTED_VALUE"""),"Glad2Glow Clay Mask Stick #glad2glow #maskstick")</f>
        <v>Glad2Glow Clay Mask Stick #glad2glow #maskstick</v>
      </c>
      <c r="F37" s="3"/>
      <c r="G37" s="3"/>
      <c r="K37" s="8"/>
      <c r="L37" s="8"/>
      <c r="M37" s="8"/>
      <c r="N37" s="8"/>
      <c r="O37" s="8"/>
      <c r="P37" s="8"/>
    </row>
    <row r="38" ht="89.25" customHeight="1" spans="1:16">
      <c r="A38" s="4" t="str">
        <f>IFERROR(__xludf.DUMMYFUNCTION("""COMPUTED_VALUE"""),"5/9")</f>
        <v>5/9</v>
      </c>
      <c r="B38" s="5" t="str">
        <f>IFERROR(__xludf.DUMMYFUNCTION("""COMPUTED_VALUE"""),"[Top 1 Facial Cleanser]Glad2Glow Milk Amino Acid")</f>
        <v>[Top 1 Facial Cleanser]Glad2Glow Milk Amino Acid</v>
      </c>
      <c r="C38" s="6" t="str">
        <f>IFERROR(__xludf.DUMMYFUNCTION("""COMPUTED_VALUE"""),"https://vt.tiktok.com/ZSH7AoqCXacqE-61zVn/")</f>
        <v>https://vt.tiktok.com/ZSH7AoqCXacqE-61zVn/</v>
      </c>
      <c r="D38" s="4" t="str">
        <f>IFERROR(__xludf.DUMMYFUNCTION("""COMPUTED_VALUE"""),"LD_CS_FC_039")</f>
        <v>LD_CS_FC_039</v>
      </c>
      <c r="E38" s="5" t="str">
        <f>IFERROR(__xludf.DUMMYFUNCTION("""COMPUTED_VALUE"""),"Glad2Glow Face Wash #glad2glow #facewash")</f>
        <v>Glad2Glow Face Wash #glad2glow #facewash</v>
      </c>
      <c r="F38" s="3"/>
      <c r="G38" s="3"/>
      <c r="K38" s="8"/>
      <c r="L38" s="8"/>
      <c r="M38" s="8"/>
      <c r="N38" s="8"/>
      <c r="O38" s="8"/>
      <c r="P38" s="8"/>
    </row>
    <row r="39" ht="118.5" customHeight="1" spans="1:16">
      <c r="A39" s="4" t="str">
        <f>IFERROR(__xludf.DUMMYFUNCTION("""COMPUTED_VALUE"""),"5/9")</f>
        <v>5/9</v>
      </c>
      <c r="B39" s="5" t="str">
        <f>IFERROR(__xludf.DUMMYFUNCTION("""COMPUTED_VALUE"""),"Hikari UltraFresh Sunscreen 50ML for all skin typ")</f>
        <v>Hikari UltraFresh Sunscreen 50ML for all skin typ</v>
      </c>
      <c r="C39" s="6" t="str">
        <f>IFERROR(__xludf.DUMMYFUNCTION("""COMPUTED_VALUE"""),"https://vt.tiktok.com/ZSH7AoW2cbmsE-Thb0f/")</f>
        <v>https://vt.tiktok.com/ZSH7AoW2cbmsE-Thb0f/</v>
      </c>
      <c r="D39" s="4" t="str">
        <f>IFERROR(__xludf.DUMMYFUNCTION("""COMPUTED_VALUE"""),"LD_CS_FC_040")</f>
        <v>LD_CS_FC_040</v>
      </c>
      <c r="E39" s="5" t="str">
        <f>IFERROR(__xludf.DUMMYFUNCTION("""COMPUTED_VALUE"""),"Hikari UltraFresh Sunscreen #hikari #sunscreen")</f>
        <v>Hikari UltraFresh Sunscreen #hikari #sunscreen</v>
      </c>
      <c r="F39" s="3"/>
      <c r="G39" s="3"/>
      <c r="K39" s="8"/>
      <c r="L39" s="8"/>
      <c r="M39" s="8"/>
      <c r="N39" s="8"/>
      <c r="O39" s="8"/>
      <c r="P39" s="8"/>
    </row>
    <row r="40" ht="89.25" customHeight="1" spans="1:16">
      <c r="A40" s="4" t="str">
        <f>IFERROR(__xludf.DUMMYFUNCTION("""COMPUTED_VALUE"""),"5/9")</f>
        <v>5/9</v>
      </c>
      <c r="B40" s="5" t="str">
        <f>IFERROR(__xludf.DUMMYFUNCTION("""COMPUTED_VALUE"""),"BONITA 20X Brightening Boost Toner 100ml Orga")</f>
        <v>BONITA 20X Brightening Boost Toner 100ml Orga</v>
      </c>
      <c r="C40" s="6" t="str">
        <f>IFERROR(__xludf.DUMMYFUNCTION("""COMPUTED_VALUE"""),"https://vt.tiktok.com/ZSH7Aowd7Mcy3-JCfDv/")</f>
        <v>https://vt.tiktok.com/ZSH7Aowd7Mcy3-JCfDv/</v>
      </c>
      <c r="D40" s="4" t="str">
        <f>IFERROR(__xludf.DUMMYFUNCTION("""COMPUTED_VALUE"""),"LD_CS_FC_041")</f>
        <v>LD_CS_FC_041</v>
      </c>
      <c r="E40" s="5" t="str">
        <f>IFERROR(__xludf.DUMMYFUNCTION("""COMPUTED_VALUE"""),"BONITA Toner #bonita #toner")</f>
        <v>BONITA Toner #bonita #toner</v>
      </c>
      <c r="F40" s="3"/>
      <c r="G40" s="3"/>
      <c r="K40" s="8"/>
      <c r="L40" s="8"/>
      <c r="M40" s="8"/>
      <c r="N40" s="8"/>
      <c r="O40" s="8"/>
      <c r="P40" s="8"/>
    </row>
    <row r="41" ht="63.75" spans="1:16">
      <c r="A41" s="4" t="str">
        <f>IFERROR(__xludf.DUMMYFUNCTION("""COMPUTED_VALUE"""),"20/9")</f>
        <v>20/9</v>
      </c>
      <c r="B41" s="5" t="str">
        <f>IFERROR(__xludf.DUMMYFUNCTION("""COMPUTED_VALUE"""),"[FDA Approved] BUY 1 TAKE 1 WORADA SPF60 Facial Sunscreen Sunblock Whitening Cream Comfort Skincare")</f>
        <v>[FDA Approved] BUY 1 TAKE 1 WORADA SPF60 Facial Sunscreen Sunblock Whitening Cream Comfort Skincare</v>
      </c>
      <c r="C41" s="6" t="str">
        <f>IFERROR(__xludf.DUMMYFUNCTION("""COMPUTED_VALUE"""),"https://vt.tiktok.com/ZSH7D1eo5q7YQ-xZwTU/")</f>
        <v>https://vt.tiktok.com/ZSH7D1eo5q7YQ-xZwTU/</v>
      </c>
      <c r="D41" s="4" t="str">
        <f>IFERROR(__xludf.DUMMYFUNCTION("""COMPUTED_VALUE"""),"LD_CS_FC_042")</f>
        <v>LD_CS_FC_042</v>
      </c>
      <c r="E41" s="5" t="str">
        <f>IFERROR(__xludf.DUMMYFUNCTION("""COMPUTED_VALUE"""),"WORADA SPF60 Facial Sunscreen #worada #sunscreen")</f>
        <v>WORADA SPF60 Facial Sunscreen #worada #sunscreen</v>
      </c>
      <c r="F41" s="3"/>
      <c r="G41" s="3"/>
      <c r="K41" s="8"/>
      <c r="L41" s="8"/>
      <c r="M41" s="8"/>
      <c r="N41" s="8"/>
      <c r="O41" s="8"/>
      <c r="P41" s="8"/>
    </row>
    <row r="42" ht="102" spans="1:16">
      <c r="A42" s="4" t="str">
        <f>IFERROR(__xludf.DUMMYFUNCTION("""COMPUTED_VALUE"""),"01/12/25")</f>
        <v>01/12/25</v>
      </c>
      <c r="B42" s="5" t="str">
        <f>IFERROR(__xludf.DUMMYFUNCTION("""COMPUTED_VALUE"""),"TEN TWENTY SAKURA MASK STICK WITH FACIAL MASK BRUSH NEW DOUBLE HEADED SILICONE MAKEUP TOOL FACE MASSAGE FACE CLEANSING BEAUTY")</f>
        <v>TEN TWENTY SAKURA MASK STICK WITH FACIAL MASK BRUSH NEW DOUBLE HEADED SILICONE MAKEUP TOOL FACE MASSAGE FACE CLEANSING BEAUTY</v>
      </c>
      <c r="C42" s="6" t="str">
        <f>IFERROR(__xludf.DUMMYFUNCTION("""COMPUTED_VALUE"""),"https://vt.tiktok.com/ZSHTVeSgNyhBJ-Ixrm1/")</f>
        <v>https://vt.tiktok.com/ZSHTVeSgNyhBJ-Ixrm1/</v>
      </c>
      <c r="D42" s="4" t="str">
        <f>IFERROR(__xludf.DUMMYFUNCTION("""COMPUTED_VALUE"""),"LD_CS_FC_043")</f>
        <v>LD_CS_FC_043</v>
      </c>
      <c r="E42" s="5" t="str">
        <f>IFERROR(__xludf.DUMMYFUNCTION("""COMPUTED_VALUE"""),"TEN TWENTY SAKURA MASK STICK #tentwenty #maskstick")</f>
        <v>TEN TWENTY SAKURA MASK STICK #tentwenty #maskstick</v>
      </c>
      <c r="F42" s="3"/>
      <c r="G42" s="3"/>
      <c r="K42" s="8"/>
      <c r="L42" s="8"/>
      <c r="M42" s="8"/>
      <c r="N42" s="8"/>
      <c r="O42" s="8"/>
      <c r="P42" s="8"/>
    </row>
    <row r="43" ht="78" customHeight="1" spans="1:16">
      <c r="A43" s="4" t="str">
        <f>IFERROR(__xludf.DUMMYFUNCTION("""COMPUTED_VALUE"""),"23/08/2025")</f>
        <v>23/08/2025</v>
      </c>
      <c r="B43" s="5" t="str">
        <f>IFERROR(__xludf.DUMMYFUNCTION("""COMPUTED_VALUE"""),"BQI 100-120 Cluster False Eyelashes With")</f>
        <v>BQI 100-120 Cluster False Eyelashes With</v>
      </c>
      <c r="C43" s="6" t="str">
        <f>IFERROR(__xludf.DUMMYFUNCTION("""COMPUTED_VALUE"""),"https://www.tiktok.com/shop/ph/pdp/1731104706407205299")</f>
        <v>https://www.tiktok.com/shop/ph/pdp/1731104706407205299</v>
      </c>
      <c r="D43" s="4" t="str">
        <f>IFERROR(__xludf.DUMMYFUNCTION("""COMPUTED_VALUE"""),"LD_MU_EM_001")</f>
        <v>LD_MU_EM_001</v>
      </c>
      <c r="E43" s="5" t="str">
        <f>IFERROR(__xludf.DUMMYFUNCTION("""COMPUTED_VALUE"""),"BQI Eyelashes
 #BQIeyelash #eyelashes")</f>
        <v>BQI Eyelashes
 #BQIeyelash #eyelashes</v>
      </c>
      <c r="F43" s="3"/>
      <c r="G43" s="3"/>
      <c r="K43" s="8"/>
      <c r="L43" s="8"/>
      <c r="M43" s="8"/>
      <c r="N43" s="8"/>
      <c r="O43" s="8"/>
      <c r="P43" s="8"/>
    </row>
    <row r="44" ht="51" spans="1:16">
      <c r="A44" s="4" t="str">
        <f>IFERROR(__xludf.DUMMYFUNCTION("""COMPUTED_VALUE"""),"25/08/2025")</f>
        <v>25/08/2025</v>
      </c>
      <c r="B44" s="5" t="str">
        <f>IFERROR(__xludf.DUMMYFUNCTION("""COMPUTED_VALUE"""),"【BUY 1 TAKE 1】FOCALLURE 0.1MM Eyebrow Pe")</f>
        <v>【BUY 1 TAKE 1】FOCALLURE 0.1MM Eyebrow Pe</v>
      </c>
      <c r="C44" s="6" t="str">
        <f>IFERROR(__xludf.DUMMYFUNCTION("""COMPUTED_VALUE"""),"https://www.tiktok.com/shop/ph/pdp/1732181729157415965")</f>
        <v>https://www.tiktok.com/shop/ph/pdp/1732181729157415965</v>
      </c>
      <c r="D44" s="4" t="str">
        <f>IFERROR(__xludf.DUMMYFUNCTION("""COMPUTED_VALUE"""),"LD_MU_EM_004")</f>
        <v>LD_MU_EM_004</v>
      </c>
      <c r="E44" s="5" t="str">
        <f>IFERROR(__xludf.DUMMYFUNCTION("""COMPUTED_VALUE"""),"FOCALLURE 0.1MM Eyebrow Pencil #focallure #eyebrowpencil")</f>
        <v>FOCALLURE 0.1MM Eyebrow Pencil #focallure #eyebrowpencil</v>
      </c>
      <c r="F44" s="3"/>
      <c r="G44" s="3"/>
      <c r="K44" s="8"/>
      <c r="L44" s="8"/>
      <c r="M44" s="8"/>
      <c r="N44" s="8"/>
      <c r="O44" s="8"/>
      <c r="P44" s="8"/>
    </row>
    <row r="45" ht="51" spans="1:16">
      <c r="A45" s="4" t="str">
        <f>IFERROR(__xludf.DUMMYFUNCTION("""COMPUTED_VALUE"""),"26/8")</f>
        <v>26/8</v>
      </c>
      <c r="B45" s="5" t="str">
        <f>IFERROR(__xludf.DUMMYFUNCTION("""COMPUTED_VALUE"""),"GLAMFIX Maxi Curl Lash Curler- Eye Curler Lash Curler Eye Hair Curler Eyelash ")</f>
        <v>GLAMFIX Maxi Curl Lash Curler- Eye Curler Lash Curler Eye Hair Curler Eyelash </v>
      </c>
      <c r="C45" s="6" t="str">
        <f>IFERROR(__xludf.DUMMYFUNCTION("""COMPUTED_VALUE"""),"https://www.tiktok.com/shop/ph/pdp/1729782391471048942")</f>
        <v>https://www.tiktok.com/shop/ph/pdp/1729782391471048942</v>
      </c>
      <c r="D45" s="4" t="str">
        <f>IFERROR(__xludf.DUMMYFUNCTION("""COMPUTED_VALUE"""),"LD_MU_EM_007")</f>
        <v>LD_MU_EM_007</v>
      </c>
      <c r="E45" s="5" t="str">
        <f>IFERROR(__xludf.DUMMYFUNCTION("""COMPUTED_VALUE"""),"GLAMFIX Maxi Curl Lash Curler #GLAMFIX #lashcurl")</f>
        <v>GLAMFIX Maxi Curl Lash Curler #GLAMFIX #lashcurl</v>
      </c>
      <c r="F45" s="3"/>
      <c r="G45" s="3"/>
      <c r="K45" s="8"/>
      <c r="L45" s="8"/>
      <c r="M45" s="8"/>
      <c r="N45" s="8"/>
      <c r="O45" s="8"/>
      <c r="P45" s="8"/>
    </row>
    <row r="46" ht="51" spans="1:16">
      <c r="A46" s="4" t="str">
        <f>IFERROR(__xludf.DUMMYFUNCTION("""COMPUTED_VALUE"""),"26/08/2025")</f>
        <v>26/08/2025</v>
      </c>
      <c r="B46" s="5" t="str">
        <f>IFERROR(__xludf.DUMMYFUNCTION("""COMPUTED_VALUE"""),"4pcs O.TWO.O Eye makeup set 3D silk fiber")</f>
        <v>4pcs O.TWO.O Eye makeup set 3D silk fiber</v>
      </c>
      <c r="C46" s="6" t="str">
        <f>IFERROR(__xludf.DUMMYFUNCTION("""COMPUTED_VALUE"""),"vt.tiktok.com/ZSHK8rAPHGodf-wIFR1/")</f>
        <v>vt.tiktok.com/ZSHK8rAPHGodf-wIFR1/</v>
      </c>
      <c r="D46" s="4" t="str">
        <f>IFERROR(__xludf.DUMMYFUNCTION("""COMPUTED_VALUE"""),"LD_MU_EM_008")</f>
        <v>LD_MU_EM_008</v>
      </c>
      <c r="E46" s="5" t="str">
        <f>IFERROR(__xludf.DUMMYFUNCTION("""COMPUTED_VALUE"""),"4pcs O.TWO.O Eye makeup set #otwoo #makeupset")</f>
        <v>4pcs O.TWO.O Eye makeup set #otwoo #makeupset</v>
      </c>
      <c r="F46" s="3"/>
      <c r="G46" s="3"/>
      <c r="K46" s="8"/>
      <c r="L46" s="8"/>
      <c r="M46" s="8"/>
      <c r="N46" s="8"/>
      <c r="O46" s="8"/>
      <c r="P46" s="8"/>
    </row>
    <row r="47" ht="38.25" spans="1:16">
      <c r="A47" s="4" t="str">
        <f>IFERROR(__xludf.DUMMYFUNCTION("""COMPUTED_VALUE"""),"28/08/2025")</f>
        <v>28/08/2025</v>
      </c>
      <c r="B47" s="5" t="str">
        <f>IFERROR(__xludf.DUMMYFUNCTION("""COMPUTED_VALUE"""),"O.TWO.O Cosmetic gold Embriodery Eyeliner Pen Waterproof")</f>
        <v>O.TWO.O Cosmetic gold Embriodery Eyeliner Pen Waterproof</v>
      </c>
      <c r="C47" s="6" t="str">
        <f>IFERROR(__xludf.DUMMYFUNCTION("""COMPUTED_VALUE"""),"https://vt.tiktok.com/ZSAuqFFVt/")</f>
        <v>https://vt.tiktok.com/ZSAuqFFVt/</v>
      </c>
      <c r="D47" s="4" t="str">
        <f>IFERROR(__xludf.DUMMYFUNCTION("""COMPUTED_VALUE"""),"LD_MU_EM_010")</f>
        <v>LD_MU_EM_010</v>
      </c>
      <c r="E47" s="5" t="str">
        <f>IFERROR(__xludf.DUMMYFUNCTION("""COMPUTED_VALUE"""),"O.TWO.O Eyeliner Pen #otwoo #eyeliner")</f>
        <v>O.TWO.O Eyeliner Pen #otwoo #eyeliner</v>
      </c>
      <c r="F47" s="3"/>
      <c r="G47" s="3"/>
      <c r="K47" s="8"/>
      <c r="L47" s="8"/>
      <c r="M47" s="8"/>
      <c r="N47" s="8"/>
      <c r="O47" s="8"/>
      <c r="P47" s="8"/>
    </row>
    <row r="48" ht="51" spans="1:16">
      <c r="A48" s="4" t="str">
        <f>IFERROR(__xludf.DUMMYFUNCTION("""COMPUTED_VALUE"""),"28/08/2025")</f>
        <v>28/08/2025</v>
      </c>
      <c r="B48" s="5" t="str">
        <f>IFERROR(__xludf.DUMMYFUNCTION("""COMPUTED_VALUE"""),"O.TWO.O Stamp Eyeliner 2 in 1 Eyeliner Black Doulbe Head Waterproof")</f>
        <v>O.TWO.O Stamp Eyeliner 2 in 1 Eyeliner Black Doulbe Head Waterproof</v>
      </c>
      <c r="C48" s="6" t="str">
        <f>IFERROR(__xludf.DUMMYFUNCTION("""COMPUTED_VALUE"""),"https://vt.tiktok.com/ZSAugU4Dq/")</f>
        <v>https://vt.tiktok.com/ZSAugU4Dq/</v>
      </c>
      <c r="D48" s="4" t="str">
        <f>IFERROR(__xludf.DUMMYFUNCTION("""COMPUTED_VALUE"""),"LD_MU_EM_011")</f>
        <v>LD_MU_EM_011</v>
      </c>
      <c r="E48" s="5" t="str">
        <f>IFERROR(__xludf.DUMMYFUNCTION("""COMPUTED_VALUE"""),"O.TWO.O Stamp Eyeliner #otwoo #eyeliner")</f>
        <v>O.TWO.O Stamp Eyeliner #otwoo #eyeliner</v>
      </c>
      <c r="F48" s="3"/>
      <c r="G48" s="3"/>
      <c r="K48" s="8"/>
      <c r="L48" s="8"/>
      <c r="M48" s="8"/>
      <c r="N48" s="8"/>
      <c r="O48" s="8"/>
      <c r="P48" s="8"/>
    </row>
    <row r="49" ht="38.25" spans="1:16">
      <c r="A49" s="4" t="str">
        <f>IFERROR(__xludf.DUMMYFUNCTION("""COMPUTED_VALUE"""),"28/08/2025")</f>
        <v>28/08/2025</v>
      </c>
      <c r="B49" s="5" t="str">
        <f>IFERROR(__xludf.DUMMYFUNCTION("""COMPUTED_VALUE"""),"Shawill Water proof Ultra Fine Eyeliner pen")</f>
        <v>Shawill Water proof Ultra Fine Eyeliner pen</v>
      </c>
      <c r="C49" s="6" t="str">
        <f>IFERROR(__xludf.DUMMYFUNCTION("""COMPUTED_VALUE"""),"https://vt.tiktok.com/ZSAuqhP1W/")</f>
        <v>https://vt.tiktok.com/ZSAuqhP1W/</v>
      </c>
      <c r="D49" s="4" t="str">
        <f>IFERROR(__xludf.DUMMYFUNCTION("""COMPUTED_VALUE"""),"LD_MU_EM_012")</f>
        <v>LD_MU_EM_012</v>
      </c>
      <c r="E49" s="5" t="str">
        <f>IFERROR(__xludf.DUMMYFUNCTION("""COMPUTED_VALUE"""),"Shawill Eyeliner pen #shawill #eyeliner")</f>
        <v>Shawill Eyeliner pen #shawill #eyeliner</v>
      </c>
      <c r="F49" s="3"/>
      <c r="G49" s="3"/>
      <c r="K49" s="8"/>
      <c r="L49" s="8"/>
      <c r="M49" s="8"/>
      <c r="N49" s="8"/>
      <c r="O49" s="8"/>
      <c r="P49" s="8"/>
    </row>
    <row r="50" ht="76.5" spans="1:16">
      <c r="A50" s="4" t="str">
        <f>IFERROR(__xludf.DUMMYFUNCTION("""COMPUTED_VALUE"""),"28/08/2025")</f>
        <v>28/08/2025</v>
      </c>
      <c r="B50" s="5" t="str">
        <f>IFERROR(__xludf.DUMMYFUNCTION("""COMPUTED_VALUE"""),"OHLY ONE double head waterproof eyeliner pen set with seal stamp for cat eye")</f>
        <v>OHLY ONE double head waterproof eyeliner pen set with seal stamp for cat eye</v>
      </c>
      <c r="C50" s="6" t="str">
        <f>IFERROR(__xludf.DUMMYFUNCTION("""COMPUTED_VALUE"""),"https://vt.tiktok.com/ZSAugq6pd/")</f>
        <v>https://vt.tiktok.com/ZSAugq6pd/</v>
      </c>
      <c r="D50" s="4" t="str">
        <f>IFERROR(__xludf.DUMMYFUNCTION("""COMPUTED_VALUE"""),"LD_MU_EM_013")</f>
        <v>LD_MU_EM_013</v>
      </c>
      <c r="E50" s="5" t="str">
        <f>IFERROR(__xludf.DUMMYFUNCTION("""COMPUTED_VALUE"""),"OHLY ONE double head waterproof eyeliner pen #OHLYONE #eyeliner")</f>
        <v>OHLY ONE double head waterproof eyeliner pen #OHLYONE #eyeliner</v>
      </c>
      <c r="F50" s="3"/>
      <c r="G50" s="3"/>
      <c r="K50" s="8"/>
      <c r="L50" s="8"/>
      <c r="M50" s="8"/>
      <c r="N50" s="8"/>
      <c r="O50" s="8"/>
      <c r="P50" s="8"/>
    </row>
    <row r="51" ht="51" spans="1:16">
      <c r="A51" s="4" t="str">
        <f>IFERROR(__xludf.DUMMYFUNCTION("""COMPUTED_VALUE"""),"28/8")</f>
        <v>28/8</v>
      </c>
      <c r="B51" s="5" t="str">
        <f>IFERROR(__xludf.DUMMYFUNCTION("""COMPUTED_VALUE"""),"AnyLady 33 color All In One MakeupEyeshadow Pa")</f>
        <v>AnyLady 33 color All In One MakeupEyeshadow Pa</v>
      </c>
      <c r="C51" s="6" t="str">
        <f>IFERROR(__xludf.DUMMYFUNCTION("""COMPUTED_VALUE"""),"https://vt.tiktok.com/ZSH7AbgWxJtmK-kfLIo/")</f>
        <v>https://vt.tiktok.com/ZSH7AbgWxJtmK-kfLIo/</v>
      </c>
      <c r="D51" s="4" t="str">
        <f>IFERROR(__xludf.DUMMYFUNCTION("""COMPUTED_VALUE"""),"LD_MU_EM_014")</f>
        <v>LD_MU_EM_014</v>
      </c>
      <c r="E51" s="5" t="str">
        <f>IFERROR(__xludf.DUMMYFUNCTION("""COMPUTED_VALUE"""),"Lamelia Eyeshadow Palette #lamelia #eyeshadow")</f>
        <v>Lamelia Eyeshadow Palette #lamelia #eyeshadow</v>
      </c>
      <c r="F51" s="3"/>
      <c r="G51" s="3"/>
      <c r="K51" s="8"/>
      <c r="L51" s="8"/>
      <c r="M51" s="8"/>
      <c r="N51" s="8"/>
      <c r="O51" s="8"/>
      <c r="P51" s="8"/>
    </row>
    <row r="52" ht="25.5" spans="1:16">
      <c r="A52" s="4" t="str">
        <f>IFERROR(__xludf.DUMMYFUNCTION("""COMPUTED_VALUE"""),"29/08/25")</f>
        <v>29/08/25</v>
      </c>
      <c r="B52" s="5" t="str">
        <f>IFERROR(__xludf.DUMMYFUNCTION("""COMPUTED_VALUE"""),"ROTO mascara ")</f>
        <v>ROTO mascara </v>
      </c>
      <c r="C52" s="6" t="str">
        <f>IFERROR(__xludf.DUMMYFUNCTION("""COMPUTED_VALUE"""),"https://vt.tiktok.com/ZSA95oaMy/")</f>
        <v>https://vt.tiktok.com/ZSA95oaMy/</v>
      </c>
      <c r="D52" s="4" t="str">
        <f>IFERROR(__xludf.DUMMYFUNCTION("""COMPUTED_VALUE"""),"LD_MU_EM_015")</f>
        <v>LD_MU_EM_015</v>
      </c>
      <c r="E52" s="5" t="str">
        <f>IFERROR(__xludf.DUMMYFUNCTION("""COMPUTED_VALUE"""),"ROTO mascara #roto #mascara")</f>
        <v>ROTO mascara #roto #mascara</v>
      </c>
      <c r="F52" s="3"/>
      <c r="G52" s="3"/>
      <c r="K52" s="8"/>
      <c r="L52" s="8"/>
      <c r="M52" s="8"/>
      <c r="N52" s="8"/>
      <c r="O52" s="8"/>
      <c r="P52" s="8"/>
    </row>
    <row r="53" ht="63.75" spans="1:16">
      <c r="A53" s="4" t="str">
        <f>IFERROR(__xludf.DUMMYFUNCTION("""COMPUTED_VALUE"""),"13/09/2025")</f>
        <v>13/09/2025</v>
      </c>
      <c r="B53" s="5" t="str">
        <f>IFERROR(__xludf.DUMMYFUNCTION("""COMPUTED_VALUE"""),"FOCALLURE Waterproof 4 Fork Liquid Eyebrow Pencil Eye Brow Pencil Long-Lasting Eyebrow Makeup Cosmetics")</f>
        <v>FOCALLURE Waterproof 4 Fork Liquid Eyebrow Pencil Eye Brow Pencil Long-Lasting Eyebrow Makeup Cosmetics</v>
      </c>
      <c r="C53" s="6" t="str">
        <f>IFERROR(__xludf.DUMMYFUNCTION("""COMPUTED_VALUE"""),"https://vt.tiktok.com/ZSHnr9jaURU9r-EAnWI/")</f>
        <v>https://vt.tiktok.com/ZSHnr9jaURU9r-EAnWI/</v>
      </c>
      <c r="D53" s="4" t="str">
        <f>IFERROR(__xludf.DUMMYFUNCTION("""COMPUTED_VALUE"""),"LD_MU_EM_016")</f>
        <v>LD_MU_EM_016</v>
      </c>
      <c r="E53" s="5" t="str">
        <f>IFERROR(__xludf.DUMMYFUNCTION("""COMPUTED_VALUE"""),"FOCALLURE Waterproof 4 Fork Liquid Eyebrow Pencil #focallure #eyebrowoencil")</f>
        <v>FOCALLURE Waterproof 4 Fork Liquid Eyebrow Pencil #focallure #eyebrowoencil</v>
      </c>
      <c r="F53" s="3"/>
      <c r="G53" s="3"/>
      <c r="K53" s="8"/>
      <c r="L53" s="8"/>
      <c r="M53" s="8"/>
      <c r="N53" s="8"/>
      <c r="O53" s="8"/>
      <c r="P53" s="8"/>
    </row>
    <row r="54" ht="76.5" spans="1:16">
      <c r="A54" s="4" t="str">
        <f>IFERROR(__xludf.DUMMYFUNCTION("""COMPUTED_VALUE"""),"13/09/2025")</f>
        <v>13/09/2025</v>
      </c>
      <c r="B54" s="5" t="str">
        <f>IFERROR(__xludf.DUMMYFUNCTION("""COMPUTED_VALUE"""),"Maybelline Hypercurl 36HR Waterproof Mascara")</f>
        <v>Maybelline Hypercurl 36HR Waterproof Mascara</v>
      </c>
      <c r="C54" s="6" t="str">
        <f>IFERROR(__xludf.DUMMYFUNCTION("""COMPUTED_VALUE"""),"https://vt.tiktok.com/ZSHnruS9nMQYg-H2gZ7/")</f>
        <v>https://vt.tiktok.com/ZSHnruS9nMQYg-H2gZ7/</v>
      </c>
      <c r="D54" s="4" t="str">
        <f>IFERROR(__xludf.DUMMYFUNCTION("""COMPUTED_VALUE"""),"LD_MU_EM_017")</f>
        <v>LD_MU_EM_017</v>
      </c>
      <c r="E54" s="5" t="str">
        <f>IFERROR(__xludf.DUMMYFUNCTION("""COMPUTED_VALUE"""),"Maybelline Hypercurl 36HR Waterproof Mascara #maybelline #mascara")</f>
        <v>Maybelline Hypercurl 36HR Waterproof Mascara #maybelline #mascara</v>
      </c>
      <c r="F54" s="3"/>
      <c r="G54" s="3"/>
      <c r="K54" s="8"/>
      <c r="L54" s="8"/>
      <c r="M54" s="8"/>
      <c r="N54" s="8"/>
      <c r="O54" s="8"/>
      <c r="P54" s="8"/>
    </row>
    <row r="55" ht="51" spans="1:16">
      <c r="A55" s="4" t="str">
        <f>IFERROR(__xludf.DUMMYFUNCTION("""COMPUTED_VALUE"""),"13/09/2025")</f>
        <v>13/09/2025</v>
      </c>
      <c r="B55" s="5" t="str">
        <f>IFERROR(__xludf.DUMMYFUNCTION("""COMPUTED_VALUE"""),"FOCALLURE Pro-stay 3D Eyebrow ")</f>
        <v>FOCALLURE Pro-stay 3D Eyebrow </v>
      </c>
      <c r="C55" s="6" t="str">
        <f>IFERROR(__xludf.DUMMYFUNCTION("""COMPUTED_VALUE"""),"https://vt.tiktok.com/ZSHnr9SKVeUV7-QnZD5/")</f>
        <v>https://vt.tiktok.com/ZSHnr9SKVeUV7-QnZD5/</v>
      </c>
      <c r="D55" s="4" t="str">
        <f>IFERROR(__xludf.DUMMYFUNCTION("""COMPUTED_VALUE"""),"LD_MU_EM_018")</f>
        <v>LD_MU_EM_018</v>
      </c>
      <c r="E55" s="5" t="str">
        <f>IFERROR(__xludf.DUMMYFUNCTION("""COMPUTED_VALUE"""),"FOCALLURE Pro-stay 3D Eyebrow 
#focallure #eyebrow")</f>
        <v>FOCALLURE Pro-stay 3D Eyebrow 
#focallure #eyebrow</v>
      </c>
      <c r="F55" s="3"/>
      <c r="G55" s="3"/>
      <c r="K55" s="8"/>
      <c r="L55" s="8"/>
      <c r="M55" s="8"/>
      <c r="N55" s="8"/>
      <c r="O55" s="8"/>
      <c r="P55" s="8"/>
    </row>
    <row r="56" ht="63.75" spans="1:16">
      <c r="A56" s="4" t="str">
        <f>IFERROR(__xludf.DUMMYFUNCTION("""COMPUTED_VALUE"""),"13/09/2025")</f>
        <v>13/09/2025</v>
      </c>
      <c r="B56" s="5" t="str">
        <f>IFERROR(__xludf.DUMMYFUNCTION("""COMPUTED_VALUE"""),"FOCALLURE Lasting Soft Gel Eyeliner Pencil Highly Pigmented Waterproof Eyes Makeup Liquid Eyebrow Pencil")</f>
        <v>FOCALLURE Lasting Soft Gel Eyeliner Pencil Highly Pigmented Waterproof Eyes Makeup Liquid Eyebrow Pencil</v>
      </c>
      <c r="C56" s="6" t="str">
        <f>IFERROR(__xludf.DUMMYFUNCTION("""COMPUTED_VALUE"""),"https://vt.tiktok.com/ZSHnr9SQCPcPD-k7QDh/")</f>
        <v>https://vt.tiktok.com/ZSHnr9SQCPcPD-k7QDh/</v>
      </c>
      <c r="D56" s="4" t="str">
        <f>IFERROR(__xludf.DUMMYFUNCTION("""COMPUTED_VALUE"""),"LD_MU_EM_019")</f>
        <v>LD_MU_EM_019</v>
      </c>
      <c r="E56" s="5" t="str">
        <f>IFERROR(__xludf.DUMMYFUNCTION("""COMPUTED_VALUE"""),"FOCALLURE Eyeliner Pencil #focallure #eyeliner")</f>
        <v>FOCALLURE Eyeliner Pencil #focallure #eyeliner</v>
      </c>
      <c r="F56" s="3"/>
      <c r="G56" s="3"/>
      <c r="K56" s="8"/>
      <c r="L56" s="8"/>
      <c r="M56" s="8"/>
      <c r="N56" s="8"/>
      <c r="O56" s="8"/>
      <c r="P56" s="8"/>
    </row>
    <row r="57" ht="63.75" spans="1:16">
      <c r="A57" s="4" t="str">
        <f>IFERROR(__xludf.DUMMYFUNCTION("""COMPUTED_VALUE"""),"13/09/2025")</f>
        <v>13/09/2025</v>
      </c>
      <c r="B57" s="5" t="str">
        <f>IFERROR(__xludf.DUMMYFUNCTION("""COMPUTED_VALUE"""),"Focallure 2 IN 1 Mascara Waterproof Thick And Curling Mascara Curling Smudge-proof Long Lasting Eye Make Up")</f>
        <v>Focallure 2 IN 1 Mascara Waterproof Thick And Curling Mascara Curling Smudge-proof Long Lasting Eye Make Up</v>
      </c>
      <c r="C57" s="6" t="str">
        <f>IFERROR(__xludf.DUMMYFUNCTION("""COMPUTED_VALUE"""),"https://vt.tiktok.com/ZSHnr9XM8RNws-BDBtb/")</f>
        <v>https://vt.tiktok.com/ZSHnr9XM8RNws-BDBtb/</v>
      </c>
      <c r="D57" s="4" t="str">
        <f>IFERROR(__xludf.DUMMYFUNCTION("""COMPUTED_VALUE"""),"LD_MU_EM_020")</f>
        <v>LD_MU_EM_020</v>
      </c>
      <c r="E57" s="5" t="str">
        <f>IFERROR(__xludf.DUMMYFUNCTION("""COMPUTED_VALUE"""),"Focallure 2 IN 1 Mascara #focallure #mascara")</f>
        <v>Focallure 2 IN 1 Mascara #focallure #mascara</v>
      </c>
      <c r="F57" s="3"/>
      <c r="G57" s="3"/>
      <c r="K57" s="8"/>
      <c r="L57" s="8"/>
      <c r="M57" s="8"/>
      <c r="N57" s="8"/>
      <c r="O57" s="8"/>
      <c r="P57" s="8"/>
    </row>
    <row r="58" ht="63.75" spans="1:16">
      <c r="A58" s="4" t="str">
        <f>IFERROR(__xludf.DUMMYFUNCTION("""COMPUTED_VALUE"""),"13/09/2025")</f>
        <v>13/09/2025</v>
      </c>
      <c r="B58" s="5" t="str">
        <f>IFERROR(__xludf.DUMMYFUNCTION("""COMPUTED_VALUE"""),"FOCALLURE Pro-Length 2MM Ultra-fine Waterproof Mascara Extra Curl Fiber-filled
Smudge-proof")</f>
        <v>FOCALLURE Pro-Length 2MM Ultra-fine Waterproof Mascara Extra Curl Fiber-filled
Smudge-proof</v>
      </c>
      <c r="C58" s="6" t="str">
        <f>IFERROR(__xludf.DUMMYFUNCTION("""COMPUTED_VALUE"""),"https://vt.tiktok.com/ZSHnr9o2gLHU2-MATOs/")</f>
        <v>https://vt.tiktok.com/ZSHnr9o2gLHU2-MATOs/</v>
      </c>
      <c r="D58" s="4" t="str">
        <f>IFERROR(__xludf.DUMMYFUNCTION("""COMPUTED_VALUE"""),"LD_MU_EM_021")</f>
        <v>LD_MU_EM_021</v>
      </c>
      <c r="E58" s="5" t="str">
        <f>IFERROR(__xludf.DUMMYFUNCTION("""COMPUTED_VALUE"""),"FOCALLURE Waterproof Mascara #focallure #mascara")</f>
        <v>FOCALLURE Waterproof Mascara #focallure #mascara</v>
      </c>
      <c r="F58" s="3"/>
      <c r="G58" s="3"/>
      <c r="K58" s="8"/>
      <c r="L58" s="8"/>
      <c r="M58" s="8"/>
      <c r="N58" s="8"/>
      <c r="O58" s="8"/>
      <c r="P58" s="8"/>
    </row>
    <row r="59" ht="63.75" spans="1:16">
      <c r="A59" s="4" t="str">
        <f>IFERROR(__xludf.DUMMYFUNCTION("""COMPUTED_VALUE"""),"13/09/2025")</f>
        <v>13/09/2025</v>
      </c>
      <c r="B59" s="5" t="str">
        <f>IFERROR(__xludf.DUMMYFUNCTION("""COMPUTED_VALUE"""),"Sugar Dolls Perfectly Defined Eyebrow Pencil")</f>
        <v>Sugar Dolls Perfectly Defined Eyebrow Pencil</v>
      </c>
      <c r="C59" s="6" t="str">
        <f>IFERROR(__xludf.DUMMYFUNCTION("""COMPUTED_VALUE"""),"https://vt.tiktok.com/ZSHnrxDYWEXVx-ts2aD/")</f>
        <v>https://vt.tiktok.com/ZSHnrxDYWEXVx-ts2aD/</v>
      </c>
      <c r="D59" s="4" t="str">
        <f>IFERROR(__xludf.DUMMYFUNCTION("""COMPUTED_VALUE"""),"LD_MU_EM_022")</f>
        <v>LD_MU_EM_022</v>
      </c>
      <c r="E59" s="5" t="str">
        <f>IFERROR(__xludf.DUMMYFUNCTION("""COMPUTED_VALUE"""),"Sugar Dolls Perfectly Defined Eyebrow Pencil #sugardoll #eyebrowpencil")</f>
        <v>Sugar Dolls Perfectly Defined Eyebrow Pencil #sugardoll #eyebrowpencil</v>
      </c>
      <c r="F59" s="3"/>
      <c r="G59" s="3"/>
      <c r="K59" s="8"/>
      <c r="L59" s="8"/>
      <c r="M59" s="8"/>
      <c r="N59" s="8"/>
      <c r="O59" s="8"/>
      <c r="P59" s="8"/>
    </row>
    <row r="60" ht="102" spans="1:16">
      <c r="A60" s="4" t="str">
        <f>IFERROR(__xludf.DUMMYFUNCTION("""COMPUTED_VALUE"""),"13/09/2025")</f>
        <v>13/09/2025</v>
      </c>
      <c r="B60" s="5" t="str">
        <f>IFERROR(__xludf.DUMMYFUNCTION("""COMPUTED_VALUE"""),"PINKFLASH Eyebrow Powder 1-Step Shaping Waterproof Cushion Stamp Long Wear Beginners Friendly + [Free Gifts] Reusable Stencil Set 10pcs Makeup Matte")</f>
        <v>PINKFLASH Eyebrow Powder 1-Step Shaping Waterproof Cushion Stamp Long Wear Beginners Friendly + [Free Gifts] Reusable Stencil Set 10pcs Makeup Matte</v>
      </c>
      <c r="C60" s="6" t="str">
        <f>IFERROR(__xludf.DUMMYFUNCTION("""COMPUTED_VALUE"""),"https://vt.tiktok.com/ZSHnrC6uGxpTs-r4Xyq/")</f>
        <v>https://vt.tiktok.com/ZSHnrC6uGxpTs-r4Xyq/</v>
      </c>
      <c r="D60" s="4" t="str">
        <f>IFERROR(__xludf.DUMMYFUNCTION("""COMPUTED_VALUE"""),"LD_MU_EM_024")</f>
        <v>LD_MU_EM_024</v>
      </c>
      <c r="E60" s="5" t="str">
        <f>IFERROR(__xludf.DUMMYFUNCTION("""COMPUTED_VALUE"""),"PINKFLASH Eyebrow Powder #pinkflash #eyebrowpowder")</f>
        <v>PINKFLASH Eyebrow Powder #pinkflash #eyebrowpowder</v>
      </c>
      <c r="F60" s="3"/>
      <c r="G60" s="3"/>
      <c r="K60" s="8"/>
      <c r="L60" s="8"/>
      <c r="M60" s="8"/>
      <c r="N60" s="8"/>
      <c r="O60" s="8"/>
      <c r="P60" s="8"/>
    </row>
    <row r="61" ht="89.25" spans="1:16">
      <c r="A61" s="4" t="str">
        <f>IFERROR(__xludf.DUMMYFUNCTION("""COMPUTED_VALUE"""),"16/09/2025")</f>
        <v>16/09/2025</v>
      </c>
      <c r="B61" s="5" t="str">
        <f>IFERROR(__xludf.DUMMYFUNCTION("""COMPUTED_VALUE"""),"PINKFLASH OhMyLove
4 in 1 Multiple Eyeshadow Eye Makeup Blush")</f>
        <v>PINKFLASH OhMyLove
4 in 1 Multiple Eyeshadow Eye Makeup Blush</v>
      </c>
      <c r="C61" s="6" t="str">
        <f>IFERROR(__xludf.DUMMYFUNCTION("""COMPUTED_VALUE"""),"https://vt.tiktok.com/ZSHnrCa7So6qj-EgaF8/")</f>
        <v>https://vt.tiktok.com/ZSHnrCa7So6qj-EgaF8/</v>
      </c>
      <c r="D61" s="4" t="str">
        <f>IFERROR(__xludf.DUMMYFUNCTION("""COMPUTED_VALUE"""),"LD_MU_EM_025")</f>
        <v>LD_MU_EM_025</v>
      </c>
      <c r="E61" s="5" t="str">
        <f>IFERROR(__xludf.DUMMYFUNCTION("""COMPUTED_VALUE"""),"PINKFLASH OhMyLove
4 in 1 Multiple Eyeshadow Palette #pinkflash #eyeshadowpalette")</f>
        <v>PINKFLASH OhMyLove
4 in 1 Multiple Eyeshadow Palette #pinkflash #eyeshadowpalette</v>
      </c>
      <c r="F61" s="3"/>
      <c r="G61" s="3"/>
      <c r="K61" s="8"/>
      <c r="L61" s="8"/>
      <c r="M61" s="8"/>
      <c r="N61" s="8"/>
      <c r="O61" s="8"/>
      <c r="P61" s="8"/>
    </row>
    <row r="62" ht="51" spans="1:16">
      <c r="A62" s="4" t="str">
        <f>IFERROR(__xludf.DUMMYFUNCTION("""COMPUTED_VALUE"""),"16/09/2025")</f>
        <v>16/09/2025</v>
      </c>
      <c r="B62" s="5" t="str">
        <f>IFERROR(__xludf.DUMMYFUNCTION("""COMPUTED_VALUE"""),"Pinkflash #UpNSet 2-in-1 waterproof sculpting brow wax with Brush Long-lasting Brow tinted")</f>
        <v>Pinkflash #UpNSet 2-in-1 waterproof sculpting brow wax with Brush Long-lasting Brow tinted</v>
      </c>
      <c r="C62" s="6" t="str">
        <f>IFERROR(__xludf.DUMMYFUNCTION("""COMPUTED_VALUE"""),"https://vt.tiktok.com/ZSHnrCuGkGcAE-YSO32/")</f>
        <v>https://vt.tiktok.com/ZSHnrCuGkGcAE-YSO32/</v>
      </c>
      <c r="D62" s="4" t="str">
        <f>IFERROR(__xludf.DUMMYFUNCTION("""COMPUTED_VALUE"""),"LD_MU_EM_026")</f>
        <v>LD_MU_EM_026</v>
      </c>
      <c r="E62" s="5" t="str">
        <f>IFERROR(__xludf.DUMMYFUNCTION("""COMPUTED_VALUE"""),"Pinkflash Eyebrow pen #pinkflash #eyebrowpen")</f>
        <v>Pinkflash Eyebrow pen #pinkflash #eyebrowpen</v>
      </c>
      <c r="F62" s="3"/>
      <c r="G62" s="3"/>
      <c r="K62" s="8"/>
      <c r="L62" s="8"/>
      <c r="M62" s="8"/>
      <c r="N62" s="8"/>
      <c r="O62" s="8"/>
      <c r="P62" s="8"/>
    </row>
    <row r="63" ht="76.5" spans="1:16">
      <c r="A63" s="4" t="str">
        <f>IFERROR(__xludf.DUMMYFUNCTION("""COMPUTED_VALUE"""),"16/09/2025")</f>
        <v>16/09/2025</v>
      </c>
      <c r="B63" s="5" t="str">
        <f>IFERROR(__xludf.DUMMYFUNCTION("""COMPUTED_VALUE"""),"PINKFLASH #InstantShape Lasting Wingled Eyeliner Stamp 2-in-1 High Pigment Easy to use Lipliner Makeup")</f>
        <v>PINKFLASH #InstantShape Lasting Wingled Eyeliner Stamp 2-in-1 High Pigment Easy to use Lipliner Makeup</v>
      </c>
      <c r="C63" s="6" t="str">
        <f>IFERROR(__xludf.DUMMYFUNCTION("""COMPUTED_VALUE"""),"https://vt.tiktok.com/ZSHnrCgWhoaK5-kziLV/")</f>
        <v>https://vt.tiktok.com/ZSHnrCgWhoaK5-kziLV/</v>
      </c>
      <c r="D63" s="4" t="str">
        <f>IFERROR(__xludf.DUMMYFUNCTION("""COMPUTED_VALUE"""),"LD_MU_EM_027")</f>
        <v>LD_MU_EM_027</v>
      </c>
      <c r="E63" s="5" t="str">
        <f>IFERROR(__xludf.DUMMYFUNCTION("""COMPUTED_VALUE"""),"PINKFLASH Eyeliner Stamp #pinkflash #eyelinerstamp")</f>
        <v>PINKFLASH Eyeliner Stamp #pinkflash #eyelinerstamp</v>
      </c>
      <c r="F63" s="3"/>
      <c r="G63" s="3"/>
      <c r="K63" s="8"/>
      <c r="L63" s="8"/>
      <c r="M63" s="8"/>
      <c r="N63" s="8"/>
      <c r="O63" s="8"/>
      <c r="P63" s="8"/>
    </row>
    <row r="64" ht="51" spans="1:16">
      <c r="A64" s="4" t="str">
        <f>IFERROR(__xludf.DUMMYFUNCTION("""COMPUTED_VALUE"""),"26/08/2025")</f>
        <v>26/08/2025</v>
      </c>
      <c r="B64" s="5" t="str">
        <f>IFERROR(__xludf.DUMMYFUNCTION("""COMPUTED_VALUE"""),"Judydoll starlight highlighting Powder")</f>
        <v>Judydoll starlight highlighting Powder</v>
      </c>
      <c r="C64" s="6" t="str">
        <f>IFERROR(__xludf.DUMMYFUNCTION("""COMPUTED_VALUE"""),"https://vt.tiktok.com/ZSHGWhKvM4g9w-QBl8J/")</f>
        <v>https://vt.tiktok.com/ZSHGWhKvM4g9w-QBl8J/</v>
      </c>
      <c r="D64" s="4" t="str">
        <f>IFERROR(__xludf.DUMMYFUNCTION("""COMPUTED_VALUE"""),"LD_MU_FM_006")</f>
        <v>LD_MU_FM_006</v>
      </c>
      <c r="E64" s="5" t="str">
        <f>IFERROR(__xludf.DUMMYFUNCTION("""COMPUTED_VALUE"""),"Judydoll starlight highlighting Powder #juđyoll #highlightpowder")</f>
        <v>Judydoll starlight highlighting Powder #juđyoll #highlightpowder</v>
      </c>
      <c r="F64" s="3"/>
      <c r="G64" s="3"/>
      <c r="K64" s="8"/>
      <c r="L64" s="8"/>
      <c r="M64" s="8"/>
      <c r="N64" s="8"/>
      <c r="O64" s="8"/>
      <c r="P64" s="8"/>
    </row>
    <row r="65" ht="38.25" spans="1:16">
      <c r="A65" s="4" t="str">
        <f>IFERROR(__xludf.DUMMYFUNCTION("""COMPUTED_VALUE"""),"26/08/2025")</f>
        <v>26/08/2025</v>
      </c>
      <c r="B65" s="5" t="str">
        <f>IFERROR(__xludf.DUMMYFUNCTION("""COMPUTED_VALUE"""),"O.TWO.O Glowing color shaping light shadow double-ended")</f>
        <v>O.TWO.O Glowing color shaping light shadow double-ended</v>
      </c>
      <c r="C65" s="6" t="str">
        <f>IFERROR(__xludf.DUMMYFUNCTION("""COMPUTED_VALUE"""),"https://vt.tiktok.com/ZSHGWBBLdQFVx-IrDNj/")</f>
        <v>https://vt.tiktok.com/ZSHGWBBLdQFVx-IrDNj/</v>
      </c>
      <c r="D65" s="4" t="str">
        <f>IFERROR(__xludf.DUMMYFUNCTION("""COMPUTED_VALUE"""),"LD_MU_FM_008")</f>
        <v>LD_MU_FM_008</v>
      </c>
      <c r="E65" s="5" t="str">
        <f>IFERROR(__xludf.DUMMYFUNCTION("""COMPUTED_VALUE"""),"O.TWO.O Countour Stick #otwoo #contour")</f>
        <v>O.TWO.O Countour Stick #otwoo #contour</v>
      </c>
      <c r="F65" s="3"/>
      <c r="G65" s="3"/>
      <c r="K65" s="8"/>
      <c r="L65" s="8"/>
      <c r="M65" s="8"/>
      <c r="N65" s="8"/>
      <c r="O65" s="8"/>
      <c r="P65" s="8"/>
    </row>
    <row r="66" ht="51" spans="1:16">
      <c r="A66" s="4" t="str">
        <f>IFERROR(__xludf.DUMMYFUNCTION("""COMPUTED_VALUE"""),"26/8")</f>
        <v>26/8</v>
      </c>
      <c r="B66" s="5" t="str">
        <f>IFERROR(__xludf.DUMMYFUNCTION("""COMPUTED_VALUE"""),"[Buy Cream Gift Powder] Ocheal CC Cream Cushion Foundation Cream Invisible Finished ")</f>
        <v>[Buy Cream Gift Powder] Ocheal CC Cream Cushion Foundation Cream Invisible Finished </v>
      </c>
      <c r="C66" s="6" t="str">
        <f>IFERROR(__xludf.DUMMYFUNCTION("""COMPUTED_VALUE"""),"vt.tiktok.com/ZSHKJAph44Gt3-pj3b4/")</f>
        <v>vt.tiktok.com/ZSHKJAph44Gt3-pj3b4/</v>
      </c>
      <c r="D66" s="4" t="str">
        <f>IFERROR(__xludf.DUMMYFUNCTION("""COMPUTED_VALUE"""),"LD_MU_FM_014")</f>
        <v>LD_MU_FM_014</v>
      </c>
      <c r="E66" s="5" t="str">
        <f>IFERROR(__xludf.DUMMYFUNCTION("""COMPUTED_VALUE"""),"Ocheal CC Cream Cushion #ocheal #cushion")</f>
        <v>Ocheal CC Cream Cushion #ocheal #cushion</v>
      </c>
      <c r="F66" s="3"/>
      <c r="G66" s="3"/>
      <c r="K66" s="8"/>
      <c r="L66" s="8"/>
      <c r="M66" s="8"/>
      <c r="N66" s="8"/>
      <c r="O66" s="8"/>
      <c r="P66" s="8"/>
    </row>
    <row r="67" ht="51" spans="1:16">
      <c r="A67" s="4" t="str">
        <f>IFERROR(__xludf.DUMMYFUNCTION("""COMPUTED_VALUE"""),"28/8")</f>
        <v>28/8</v>
      </c>
      <c r="B67" s="5" t="str">
        <f>IFERROR(__xludf.DUMMYFUNCTION("""COMPUTED_VALUE"""),"【BUY 1 TAKE 2】Ten Twenty Waterproof Longla")</f>
        <v>【BUY 1 TAKE 2】Ten Twenty Waterproof Longla</v>
      </c>
      <c r="C67" s="6" t="str">
        <f>IFERROR(__xludf.DUMMYFUNCTION("""COMPUTED_VALUE"""),"https://vt.tiktok.com/ZSH7kCNYjqkKX-KoNKz/
")</f>
        <v>https://vt.tiktok.com/ZSH7kCNYjqkKX-KoNKz/
</v>
      </c>
      <c r="D67" s="4" t="str">
        <f>IFERROR(__xludf.DUMMYFUNCTION("""COMPUTED_VALUE"""),"LD_MU_FM_016")</f>
        <v>LD_MU_FM_016</v>
      </c>
      <c r="E67" s="5" t="str">
        <f>IFERROR(__xludf.DUMMYFUNCTION("""COMPUTED_VALUE"""),"Tentwenty Liquid Foundation #tentwenty #foundation")</f>
        <v>Tentwenty Liquid Foundation #tentwenty #foundation</v>
      </c>
      <c r="F67" s="3"/>
      <c r="G67" s="3"/>
      <c r="K67" s="8"/>
      <c r="L67" s="8"/>
      <c r="M67" s="8"/>
      <c r="N67" s="8"/>
      <c r="O67" s="8"/>
      <c r="P67" s="8"/>
    </row>
    <row r="68" ht="63.75" spans="1:16">
      <c r="A68" s="4" t="str">
        <f>IFERROR(__xludf.DUMMYFUNCTION("""COMPUTED_VALUE"""),"29/08/25")</f>
        <v>29/08/25</v>
      </c>
      <c r="B68" s="5" t="str">
        <f>IFERROR(__xludf.DUMMYFUNCTION("""COMPUTED_VALUE"""),"AZLA 115ml Makuo Setting Spray Lasting Setting Moisturizing Oil Control Rếhing Finish Spray FDA approved")</f>
        <v>AZLA 115ml Makuo Setting Spray Lasting Setting Moisturizing Oil Control Rếhing Finish Spray FDA approved</v>
      </c>
      <c r="C68" s="6" t="str">
        <f>IFERROR(__xludf.DUMMYFUNCTION("""COMPUTED_VALUE"""),"https://vt.tiktok.com/ZSA9CNw94/")</f>
        <v>https://vt.tiktok.com/ZSA9CNw94/</v>
      </c>
      <c r="D68" s="4" t="str">
        <f>IFERROR(__xludf.DUMMYFUNCTION("""COMPUTED_VALUE"""),"LD_MU_FM_018")</f>
        <v>LD_MU_FM_018</v>
      </c>
      <c r="E68" s="5" t="str">
        <f>IFERROR(__xludf.DUMMYFUNCTION("""COMPUTED_VALUE"""),"AZLA Setting Spray #azla #settingspray")</f>
        <v>AZLA Setting Spray #azla #settingspray</v>
      </c>
      <c r="F68" s="3"/>
      <c r="G68" s="3"/>
      <c r="K68" s="8"/>
      <c r="L68" s="8"/>
      <c r="M68" s="8"/>
      <c r="N68" s="8"/>
      <c r="O68" s="8"/>
      <c r="P68" s="8"/>
    </row>
    <row r="69" ht="38.25" spans="1:16">
      <c r="A69" s="4" t="str">
        <f>IFERROR(__xludf.DUMMYFUNCTION("""COMPUTED_VALUE"""),"8/9/2025")</f>
        <v>8/9/2025</v>
      </c>
      <c r="B69" s="5" t="str">
        <f>IFERROR(__xludf.DUMMYFUNCTION("""COMPUTED_VALUE"""),"DW 2in1 Powder Cushion All in one Oil control Lo")</f>
        <v>DW 2in1 Powder Cushion All in one Oil control Lo</v>
      </c>
      <c r="C69" s="6" t="str">
        <f>IFERROR(__xludf.DUMMYFUNCTION("""COMPUTED_VALUE"""),"https://vt.tiktok.com/ZSH7k42s4F4bw-rt1JN/")</f>
        <v>https://vt.tiktok.com/ZSH7k42s4F4bw-rt1JN/</v>
      </c>
      <c r="D69" s="4" t="str">
        <f>IFERROR(__xludf.DUMMYFUNCTION("""COMPUTED_VALUE"""),"LD_MU_FM_019")</f>
        <v>LD_MU_FM_019</v>
      </c>
      <c r="E69" s="5" t="str">
        <f>IFERROR(__xludf.DUMMYFUNCTION("""COMPUTED_VALUE"""),"DW 2in1 Powder Cushion #DW #cushion")</f>
        <v>DW 2in1 Powder Cushion #DW #cushion</v>
      </c>
      <c r="F69" s="3"/>
      <c r="G69" s="3"/>
      <c r="K69" s="8"/>
      <c r="L69" s="8"/>
      <c r="M69" s="8"/>
      <c r="N69" s="8"/>
      <c r="O69" s="8"/>
      <c r="P69" s="8"/>
    </row>
    <row r="70" ht="51" spans="1:16">
      <c r="A70" s="4" t="str">
        <f>IFERROR(__xludf.DUMMYFUNCTION("""COMPUTED_VALUE"""),"13/09/2025")</f>
        <v>13/09/2025</v>
      </c>
      <c r="B70" s="5" t="str">
        <f>IFERROR(__xludf.DUMMYFUNCTION("""COMPUTED_VALUE"""),"Maybeline Fit Me Compact Powder")</f>
        <v>Maybeline Fit Me Compact Powder</v>
      </c>
      <c r="C70" s="6" t="str">
        <f>IFERROR(__xludf.DUMMYFUNCTION("""COMPUTED_VALUE"""),"https://vt.tiktok.com/ZSHnruhDhrKMX-SeKZo/")</f>
        <v>https://vt.tiktok.com/ZSHnruhDhrKMX-SeKZo/</v>
      </c>
      <c r="D70" s="4" t="str">
        <f>IFERROR(__xludf.DUMMYFUNCTION("""COMPUTED_VALUE"""),"LD_MU_FM_020")</f>
        <v>LD_MU_FM_020</v>
      </c>
      <c r="E70" s="5" t="str">
        <f>IFERROR(__xludf.DUMMYFUNCTION("""COMPUTED_VALUE"""),"Maybeline Fit Me Compact Powder
#maybeline #compactpowder")</f>
        <v>Maybeline Fit Me Compact Powder
#maybeline #compactpowder</v>
      </c>
      <c r="F70" s="3"/>
      <c r="G70" s="3"/>
      <c r="K70" s="8"/>
      <c r="L70" s="8"/>
      <c r="M70" s="8"/>
      <c r="N70" s="8"/>
      <c r="O70" s="8"/>
      <c r="P70" s="8"/>
    </row>
    <row r="71" ht="51" spans="1:16">
      <c r="A71" s="4" t="str">
        <f>IFERROR(__xludf.DUMMYFUNCTION("""COMPUTED_VALUE"""),"13/09/2025")</f>
        <v>13/09/2025</v>
      </c>
      <c r="B71" s="5" t="str">
        <f>IFERROR(__xludf.DUMMYFUNCTION("""COMPUTED_VALUE"""),"FOCALLURE Face Powder")</f>
        <v>FOCALLURE Face Powder</v>
      </c>
      <c r="C71" s="6" t="str">
        <f>IFERROR(__xludf.DUMMYFUNCTION("""COMPUTED_VALUE"""),"https://vt.tiktok.com/ZSHnr999LoNpk-lNda9/")</f>
        <v>https://vt.tiktok.com/ZSHnr999LoNpk-lNda9/</v>
      </c>
      <c r="D71" s="4" t="str">
        <f>IFERROR(__xludf.DUMMYFUNCTION("""COMPUTED_VALUE"""),"LD_MU_FM_021")</f>
        <v>LD_MU_FM_021</v>
      </c>
      <c r="E71" s="5" t="str">
        <f>IFERROR(__xludf.DUMMYFUNCTION("""COMPUTED_VALUE"""),"FOCALLURE Face Powder #focallure #facepowder")</f>
        <v>FOCALLURE Face Powder #focallure #facepowder</v>
      </c>
      <c r="F71" s="3"/>
      <c r="G71" s="3"/>
      <c r="K71" s="8"/>
      <c r="L71" s="8"/>
      <c r="M71" s="8"/>
      <c r="N71" s="8"/>
      <c r="O71" s="8"/>
      <c r="P71" s="8"/>
    </row>
    <row r="72" ht="63.75" spans="1:16">
      <c r="A72" s="4" t="str">
        <f>IFERROR(__xludf.DUMMYFUNCTION("""COMPUTED_VALUE"""),"13/09/2025")</f>
        <v>13/09/2025</v>
      </c>
      <c r="B72" s="5" t="str">
        <f>IFERROR(__xludf.DUMMYFUNCTION("""COMPUTED_VALUE"""),"FOCALLURE Liquid Matte Foundation")</f>
        <v>FOCALLURE Liquid Matte Foundation</v>
      </c>
      <c r="C72" s="6" t="str">
        <f>IFERROR(__xludf.DUMMYFUNCTION("""COMPUTED_VALUE"""),"https://vt.tiktok.com/ZSHnr95jAbbcT-RgmYk/")</f>
        <v>https://vt.tiktok.com/ZSHnr95jAbbcT-RgmYk/</v>
      </c>
      <c r="D72" s="4" t="str">
        <f>IFERROR(__xludf.DUMMYFUNCTION("""COMPUTED_VALUE"""),"LD_MU_FM_022")</f>
        <v>LD_MU_FM_022</v>
      </c>
      <c r="E72" s="5" t="str">
        <f>IFERROR(__xludf.DUMMYFUNCTION("""COMPUTED_VALUE"""),"FOCALLURE Liquid Matte Foundation #focallure #foundation")</f>
        <v>FOCALLURE Liquid Matte Foundation #focallure #foundation</v>
      </c>
      <c r="F72" s="3"/>
      <c r="G72" s="3"/>
      <c r="K72" s="8"/>
      <c r="L72" s="8"/>
      <c r="M72" s="8"/>
      <c r="N72" s="8"/>
      <c r="O72" s="8"/>
      <c r="P72" s="8"/>
    </row>
    <row r="73" ht="63.75" spans="1:16">
      <c r="A73" s="4" t="str">
        <f>IFERROR(__xludf.DUMMYFUNCTION("""COMPUTED_VALUE"""),"13/09/2025")</f>
        <v>13/09/2025</v>
      </c>
      <c r="B73" s="5" t="str">
        <f>IFERROR(__xludf.DUMMYFUNCTION("""COMPUTED_VALUE"""),"FOCALLURE 24Hours Foundation")</f>
        <v>FOCALLURE 24Hours Foundation</v>
      </c>
      <c r="C73" s="6" t="str">
        <f>IFERROR(__xludf.DUMMYFUNCTION("""COMPUTED_VALUE"""),"https://vt.tiktok.com/ZSHnr9CxPc4ec-h9qCG/")</f>
        <v>https://vt.tiktok.com/ZSHnr9CxPc4ec-h9qCG/</v>
      </c>
      <c r="D73" s="4" t="str">
        <f>IFERROR(__xludf.DUMMYFUNCTION("""COMPUTED_VALUE"""),"LD_MU_FM_023")</f>
        <v>LD_MU_FM_023</v>
      </c>
      <c r="E73" s="5" t="str">
        <f>IFERROR(__xludf.DUMMYFUNCTION("""COMPUTED_VALUE"""),"FOCALLURE 24Hours Foundation #focallure #foundation")</f>
        <v>FOCALLURE 24Hours Foundation #focallure #foundation</v>
      </c>
      <c r="F73" s="3"/>
      <c r="G73" s="3"/>
      <c r="K73" s="8"/>
      <c r="L73" s="8"/>
      <c r="M73" s="8"/>
      <c r="N73" s="8"/>
      <c r="O73" s="8"/>
      <c r="P73" s="8"/>
    </row>
    <row r="74" ht="89.25" spans="1:16">
      <c r="A74" s="4" t="str">
        <f>IFERROR(__xludf.DUMMYFUNCTION("""COMPUTED_VALUE"""),"13/09/2025")</f>
        <v>13/09/2025</v>
      </c>
      <c r="B74" s="5" t="str">
        <f>IFERROR(__xludf.DUMMYFUNCTION("""COMPUTED_VALUE"""),"PINKFLASH Ohmypinkflash Ohmyline Evenly Pigmented Long Lasting Waterproof Sweat Proof Easy To Wear Black Eyeliner Pencil Lipliner Makeup")</f>
        <v>PINKFLASH Ohmypinkflash Ohmyline Evenly Pigmented Long Lasting Waterproof Sweat Proof Easy To Wear Black Eyeliner Pencil Lipliner Makeup</v>
      </c>
      <c r="C74" s="6" t="str">
        <f>IFERROR(__xludf.DUMMYFUNCTION("""COMPUTED_VALUE"""),"https://vt.tiktok.com/ZSHnrxWKkLkbj-8VKEA/")</f>
        <v>https://vt.tiktok.com/ZSHnrxWKkLkbj-8VKEA/</v>
      </c>
      <c r="D74" s="4" t="str">
        <f>IFERROR(__xludf.DUMMYFUNCTION("""COMPUTED_VALUE"""),"LD_MU_FM_023")</f>
        <v>LD_MU_FM_023</v>
      </c>
      <c r="E74" s="5" t="str">
        <f>IFERROR(__xludf.DUMMYFUNCTION("""COMPUTED_VALUE"""),"PINKFLASH Ohmypinkflash Waterproof Eyeliner Pencil #pinkflash #eyeliner")</f>
        <v>PINKFLASH Ohmypinkflash Waterproof Eyeliner Pencil #pinkflash #eyeliner</v>
      </c>
      <c r="F74" s="3"/>
      <c r="G74" s="3"/>
      <c r="K74" s="8"/>
      <c r="L74" s="8"/>
      <c r="M74" s="8"/>
      <c r="N74" s="8"/>
      <c r="O74" s="8"/>
      <c r="P74" s="8"/>
    </row>
    <row r="75" ht="76.5" spans="1:16">
      <c r="A75" s="4" t="str">
        <f>IFERROR(__xludf.DUMMYFUNCTION("""COMPUTED_VALUE"""),"13/09/2025")</f>
        <v>13/09/2025</v>
      </c>
      <c r="B75" s="5" t="str">
        <f>IFERROR(__xludf.DUMMYFUNCTION("""COMPUTED_VALUE"""),"PINKFLASH Mellow Radiant Blush Hight Pigment Fine Powder Smooth Non-cakey Blendable Lightweight Makeup Matte")</f>
        <v>PINKFLASH Mellow Radiant Blush Hight Pigment Fine Powder Smooth Non-cakey Blendable Lightweight Makeup Matte</v>
      </c>
      <c r="C75" s="6" t="str">
        <f>IFERROR(__xludf.DUMMYFUNCTION("""COMPUTED_VALUE"""),"https://vt.tiktok.com/ZSHnrxvHVHYst-XxeAn/")</f>
        <v>https://vt.tiktok.com/ZSHnrxvHVHYst-XxeAn/</v>
      </c>
      <c r="D75" s="4" t="str">
        <f>IFERROR(__xludf.DUMMYFUNCTION("""COMPUTED_VALUE"""),"LD_MU_FM_025")</f>
        <v>LD_MU_FM_025</v>
      </c>
      <c r="E75" s="5" t="str">
        <f>IFERROR(__xludf.DUMMYFUNCTION("""COMPUTED_VALUE"""),"PINKFLASH Mellow Radiant Blush #pinkflash #blush")</f>
        <v>PINKFLASH Mellow Radiant Blush #pinkflash #blush</v>
      </c>
      <c r="F75" s="3"/>
      <c r="G75" s="3"/>
      <c r="K75" s="8"/>
      <c r="L75" s="8"/>
      <c r="M75" s="8"/>
      <c r="N75" s="8"/>
      <c r="O75" s="8"/>
      <c r="P75" s="8"/>
    </row>
    <row r="76" ht="63.75" spans="1:16">
      <c r="A76" s="4" t="str">
        <f>IFERROR(__xludf.DUMMYFUNCTION("""COMPUTED_VALUE"""),"15/09/2025")</f>
        <v>15/09/2025</v>
      </c>
      <c r="B76" s="5" t="str">
        <f>IFERROR(__xludf.DUMMYFUNCTION("""COMPUTED_VALUE"""),"PINKFLASH 2-in-1 Duo Effect Eye Makeup Eyebrow Cream &amp; Powder Gel Pomade Eyeliner Eyebrow Brush ")</f>
        <v>PINKFLASH 2-in-1 Duo Effect Eye Makeup Eyebrow Cream &amp; Powder Gel Pomade Eyeliner Eyebrow Brush </v>
      </c>
      <c r="C76" s="6" t="str">
        <f>IFERROR(__xludf.DUMMYFUNCTION("""COMPUTED_VALUE"""),"https://vt.tiktok.com/ZSHnrCDPhCTgY-8s0fR/")</f>
        <v>https://vt.tiktok.com/ZSHnrCDPhCTgY-8s0fR/</v>
      </c>
      <c r="D76" s="4" t="str">
        <f>IFERROR(__xludf.DUMMYFUNCTION("""COMPUTED_VALUE"""),"LD_MU_FM_026")</f>
        <v>LD_MU_FM_026</v>
      </c>
      <c r="E76" s="5" t="str">
        <f>IFERROR(__xludf.DUMMYFUNCTION("""COMPUTED_VALUE"""),"PINKFLASH Powder Gel Pomade Eyeliner #pinkflash #eyeliner")</f>
        <v>PINKFLASH Powder Gel Pomade Eyeliner #pinkflash #eyeliner</v>
      </c>
      <c r="F76" s="3"/>
      <c r="G76" s="3"/>
      <c r="K76" s="8"/>
      <c r="L76" s="8"/>
      <c r="M76" s="8"/>
      <c r="N76" s="8"/>
      <c r="O76" s="8"/>
      <c r="P76" s="8"/>
    </row>
    <row r="77" ht="102" spans="1:16">
      <c r="A77" s="4" t="str">
        <f>IFERROR(__xludf.DUMMYFUNCTION("""COMPUTED_VALUE"""),"16/09/2025")</f>
        <v>16/09/2025</v>
      </c>
      <c r="B77" s="5" t="str">
        <f>IFERROR(__xludf.DUMMYFUNCTION("""COMPUTED_VALUE"""),"PINKFLASH Face Makeup set 3pcs contain 1 Foundation+1 Liquid Concealer+1 Beauty Sponge Long Lasting Matte Oil control Waterproof Flawless Blend")</f>
        <v>PINKFLASH Face Makeup set 3pcs contain 1 Foundation+1 Liquid Concealer+1 Beauty Sponge Long Lasting Matte Oil control Waterproof Flawless Blend</v>
      </c>
      <c r="C77" s="6" t="str">
        <f>IFERROR(__xludf.DUMMYFUNCTION("""COMPUTED_VALUE"""),"https://vt.tiktok.com/ZSHnrCagYxRNP-eA8LA/")</f>
        <v>https://vt.tiktok.com/ZSHnrCagYxRNP-eA8LA/</v>
      </c>
      <c r="D77" s="4" t="str">
        <f>IFERROR(__xludf.DUMMYFUNCTION("""COMPUTED_VALUE"""),"LD_MU_FM_027")</f>
        <v>LD_MU_FM_027</v>
      </c>
      <c r="E77" s="5" t="str">
        <f>IFERROR(__xludf.DUMMYFUNCTION("""COMPUTED_VALUE"""),"PINKFLASH Face Makeup set 3pcs #pinkflash #makeupset")</f>
        <v>PINKFLASH Face Makeup set 3pcs #pinkflash #makeupset</v>
      </c>
      <c r="F77" s="3"/>
      <c r="G77" s="3"/>
      <c r="K77" s="8"/>
      <c r="L77" s="8"/>
      <c r="M77" s="8"/>
      <c r="N77" s="8"/>
      <c r="O77" s="8"/>
      <c r="P77" s="8"/>
    </row>
    <row r="78" ht="51" spans="1:16">
      <c r="A78" s="4" t="str">
        <f>IFERROR(__xludf.DUMMYFUNCTION("""COMPUTED_VALUE"""),"16/09/2025")</f>
        <v>16/09/2025</v>
      </c>
      <c r="B78" s="5" t="str">
        <f>IFERROR(__xludf.DUMMYFUNCTION("""COMPUTED_VALUE"""),"PINKFLASH Multi-Use Watery Blush Stick")</f>
        <v>PINKFLASH Multi-Use Watery Blush Stick</v>
      </c>
      <c r="C78" s="6" t="str">
        <f>IFERROR(__xludf.DUMMYFUNCTION("""COMPUTED_VALUE"""),"https://vt.tiktok.com/ZSHnrCH6VnSPf-ctaaG/")</f>
        <v>https://vt.tiktok.com/ZSHnrCH6VnSPf-ctaaG/</v>
      </c>
      <c r="D78" s="4" t="str">
        <f>IFERROR(__xludf.DUMMYFUNCTION("""COMPUTED_VALUE"""),"LD_MU_FM_028")</f>
        <v>LD_MU_FM_028</v>
      </c>
      <c r="E78" s="5" t="str">
        <f>IFERROR(__xludf.DUMMYFUNCTION("""COMPUTED_VALUE"""),"PINKFLASH Multi-Use Watery Blush Stick
#pinkflash #blush")</f>
        <v>PINKFLASH Multi-Use Watery Blush Stick
#pinkflash #blush</v>
      </c>
      <c r="F78" s="3"/>
      <c r="G78" s="3"/>
      <c r="K78" s="8"/>
      <c r="L78" s="8"/>
      <c r="M78" s="8"/>
      <c r="N78" s="8"/>
      <c r="O78" s="8"/>
      <c r="P78" s="8"/>
    </row>
    <row r="79" ht="51" spans="1:16">
      <c r="A79" s="4" t="str">
        <f>IFERROR(__xludf.DUMMYFUNCTION("""COMPUTED_VALUE"""),"20/9")</f>
        <v>20/9</v>
      </c>
      <c r="B79" s="5" t="str">
        <f>IFERROR(__xludf.DUMMYFUNCTION("""COMPUTED_VALUE"""),"blk cosmetics soft blur powder blush")</f>
        <v>blk cosmetics soft blur powder blush</v>
      </c>
      <c r="C79" s="6" t="str">
        <f>IFERROR(__xludf.DUMMYFUNCTION("""COMPUTED_VALUE"""),"https://vt.tiktok.com/ZSH7AP4Bysys7-EuwBz/
")</f>
        <v>https://vt.tiktok.com/ZSH7AP4Bysys7-EuwBz/
</v>
      </c>
      <c r="D79" s="4" t="str">
        <f>IFERROR(__xludf.DUMMYFUNCTION("""COMPUTED_VALUE"""),"LD_MU_FM_032")</f>
        <v>LD_MU_FM_032</v>
      </c>
      <c r="E79" s="5" t="str">
        <f>IFERROR(__xludf.DUMMYFUNCTION("""COMPUTED_VALUE"""),"blk cosmetics soft blur powder blush
#blkcosmetic #blush")</f>
        <v>blk cosmetics soft blur powder blush
#blkcosmetic #blush</v>
      </c>
      <c r="F79" s="3"/>
      <c r="G79" s="3"/>
      <c r="K79" s="8"/>
      <c r="L79" s="8"/>
      <c r="M79" s="8"/>
      <c r="N79" s="8"/>
      <c r="O79" s="8"/>
      <c r="P79" s="8"/>
    </row>
    <row r="80" ht="89.25" spans="1:16">
      <c r="A80" s="4" t="str">
        <f>IFERROR(__xludf.DUMMYFUNCTION("""COMPUTED_VALUE"""),"13/09/2025")</f>
        <v>13/09/2025</v>
      </c>
      <c r="B80" s="5" t="str">
        <f>IFERROR(__xludf.DUMMYFUNCTION("""COMPUTED_VALUE"""),"PINKFLASH Highlight Stick Magic Shaping 3D Streamer DUO 2 In 1 Shadow Contour Powder Makeup Shaping Creamy Smooth Shimmer 4g Pearl Waterproof")</f>
        <v>PINKFLASH Highlight Stick Magic Shaping 3D Streamer DUO 2 In 1 Shadow Contour Powder Makeup Shaping Creamy Smooth Shimmer 4g Pearl Waterproof</v>
      </c>
      <c r="C80" s="6" t="str">
        <f>IFERROR(__xludf.DUMMYFUNCTION("""COMPUTED_VALUE"""),"https://vt.tiktok.com/ZSHnrCM6AxYYs-OtRek/")</f>
        <v>https://vt.tiktok.com/ZSHnrCM6AxYYs-OtRek/</v>
      </c>
      <c r="D80" s="4" t="str">
        <f>IFERROR(__xludf.DUMMYFUNCTION("""COMPUTED_VALUE"""),"LD_MU_FM_033")</f>
        <v>LD_MU_FM_033</v>
      </c>
      <c r="E80" s="5" t="str">
        <f>IFERROR(__xludf.DUMMYFUNCTION("""COMPUTED_VALUE"""),"PINKFLASH Highlight Stick #pinkflash #highlight")</f>
        <v>PINKFLASH Highlight Stick #pinkflash #highlight</v>
      </c>
      <c r="F80" s="3"/>
      <c r="G80" s="3"/>
      <c r="K80" s="8"/>
      <c r="L80" s="8"/>
      <c r="M80" s="8"/>
      <c r="N80" s="8"/>
      <c r="O80" s="8"/>
      <c r="P80" s="8"/>
    </row>
    <row r="81" ht="89.25" spans="1:16">
      <c r="A81" s="4" t="str">
        <f>IFERROR(__xludf.DUMMYFUNCTION("""COMPUTED_VALUE"""),"01/12/25")</f>
        <v>01/12/25</v>
      </c>
      <c r="B81" s="5" t="str">
        <f>IFERROR(__xludf.DUMMYFUNCTION("""COMPUTED_VALUE"""),"TEN TWENTY 5 IN 1 PINK SET - LIQUID FOUNDATION PINK MATTE POWDER SHEER BLUSH MASCARA BROW PENCIL MAKE-UP SET")</f>
        <v>TEN TWENTY 5 IN 1 PINK SET - LIQUID FOUNDATION PINK MATTE POWDER SHEER BLUSH MASCARA BROW PENCIL MAKE-UP SET</v>
      </c>
      <c r="C81" s="6" t="str">
        <f>IFERROR(__xludf.DUMMYFUNCTION("""COMPUTED_VALUE"""),"vt.tiktok.com/ZSHTVe8GovGjT-RtlhC/")</f>
        <v>vt.tiktok.com/ZSHTVe8GovGjT-RtlhC/</v>
      </c>
      <c r="D81" s="4" t="str">
        <f>IFERROR(__xludf.DUMMYFUNCTION("""COMPUTED_VALUE"""),"LD_MU_FM_034")</f>
        <v>LD_MU_FM_034</v>
      </c>
      <c r="E81" s="5" t="str">
        <f>IFERROR(__xludf.DUMMYFUNCTION("""COMPUTED_VALUE"""),"TEN TWENTY 5 IN 1 PINK SET  #tentwenty #makeupset")</f>
        <v>TEN TWENTY 5 IN 1 PINK SET  #tentwenty #makeupset</v>
      </c>
      <c r="F81" s="3"/>
      <c r="G81" s="3"/>
      <c r="K81" s="8"/>
      <c r="L81" s="8"/>
      <c r="M81" s="8"/>
      <c r="N81" s="8"/>
      <c r="O81" s="8"/>
      <c r="P81" s="8"/>
    </row>
    <row r="82" ht="63.75" spans="1:16">
      <c r="A82" s="4" t="str">
        <f>IFERROR(__xludf.DUMMYFUNCTION("""COMPUTED_VALUE"""),"11/12/25")</f>
        <v>11/12/25</v>
      </c>
      <c r="B82" s="5" t="str">
        <f>IFERROR(__xludf.DUMMYFUNCTION("""COMPUTED_VALUE"""),"DAZZLE ME Get a Grip! Makeup Setting Spray Prime+Set Anti-Pollution | Protection
24H")</f>
        <v>DAZZLE ME Get a Grip! Makeup Setting Spray Prime+Set Anti-Pollution | Protection
24H</v>
      </c>
      <c r="C82" s="6" t="str">
        <f>IFERROR(__xludf.DUMMYFUNCTION("""COMPUTED_VALUE"""),"vt.tiktok.com/ZSHwPV45Scqm6-GESQU/")</f>
        <v>vt.tiktok.com/ZSHwPV45Scqm6-GESQU/</v>
      </c>
      <c r="D82" s="4" t="str">
        <f>IFERROR(__xludf.DUMMYFUNCTION("""COMPUTED_VALUE"""),"LD_MU_FM_038")</f>
        <v>LD_MU_FM_038</v>
      </c>
      <c r="E82" s="5" t="str">
        <f>IFERROR(__xludf.DUMMYFUNCTION("""COMPUTED_VALUE"""),"DAZZLE ME Setting Spray #Dazzleme #settingspray")</f>
        <v>DAZZLE ME Setting Spray #Dazzleme #settingspray</v>
      </c>
      <c r="F82" s="3"/>
      <c r="G82" s="3"/>
      <c r="K82" s="8"/>
      <c r="L82" s="8"/>
      <c r="M82" s="8"/>
      <c r="N82" s="8"/>
      <c r="O82" s="8"/>
      <c r="P82" s="8"/>
    </row>
    <row r="83" ht="51" spans="1:16">
      <c r="A83" s="4" t="str">
        <f>IFERROR(__xludf.DUMMYFUNCTION("""COMPUTED_VALUE"""),"11/12/25")</f>
        <v>11/12/25</v>
      </c>
      <c r="B83" s="5" t="str">
        <f>IFERROR(__xludf.DUMMYFUNCTION("""COMPUTED_VALUE"""),"Vitamin C Setting Spray ")</f>
        <v>Vitamin C Setting Spray </v>
      </c>
      <c r="C83" s="6" t="str">
        <f>IFERROR(__xludf.DUMMYFUNCTION("""COMPUTED_VALUE"""),"vt.tiktok.com/ZSHwPbFTU1mHd-E3zEE/")</f>
        <v>vt.tiktok.com/ZSHwPbFTU1mHd-E3zEE/</v>
      </c>
      <c r="D83" s="4" t="str">
        <f>IFERROR(__xludf.DUMMYFUNCTION("""COMPUTED_VALUE"""),"LD_MU_FM_039")</f>
        <v>LD_MU_FM_039</v>
      </c>
      <c r="E83" s="5" t="str">
        <f>IFERROR(__xludf.DUMMYFUNCTION("""COMPUTED_VALUE"""),"Vitamin C Setting Spray 
#skinnotes #settingspray")</f>
        <v>Vitamin C Setting Spray 
#skinnotes #settingspray</v>
      </c>
      <c r="F83" s="3"/>
      <c r="G83" s="3"/>
      <c r="K83" s="8"/>
      <c r="L83" s="8"/>
      <c r="M83" s="8"/>
      <c r="N83" s="8"/>
      <c r="O83" s="8"/>
      <c r="P83" s="8"/>
    </row>
    <row r="84" ht="38.25" spans="1:16">
      <c r="A84" s="4" t="str">
        <f>IFERROR(__xludf.DUMMYFUNCTION("""COMPUTED_VALUE"""),"11/12/25")</f>
        <v>11/12/25</v>
      </c>
      <c r="B84" s="5" t="str">
        <f>IFERROR(__xludf.DUMMYFUNCTION("""COMPUTED_VALUE"""),"DW Setting spray 12HR long lasting makeup setting super hold 100ml")</f>
        <v>DW Setting spray 12HR long lasting makeup setting super hold 100ml</v>
      </c>
      <c r="C84" s="6" t="str">
        <f>IFERROR(__xludf.DUMMYFUNCTION("""COMPUTED_VALUE"""),"https://vt.tiktok.com/ZSHwPgNbQkguM-3KGbk/")</f>
        <v>https://vt.tiktok.com/ZSHwPgNbQkguM-3KGbk/</v>
      </c>
      <c r="D84" s="4" t="str">
        <f>IFERROR(__xludf.DUMMYFUNCTION("""COMPUTED_VALUE"""),"LD_MU_FM_040")</f>
        <v>LD_MU_FM_040</v>
      </c>
      <c r="E84" s="5" t="str">
        <f>IFERROR(__xludf.DUMMYFUNCTION("""COMPUTED_VALUE"""),"DW Setting spray #DW #settingspray")</f>
        <v>DW Setting spray #DW #settingspray</v>
      </c>
      <c r="F84" s="3"/>
      <c r="G84" s="3"/>
      <c r="K84" s="8"/>
      <c r="L84" s="8"/>
      <c r="M84" s="8"/>
      <c r="N84" s="8"/>
      <c r="O84" s="8"/>
      <c r="P84" s="8"/>
    </row>
    <row r="85" ht="38.25" spans="1:16">
      <c r="A85" s="4" t="str">
        <f>IFERROR(__xludf.DUMMYFUNCTION("""COMPUTED_VALUE"""),"11/12/25")</f>
        <v>11/12/25</v>
      </c>
      <c r="B85" s="5" t="str">
        <f>IFERROR(__xludf.DUMMYFUNCTION("""COMPUTED_VALUE"""),"Careline Oil Control Blush-on [Blush on, Soft Matte, Makeup]")</f>
        <v>Careline Oil Control Blush-on [Blush on, Soft Matte, Makeup]</v>
      </c>
      <c r="C85" s="6" t="str">
        <f>IFERROR(__xludf.DUMMYFUNCTION("""COMPUTED_VALUE"""),"https://vt.tiktok.com/ZSHwPg9oGdWDY-wLLBa/")</f>
        <v>https://vt.tiktok.com/ZSHwPg9oGdWDY-wLLBa/</v>
      </c>
      <c r="D85" s="4" t="str">
        <f>IFERROR(__xludf.DUMMYFUNCTION("""COMPUTED_VALUE"""),"LD_MU_FM_041")</f>
        <v>LD_MU_FM_041</v>
      </c>
      <c r="E85" s="5" t="str">
        <f>IFERROR(__xludf.DUMMYFUNCTION("""COMPUTED_VALUE"""),"Careline Oil Control Blush #Careline #blush")</f>
        <v>Careline Oil Control Blush #Careline #blush</v>
      </c>
      <c r="F85" s="3"/>
      <c r="G85" s="3"/>
      <c r="K85" s="8"/>
      <c r="L85" s="8"/>
      <c r="M85" s="8"/>
      <c r="N85" s="8"/>
      <c r="O85" s="8"/>
      <c r="P85" s="8"/>
    </row>
    <row r="86" ht="51" spans="1:16">
      <c r="A86" s="4" t="str">
        <f>IFERROR(__xludf.DUMMYFUNCTION("""COMPUTED_VALUE"""),"11/12/25")</f>
        <v>11/12/25</v>
      </c>
      <c r="B86" s="5" t="str">
        <f>IFERROR(__xludf.DUMMYFUNCTION("""COMPUTED_VALUE"""),"Careline Oil Control Face Powder 10g")</f>
        <v>Careline Oil Control Face Powder 10g</v>
      </c>
      <c r="C86" s="6" t="str">
        <f>IFERROR(__xludf.DUMMYFUNCTION("""COMPUTED_VALUE"""),"https://vt.tiktok.com/ZSHwPgpGy4Dv4-7Aebn/")</f>
        <v>https://vt.tiktok.com/ZSHwPgpGy4Dv4-7Aebn/</v>
      </c>
      <c r="D86" s="4" t="str">
        <f>IFERROR(__xludf.DUMMYFUNCTION("""COMPUTED_VALUE"""),"LD_MU_FM_042")</f>
        <v>LD_MU_FM_042</v>
      </c>
      <c r="E86" s="5" t="str">
        <f>IFERROR(__xludf.DUMMYFUNCTION("""COMPUTED_VALUE"""),"Careline Oil Control Face Powder #careline #facepowder")</f>
        <v>Careline Oil Control Face Powder #careline #facepowder</v>
      </c>
      <c r="F86" s="3"/>
      <c r="G86" s="3"/>
      <c r="K86" s="8"/>
      <c r="L86" s="8"/>
      <c r="M86" s="8"/>
      <c r="N86" s="8"/>
      <c r="O86" s="8"/>
      <c r="P86" s="8"/>
    </row>
    <row r="87" ht="51" spans="1:16">
      <c r="A87" s="4" t="str">
        <f>IFERROR(__xludf.DUMMYFUNCTION("""COMPUTED_VALUE"""),"11/12/25")</f>
        <v>11/12/25</v>
      </c>
      <c r="B87" s="5" t="str">
        <f>IFERROR(__xludf.DUMMYFUNCTION("""COMPUTED_VALUE"""),"Dr. Sensitive All Day No Sebum Blur Powder")</f>
        <v>Dr. Sensitive All Day No Sebum Blur Powder</v>
      </c>
      <c r="C87" s="6" t="str">
        <f>IFERROR(__xludf.DUMMYFUNCTION("""COMPUTED_VALUE"""),"https://vt.tiktok.com/ZSHwuLdWpqGSx-187qG/")</f>
        <v>https://vt.tiktok.com/ZSHwuLdWpqGSx-187qG/</v>
      </c>
      <c r="D87" s="4" t="str">
        <f>IFERROR(__xludf.DUMMYFUNCTION("""COMPUTED_VALUE"""),"LD_MU_FM_043")</f>
        <v>LD_MU_FM_043</v>
      </c>
      <c r="E87" s="5" t="str">
        <f>IFERROR(__xludf.DUMMYFUNCTION("""COMPUTED_VALUE"""),"Dr. Sensitive Blur Powder #drsensitive #facepowder")</f>
        <v>Dr. Sensitive Blur Powder #drsensitive #facepowder</v>
      </c>
      <c r="F87" s="3"/>
      <c r="G87" s="3"/>
      <c r="K87" s="8"/>
      <c r="L87" s="8"/>
      <c r="M87" s="8"/>
      <c r="N87" s="8"/>
      <c r="O87" s="8"/>
      <c r="P87" s="8"/>
    </row>
    <row r="88" ht="76.5" spans="1:16">
      <c r="A88" s="4" t="str">
        <f>IFERROR(__xludf.DUMMYFUNCTION("""COMPUTED_VALUE"""),"11/12/25")</f>
        <v>11/12/25</v>
      </c>
      <c r="B88" s="5" t="str">
        <f>IFERROR(__xludf.DUMMYFUNCTION("""COMPUTED_VALUE"""),"CLOUDBEAUTY Powder Blush - Soft Matte Silky Smooth Long Lasting Natural Glow Powder Formula Cheek Color Makeup")</f>
        <v>CLOUDBEAUTY Powder Blush - Soft Matte Silky Smooth Long Lasting Natural Glow Powder Formula Cheek Color Makeup</v>
      </c>
      <c r="C88" s="6" t="str">
        <f>IFERROR(__xludf.DUMMYFUNCTION("""COMPUTED_VALUE"""),"https://vt.tiktok.com/ZSHwuNMQUSJ4w-UVrdg/")</f>
        <v>https://vt.tiktok.com/ZSHwuNMQUSJ4w-UVrdg/</v>
      </c>
      <c r="D88" s="4" t="str">
        <f>IFERROR(__xludf.DUMMYFUNCTION("""COMPUTED_VALUE"""),"LD_MU_FM_044")</f>
        <v>LD_MU_FM_044</v>
      </c>
      <c r="E88" s="5" t="str">
        <f>IFERROR(__xludf.DUMMYFUNCTION("""COMPUTED_VALUE"""),"CLOUDBEAUTY Powder Blush #cloudbeauty #powderblush")</f>
        <v>CLOUDBEAUTY Powder Blush #cloudbeauty #powderblush</v>
      </c>
      <c r="F88" s="3"/>
      <c r="G88" s="3"/>
      <c r="K88" s="8"/>
      <c r="L88" s="8"/>
      <c r="M88" s="8"/>
      <c r="N88" s="8"/>
      <c r="O88" s="8"/>
      <c r="P88" s="8"/>
    </row>
    <row r="89" ht="63.75" spans="1:16">
      <c r="A89" s="4" t="str">
        <f>IFERROR(__xludf.DUMMYFUNCTION("""COMPUTED_VALUE"""),"11/12/25")</f>
        <v>11/12/25</v>
      </c>
      <c r="B89" s="5" t="str">
        <f>IFERROR(__xludf.DUMMYFUNCTION("""COMPUTED_VALUE"""),"JMCY 4-in-1 Air Cushion Foundation")</f>
        <v>JMCY 4-in-1 Air Cushion Foundation</v>
      </c>
      <c r="C89" s="6" t="str">
        <f>IFERROR(__xludf.DUMMYFUNCTION("""COMPUTED_VALUE"""),"vt.tiktok.com/ZSHwQsrA1uHVw-EoUpR/")</f>
        <v>vt.tiktok.com/ZSHwQsrA1uHVw-EoUpR/</v>
      </c>
      <c r="D89" s="4" t="str">
        <f>IFERROR(__xludf.DUMMYFUNCTION("""COMPUTED_VALUE"""),"LD_MU_FM_045")</f>
        <v>LD_MU_FM_045</v>
      </c>
      <c r="E89" s="5" t="str">
        <f>IFERROR(__xludf.DUMMYFUNCTION("""COMPUTED_VALUE"""),"JMCY 4-in-1 Air Cushion Foundation #JMCYbeauty #foundation")</f>
        <v>JMCY 4-in-1 Air Cushion Foundation #JMCYbeauty #foundation</v>
      </c>
      <c r="F89" s="3"/>
      <c r="G89" s="3"/>
      <c r="K89" s="8"/>
      <c r="L89" s="8"/>
      <c r="M89" s="8"/>
      <c r="N89" s="8"/>
      <c r="O89" s="8"/>
      <c r="P89" s="8"/>
    </row>
    <row r="90" ht="63.75" spans="1:16">
      <c r="A90" s="4" t="str">
        <f>IFERROR(__xludf.DUMMYFUNCTION("""COMPUTED_VALUE"""),"25/08/2025")</f>
        <v>25/08/2025</v>
      </c>
      <c r="B90" s="5" t="str">
        <f>IFERROR(__xludf.DUMMYFUNCTION("""COMPUTED_VALUE""")," 
blk cosmetics Lipstick")</f>
        <v> 
blk cosmetics Lipstick</v>
      </c>
      <c r="C90" s="6" t="str">
        <f>IFERROR(__xludf.DUMMYFUNCTION("""COMPUTED_VALUE"""),"vt.tiktok.com/ZSHwoGB4c9j47-6uwUj/")</f>
        <v>vt.tiktok.com/ZSHwoGB4c9j47-6uwUj/</v>
      </c>
      <c r="D90" s="4" t="str">
        <f>IFERROR(__xludf.DUMMYFUNCTION("""COMPUTED_VALUE"""),"LD_MU_LM_010")</f>
        <v>LD_MU_LM_010</v>
      </c>
      <c r="E90" s="5" t="str">
        <f>IFERROR(__xludf.DUMMYFUNCTION("""COMPUTED_VALUE""")," 
blk cosmetics Lipstick #blkcosmetic #lipstick")</f>
        <v> 
blk cosmetics Lipstick #blkcosmetic #lipstick</v>
      </c>
      <c r="F90" s="3"/>
      <c r="G90" s="3"/>
      <c r="K90" s="8"/>
      <c r="L90" s="8"/>
      <c r="M90" s="8"/>
      <c r="N90" s="8"/>
      <c r="O90" s="8"/>
      <c r="P90" s="8"/>
    </row>
    <row r="91" ht="63.75" spans="1:16">
      <c r="A91" s="4" t="str">
        <f>IFERROR(__xludf.DUMMYFUNCTION("""COMPUTED_VALUE"""),"25/08/2025")</f>
        <v>25/08/2025</v>
      </c>
      <c r="B91" s="5" t="str">
        <f>IFERROR(__xludf.DUMMYFUNCTION("""COMPUTED_VALUE"""),"blk cosmetics pillow matte lipstick ")</f>
        <v>blk cosmetics pillow matte lipstick </v>
      </c>
      <c r="C91" s="6" t="str">
        <f>IFERROR(__xludf.DUMMYFUNCTION("""COMPUTED_VALUE"""),"vt.tiktok.com/ZSHwoG5Jbd8As-TFyBT/")</f>
        <v>vt.tiktok.com/ZSHwoG5Jbd8As-TFyBT/</v>
      </c>
      <c r="D91" s="4" t="str">
        <f>IFERROR(__xludf.DUMMYFUNCTION("""COMPUTED_VALUE"""),"LD_MU_LM_011")</f>
        <v>LD_MU_LM_011</v>
      </c>
      <c r="E91" s="5" t="str">
        <f>IFERROR(__xludf.DUMMYFUNCTION("""COMPUTED_VALUE"""),"blk cosmetics pillow matte lipstick  #blkcosmetic #lipstick")</f>
        <v>blk cosmetics pillow matte lipstick  #blkcosmetic #lipstick</v>
      </c>
      <c r="F91" s="3"/>
      <c r="G91" s="3"/>
      <c r="K91" s="8"/>
      <c r="L91" s="8"/>
      <c r="M91" s="8"/>
      <c r="N91" s="8"/>
      <c r="O91" s="8"/>
      <c r="P91" s="8"/>
    </row>
    <row r="92" ht="51" spans="1:16">
      <c r="A92" s="4" t="str">
        <f>IFERROR(__xludf.DUMMYFUNCTION("""COMPUTED_VALUE"""),"25/08/2025")</f>
        <v>25/08/2025</v>
      </c>
      <c r="B92" s="5" t="str">
        <f>IFERROR(__xludf.DUMMYFUNCTION("""COMPUTED_VALUE"""),"blk cosmetics lip butter")</f>
        <v>blk cosmetics lip butter</v>
      </c>
      <c r="C92" s="6" t="str">
        <f>IFERROR(__xludf.DUMMYFUNCTION("""COMPUTED_VALUE"""),"vt.tiktok.com/ZSHwoGQfDNkgN-QJ4dX/")</f>
        <v>vt.tiktok.com/ZSHwoGQfDNkgN-QJ4dX/</v>
      </c>
      <c r="D92" s="4" t="str">
        <f>IFERROR(__xludf.DUMMYFUNCTION("""COMPUTED_VALUE"""),"LD_MU_LM_012")</f>
        <v>LD_MU_LM_012</v>
      </c>
      <c r="E92" s="5" t="str">
        <f>IFERROR(__xludf.DUMMYFUNCTION("""COMPUTED_VALUE"""),"blk cosmetics lip butter #blkcosmetic #lipstick")</f>
        <v>blk cosmetics lip butter #blkcosmetic #lipstick</v>
      </c>
      <c r="F92" s="3"/>
      <c r="G92" s="3"/>
      <c r="K92" s="8"/>
      <c r="L92" s="8"/>
      <c r="M92" s="8"/>
      <c r="N92" s="8"/>
      <c r="O92" s="8"/>
      <c r="P92" s="8"/>
    </row>
    <row r="93" ht="89.25" spans="1:16">
      <c r="A93" s="4" t="str">
        <f>IFERROR(__xludf.DUMMYFUNCTION("""COMPUTED_VALUE"""),"25/08/2025")</f>
        <v>25/08/2025</v>
      </c>
      <c r="B93" s="5" t="str">
        <f>IFERROR(__xludf.DUMMYFUNCTION("""COMPUTED_VALUE"""),"blk cosmetics velvet tint")</f>
        <v>blk cosmetics velvet tint</v>
      </c>
      <c r="C93" s="6" t="str">
        <f>IFERROR(__xludf.DUMMYFUNCTION("""COMPUTED_VALUE"""),"https://www.tiktok.com/shop/ph/pdp/1732030035089720395?source=product_detail&amp;enter_from=product_detail&amp;enter_method=feed_list_brand_cat")</f>
        <v>https://www.tiktok.com/shop/ph/pdp/1732030035089720395?source=product_detail&amp;enter_from=product_detail&amp;enter_method=feed_list_brand_cat</v>
      </c>
      <c r="D93" s="4" t="str">
        <f>IFERROR(__xludf.DUMMYFUNCTION("""COMPUTED_VALUE"""),"LD_MU_LM_013")</f>
        <v>LD_MU_LM_013</v>
      </c>
      <c r="E93" s="5" t="str">
        <f>IFERROR(__xludf.DUMMYFUNCTION("""COMPUTED_VALUE"""),"blk cosmetics velvet tint #blkcosmetic #lipstick")</f>
        <v>blk cosmetics velvet tint #blkcosmetic #lipstick</v>
      </c>
      <c r="F93" s="3"/>
      <c r="G93" s="3"/>
      <c r="K93" s="8"/>
      <c r="L93" s="8"/>
      <c r="M93" s="8"/>
      <c r="N93" s="8"/>
      <c r="O93" s="8"/>
      <c r="P93" s="8"/>
    </row>
    <row r="94" ht="51" spans="1:16">
      <c r="A94" s="4" t="str">
        <f>IFERROR(__xludf.DUMMYFUNCTION("""COMPUTED_VALUE"""),"25/08/2025")</f>
        <v>25/08/2025</v>
      </c>
      <c r="B94" s="5" t="str">
        <f>IFERROR(__xludf.DUMMYFUNCTION("""COMPUTED_VALUE"""),"[BUY 1 TAKE 2][ Owen James Matte and Long-lasting Velvet Lip Gloss Nature for Students")</f>
        <v>[BUY 1 TAKE 2][ Owen James Matte and Long-lasting Velvet Lip Gloss Nature for Students</v>
      </c>
      <c r="C94" s="6" t="str">
        <f>IFERROR(__xludf.DUMMYFUNCTION("""COMPUTED_VALUE"""),"vt.tiktok.com/ZSHKJSbUfds8j-OydeL/")</f>
        <v>vt.tiktok.com/ZSHKJSbUfds8j-OydeL/</v>
      </c>
      <c r="D94" s="4" t="str">
        <f>IFERROR(__xludf.DUMMYFUNCTION("""COMPUTED_VALUE"""),"LD_MU_LM_015")</f>
        <v>LD_MU_LM_015</v>
      </c>
      <c r="E94" s="5" t="str">
        <f>IFERROR(__xludf.DUMMYFUNCTION("""COMPUTED_VALUE"""),"Owen James Lipstick #owenjames #lipstick")</f>
        <v>Owen James Lipstick #owenjames #lipstick</v>
      </c>
      <c r="F94" s="3"/>
      <c r="G94" s="3"/>
      <c r="K94" s="8"/>
      <c r="L94" s="8"/>
      <c r="M94" s="8"/>
      <c r="N94" s="8"/>
      <c r="O94" s="8"/>
      <c r="P94" s="8"/>
    </row>
    <row r="95" ht="25.5" spans="1:16">
      <c r="A95" s="4" t="str">
        <f>IFERROR(__xludf.DUMMYFUNCTION("""COMPUTED_VALUE"""),"25/08/2025")</f>
        <v>25/08/2025</v>
      </c>
      <c r="B95" s="5" t="str">
        <f>IFERROR(__xludf.DUMMYFUNCTION("""COMPUTED_VALUE"""),"O.TWO.O Haute 3 In 1 Gold Foil Therm")</f>
        <v>O.TWO.O Haute 3 In 1 Gold Foil Therm</v>
      </c>
      <c r="C95" s="6" t="str">
        <f>IFERROR(__xludf.DUMMYFUNCTION("""COMPUTED_VALUE"""),"vt.tiktok.com/ZSHKJScLmT7bH-BTYYv/")</f>
        <v>vt.tiktok.com/ZSHKJScLmT7bH-BTYYv/</v>
      </c>
      <c r="D95" s="4" t="str">
        <f>IFERROR(__xludf.DUMMYFUNCTION("""COMPUTED_VALUE"""),"LD_MU_LM_016")</f>
        <v>LD_MU_LM_016</v>
      </c>
      <c r="E95" s="5" t="str">
        <f>IFERROR(__xludf.DUMMYFUNCTION("""COMPUTED_VALUE"""),"O.TWO.O Lipstick #otwoo #lipstick")</f>
        <v>O.TWO.O Lipstick #otwoo #lipstick</v>
      </c>
      <c r="F95" s="3"/>
      <c r="G95" s="3"/>
      <c r="K95" s="8"/>
      <c r="L95" s="8"/>
      <c r="M95" s="8"/>
      <c r="N95" s="8"/>
      <c r="O95" s="8"/>
      <c r="P95" s="8"/>
    </row>
    <row r="96" ht="51" spans="1:16">
      <c r="A96" s="4" t="str">
        <f>IFERROR(__xludf.DUMMYFUNCTION("""COMPUTED_VALUE"""),"26/8")</f>
        <v>26/8</v>
      </c>
      <c r="B96" s="5" t="str">
        <f>IFERROR(__xludf.DUMMYFUNCTION("""COMPUTED_VALUE"""),"Sugar Dolls Lip And Cheek Gel Tint Trio")</f>
        <v>Sugar Dolls Lip And Cheek Gel Tint Trio</v>
      </c>
      <c r="C96" s="6" t="str">
        <f>IFERROR(__xludf.DUMMYFUNCTION("""COMPUTED_VALUE"""),"vt.tiktok.com/ZSHKJSK3YWUAN-aNMgt/")</f>
        <v>vt.tiktok.com/ZSHKJSK3YWUAN-aNMgt/</v>
      </c>
      <c r="D96" s="4" t="str">
        <f>IFERROR(__xludf.DUMMYFUNCTION("""COMPUTED_VALUE"""),"LD_MU_LM_017")</f>
        <v>LD_MU_LM_017</v>
      </c>
      <c r="E96" s="5" t="str">
        <f>IFERROR(__xludf.DUMMYFUNCTION("""COMPUTED_VALUE"""),"Sugar Dolls Lip and Cheek Tint #Sugardolls #liptint")</f>
        <v>Sugar Dolls Lip and Cheek Tint #Sugardolls #liptint</v>
      </c>
      <c r="F96" s="3"/>
      <c r="G96" s="3"/>
      <c r="K96" s="8"/>
      <c r="L96" s="8"/>
      <c r="M96" s="8"/>
      <c r="N96" s="8"/>
      <c r="O96" s="8"/>
      <c r="P96" s="8"/>
    </row>
    <row r="97" ht="38.25" spans="1:16">
      <c r="A97" s="4" t="str">
        <f>IFERROR(__xludf.DUMMYFUNCTION("""COMPUTED_VALUE"""),"26/8")</f>
        <v>26/8</v>
      </c>
      <c r="B97" s="5" t="str">
        <f>IFERROR(__xludf.DUMMYFUNCTION("""COMPUTED_VALUE"""),"KJM CHEEK. LIP. The OG Roller - Cheek &amp; Lip Tint")</f>
        <v>KJM CHEEK. LIP. The OG Roller - Cheek &amp; Lip Tint</v>
      </c>
      <c r="C97" s="6" t="str">
        <f>IFERROR(__xludf.DUMMYFUNCTION("""COMPUTED_VALUE"""),"vt.tiktok.com/ZSHKJALkNGvkh-CIGn9/")</f>
        <v>vt.tiktok.com/ZSHKJALkNGvkh-CIGn9/</v>
      </c>
      <c r="D97" s="4" t="str">
        <f>IFERROR(__xludf.DUMMYFUNCTION("""COMPUTED_VALUE"""),"LD_MU_LM_019")</f>
        <v>LD_MU_LM_019</v>
      </c>
      <c r="E97" s="5" t="str">
        <f>IFERROR(__xludf.DUMMYFUNCTION("""COMPUTED_VALUE"""),"KJM CHEEK Lip Tint #kjmcheek #liptint")</f>
        <v>KJM CHEEK Lip Tint #kjmcheek #liptint</v>
      </c>
      <c r="F97" s="3"/>
      <c r="G97" s="3"/>
      <c r="K97" s="8"/>
      <c r="L97" s="8"/>
      <c r="M97" s="8"/>
      <c r="N97" s="8"/>
      <c r="O97" s="8"/>
      <c r="P97" s="8"/>
    </row>
    <row r="98" ht="38.25" spans="1:16">
      <c r="A98" s="4" t="str">
        <f>IFERROR(__xludf.DUMMYFUNCTION("""COMPUTED_VALUE"""),"26/8")</f>
        <v>26/8</v>
      </c>
      <c r="B98" s="5" t="str">
        <f>IFERROR(__xludf.DUMMYFUNCTION("""COMPUTED_VALUE"""),"Careline Powder Matte Lip Tint 8ml")</f>
        <v>Careline Powder Matte Lip Tint 8ml</v>
      </c>
      <c r="C98" s="6" t="str">
        <f>IFERROR(__xludf.DUMMYFUNCTION("""COMPUTED_VALUE"""),"vt.tiktok.com/ZSHKJAjCEgG3a-hgGQE/")</f>
        <v>vt.tiktok.com/ZSHKJAjCEgG3a-hgGQE/</v>
      </c>
      <c r="D98" s="4" t="str">
        <f>IFERROR(__xludf.DUMMYFUNCTION("""COMPUTED_VALUE"""),"LD_MU_LM_020")</f>
        <v>LD_MU_LM_020</v>
      </c>
      <c r="E98" s="5" t="str">
        <f>IFERROR(__xludf.DUMMYFUNCTION("""COMPUTED_VALUE"""),"Careline Matte Lip Tint #careline #lipstick")</f>
        <v>Careline Matte Lip Tint #careline #lipstick</v>
      </c>
      <c r="F98" s="3"/>
      <c r="G98" s="3"/>
      <c r="K98" s="8"/>
      <c r="L98" s="8"/>
      <c r="M98" s="8"/>
      <c r="N98" s="8"/>
      <c r="O98" s="8"/>
      <c r="P98" s="8"/>
    </row>
    <row r="99" ht="51" spans="1:16">
      <c r="A99" s="4" t="str">
        <f>IFERROR(__xludf.DUMMYFUNCTION("""COMPUTED_VALUE"""),"26/8")</f>
        <v>26/8</v>
      </c>
      <c r="B99" s="5" t="str">
        <f>IFERROR(__xludf.DUMMYFUNCTION("""COMPUTED_VALUE"""),"3PCS Velvet Matte Lip Glaze Set Non-marking Nude Lip Tint Long Lasting ")</f>
        <v>3PCS Velvet Matte Lip Glaze Set Non-marking Nude Lip Tint Long Lasting </v>
      </c>
      <c r="C99" s="6" t="str">
        <f>IFERROR(__xludf.DUMMYFUNCTION("""COMPUTED_VALUE"""),"https://vt.tiktok.com/ZSHKJAha82nGd-jia9H/")</f>
        <v>https://vt.tiktok.com/ZSHKJAha82nGd-jia9H/</v>
      </c>
      <c r="D99" s="4" t="str">
        <f>IFERROR(__xludf.DUMMYFUNCTION("""COMPUTED_VALUE"""),"LD_MU_LM_021")</f>
        <v>LD_MU_LM_021</v>
      </c>
      <c r="E99" s="5" t="str">
        <f>IFERROR(__xludf.DUMMYFUNCTION("""COMPUTED_VALUE"""),"3pcs Lipstick Set #mattelipstick #lipstickset")</f>
        <v>3pcs Lipstick Set #mattelipstick #lipstickset</v>
      </c>
      <c r="F99" s="3"/>
      <c r="G99" s="3"/>
      <c r="K99" s="8"/>
      <c r="L99" s="8"/>
      <c r="M99" s="8"/>
      <c r="N99" s="8"/>
      <c r="O99" s="8"/>
      <c r="P99" s="8"/>
    </row>
    <row r="100" ht="38.25" spans="1:16">
      <c r="A100" s="4" t="str">
        <f>IFERROR(__xludf.DUMMYFUNCTION("""COMPUTED_VALUE"""),"10/9")</f>
        <v>10/9</v>
      </c>
      <c r="B100" s="5" t="str">
        <f>IFERROR(__xludf.DUMMYFUNCTION("""COMPUTED_VALUE""")," Happy Skin Lip Mallow Tint [Plush Matte Lip Tint]")</f>
        <v> Happy Skin Lip Mallow Tint [Plush Matte Lip Tint]</v>
      </c>
      <c r="C100" s="6" t="str">
        <f>IFERROR(__xludf.DUMMYFUNCTION("""COMPUTED_VALUE"""),"https://vt.tiktok.com/ZSHK1xXJmrvVH-li1G5/")</f>
        <v>https://vt.tiktok.com/ZSHK1xXJmrvVH-li1G5/</v>
      </c>
      <c r="D100" s="4" t="str">
        <f>IFERROR(__xludf.DUMMYFUNCTION("""COMPUTED_VALUE"""),"LD_MU_LM_023")</f>
        <v>LD_MU_LM_023</v>
      </c>
      <c r="E100" s="5" t="str">
        <f>IFERROR(__xludf.DUMMYFUNCTION("""COMPUTED_VALUE"""),"Happy Skin Lip Tint #happyskin #liptint")</f>
        <v>Happy Skin Lip Tint #happyskin #liptint</v>
      </c>
      <c r="F100" s="3"/>
      <c r="G100" s="3"/>
      <c r="K100" s="8"/>
      <c r="L100" s="8"/>
      <c r="M100" s="8"/>
      <c r="N100" s="8"/>
      <c r="O100" s="8"/>
      <c r="P100" s="8"/>
    </row>
    <row r="101" ht="51" spans="1:16">
      <c r="A101" s="4" t="str">
        <f>IFERROR(__xludf.DUMMYFUNCTION("""COMPUTED_VALUE"""),"28/8")</f>
        <v>28/8</v>
      </c>
      <c r="B101" s="5" t="str">
        <f>IFERROR(__xludf.DUMMYFUNCTION("""COMPUTED_VALUE"""),"VICE CO. Dew It All Liquid Blush - Dew Blush, Long-wearing, Multi Use")</f>
        <v>VICE CO. Dew It All Liquid Blush - Dew Blush, Long-wearing, Multi Use</v>
      </c>
      <c r="C101" s="6" t="str">
        <f>IFERROR(__xludf.DUMMYFUNCTION("""COMPUTED_VALUE"""),"https://vt.tiktok.com/ZSH7kMGrWHm7H-gHYGt/
")</f>
        <v>https://vt.tiktok.com/ZSH7kMGrWHm7H-gHYGt/
</v>
      </c>
      <c r="D101" s="4" t="str">
        <f>IFERROR(__xludf.DUMMYFUNCTION("""COMPUTED_VALUE"""),"LD_MU_LM_024")</f>
        <v>LD_MU_LM_024</v>
      </c>
      <c r="E101" s="5" t="str">
        <f>IFERROR(__xludf.DUMMYFUNCTION("""COMPUTED_VALUE"""),"VICE CO. Dew It All Liquid Blush #vicecosmeticph #liquidblush")</f>
        <v>VICE CO. Dew It All Liquid Blush #vicecosmeticph #liquidblush</v>
      </c>
      <c r="F101" s="3"/>
      <c r="G101" s="3"/>
      <c r="K101" s="8"/>
      <c r="L101" s="8"/>
      <c r="M101" s="8"/>
      <c r="N101" s="8"/>
      <c r="O101" s="8"/>
      <c r="P101" s="8"/>
    </row>
    <row r="102" ht="63.75" spans="1:16">
      <c r="A102" s="4" t="str">
        <f>IFERROR(__xludf.DUMMYFUNCTION("""COMPUTED_VALUE"""),"28/8")</f>
        <v>28/8</v>
      </c>
      <c r="B102" s="5" t="str">
        <f>IFERROR(__xludf.DUMMYFUNCTION("""COMPUTED_VALUE"""),"Ever Bilena Matte Bullet Lipstick - 3.6g")</f>
        <v>Ever Bilena Matte Bullet Lipstick - 3.6g</v>
      </c>
      <c r="C102" s="6" t="str">
        <f>IFERROR(__xludf.DUMMYFUNCTION("""COMPUTED_VALUE"""),"https://vt.tiktok.com/ZSH7krACV2Vje-KJrUp/
")</f>
        <v>https://vt.tiktok.com/ZSH7krACV2Vje-KJrUp/
</v>
      </c>
      <c r="D102" s="4" t="str">
        <f>IFERROR(__xludf.DUMMYFUNCTION("""COMPUTED_VALUE"""),"LD_MU_LM_025")</f>
        <v>LD_MU_LM_025</v>
      </c>
      <c r="E102" s="5" t="str">
        <f>IFERROR(__xludf.DUMMYFUNCTION("""COMPUTED_VALUE"""),"Ever Bilena Matte Bullet Lipstick #EverBilena #lipstick")</f>
        <v>Ever Bilena Matte Bullet Lipstick #EverBilena #lipstick</v>
      </c>
      <c r="F102" s="3"/>
      <c r="G102" s="3"/>
      <c r="K102" s="8"/>
      <c r="L102" s="8"/>
      <c r="M102" s="8"/>
      <c r="N102" s="8"/>
      <c r="O102" s="8"/>
      <c r="P102" s="8"/>
    </row>
    <row r="103" ht="51" spans="1:16">
      <c r="A103" s="4" t="str">
        <f>IFERROR(__xludf.DUMMYFUNCTION("""COMPUTED_VALUE"""),"28/8")</f>
        <v>28/8</v>
      </c>
      <c r="B103" s="5" t="str">
        <f>IFERROR(__xludf.DUMMYFUNCTION("""COMPUTED_VALUE"""),"FOCALLURE Liquid Blush HANGOVER RED WINE")</f>
        <v>FOCALLURE Liquid Blush HANGOVER RED WINE</v>
      </c>
      <c r="C103" s="6" t="str">
        <f>IFERROR(__xludf.DUMMYFUNCTION("""COMPUTED_VALUE"""),"https://vt.tiktok.com/ZSHnr9jsm81vS-xPrAU/")</f>
        <v>https://vt.tiktok.com/ZSHnr9jsm81vS-xPrAU/</v>
      </c>
      <c r="D103" s="4" t="str">
        <f>IFERROR(__xludf.DUMMYFUNCTION("""COMPUTED_VALUE"""),"LD_MU_LM_026")</f>
        <v>LD_MU_LM_026</v>
      </c>
      <c r="E103" s="5" t="str">
        <f>IFERROR(__xludf.DUMMYFUNCTION("""COMPUTED_VALUE"""),"FOCALLURE Liquid Blush #focallure #liquidblush")</f>
        <v>FOCALLURE Liquid Blush #focallure #liquidblush</v>
      </c>
      <c r="F103" s="3"/>
      <c r="G103" s="3"/>
      <c r="K103" s="8"/>
      <c r="L103" s="8"/>
      <c r="M103" s="8"/>
      <c r="N103" s="8"/>
      <c r="O103" s="8"/>
      <c r="P103" s="8"/>
    </row>
    <row r="104" ht="51" spans="1:16">
      <c r="A104" s="4" t="str">
        <f>IFERROR(__xludf.DUMMYFUNCTION("""COMPUTED_VALUE"""),"13/09/2025")</f>
        <v>13/09/2025</v>
      </c>
      <c r="B104" s="5" t="str">
        <f>IFERROR(__xludf.DUMMYFUNCTION("""COMPUTED_VALUE"""),"Magic change color Lip Oil ")</f>
        <v>Magic change color Lip Oil </v>
      </c>
      <c r="C104" s="6" t="str">
        <f>IFERROR(__xludf.DUMMYFUNCTION("""COMPUTED_VALUE"""),"https://vt.tiktok.com/ZSHnrHjdnRFCN-4OxKU/")</f>
        <v>https://vt.tiktok.com/ZSHnrHjdnRFCN-4OxKU/</v>
      </c>
      <c r="D104" s="4" t="str">
        <f>IFERROR(__xludf.DUMMYFUNCTION("""COMPUTED_VALUE"""),"LD_MU_LM_027")</f>
        <v>LD_MU_LM_027</v>
      </c>
      <c r="E104" s="5" t="str">
        <f>IFERROR(__xludf.DUMMYFUNCTION("""COMPUTED_VALUE"""),"Magic change color Lip Oil #CMWORADA #lipstick")</f>
        <v>Magic change color Lip Oil #CMWORADA #lipstick</v>
      </c>
      <c r="F104" s="3"/>
      <c r="G104" s="3"/>
      <c r="K104" s="8"/>
      <c r="L104" s="8"/>
      <c r="M104" s="8"/>
      <c r="N104" s="8"/>
      <c r="O104" s="8"/>
      <c r="P104" s="8"/>
    </row>
    <row r="105" ht="51" spans="1:16">
      <c r="A105" s="4" t="str">
        <f>IFERROR(__xludf.DUMMYFUNCTION("""COMPUTED_VALUE"""),"13/09/2025")</f>
        <v>13/09/2025</v>
      </c>
      <c r="B105" s="5" t="str">
        <f>IFERROR(__xludf.DUMMYFUNCTION("""COMPUTED_VALUE"""),"Worada Beauty Velvet Lipstick")</f>
        <v>Worada Beauty Velvet Lipstick</v>
      </c>
      <c r="C105" s="6" t="str">
        <f>IFERROR(__xludf.DUMMYFUNCTION("""COMPUTED_VALUE"""),"https://vt.tiktok.com/ZSHnruTWh5bRG-pCJtu/")</f>
        <v>https://vt.tiktok.com/ZSHnruTWh5bRG-pCJtu/</v>
      </c>
      <c r="D105" s="4" t="str">
        <f>IFERROR(__xludf.DUMMYFUNCTION("""COMPUTED_VALUE"""),"LD_MU_LM_028")</f>
        <v>LD_MU_LM_028</v>
      </c>
      <c r="E105" s="5" t="str">
        <f>IFERROR(__xludf.DUMMYFUNCTION("""COMPUTED_VALUE"""),"Worada Beauty Velvet Lipstick #WORADA #lipstick")</f>
        <v>Worada Beauty Velvet Lipstick #WORADA #lipstick</v>
      </c>
      <c r="F105" s="3"/>
      <c r="G105" s="3"/>
      <c r="K105" s="8"/>
      <c r="L105" s="8"/>
      <c r="M105" s="8"/>
      <c r="N105" s="8"/>
      <c r="O105" s="8"/>
      <c r="P105" s="8"/>
    </row>
    <row r="106" ht="51" spans="1:16">
      <c r="A106" s="4" t="str">
        <f>IFERROR(__xludf.DUMMYFUNCTION("""COMPUTED_VALUE"""),"13/09/2025")</f>
        <v>13/09/2025</v>
      </c>
      <c r="B106" s="5" t="str">
        <f>IFERROR(__xludf.DUMMYFUNCTION("""COMPUTED_VALUE"""),"FOCALLURE Velvet Matte Lipstick")</f>
        <v>FOCALLURE Velvet Matte Lipstick</v>
      </c>
      <c r="C106" s="6" t="str">
        <f>IFERROR(__xludf.DUMMYFUNCTION("""COMPUTED_VALUE"""),"https://vt.tiktok.com/ZSHnrHgSXAw8n-wUSMN/")</f>
        <v>https://vt.tiktok.com/ZSHnrHgSXAw8n-wUSMN/</v>
      </c>
      <c r="D106" s="4" t="str">
        <f>IFERROR(__xludf.DUMMYFUNCTION("""COMPUTED_VALUE"""),"LD_MU_LM_029")</f>
        <v>LD_MU_LM_029</v>
      </c>
      <c r="E106" s="5" t="str">
        <f>IFERROR(__xludf.DUMMYFUNCTION("""COMPUTED_VALUE"""),"FOCALLURE Velvet Matte Lipstick #focallure #lipstick")</f>
        <v>FOCALLURE Velvet Matte Lipstick #focallure #lipstick</v>
      </c>
      <c r="F106" s="3"/>
      <c r="G106" s="3"/>
      <c r="K106" s="8"/>
      <c r="L106" s="8"/>
      <c r="M106" s="8"/>
      <c r="N106" s="8"/>
      <c r="O106" s="8"/>
      <c r="P106" s="8"/>
    </row>
    <row r="107" ht="51" spans="1:16">
      <c r="A107" s="4" t="str">
        <f>IFERROR(__xludf.DUMMYFUNCTION("""COMPUTED_VALUE"""),"13/09/2025")</f>
        <v>13/09/2025</v>
      </c>
      <c r="B107" s="5" t="str">
        <f>IFERROR(__xludf.DUMMYFUNCTION("""COMPUTED_VALUE"""),"FOCALLURE Hero Hyper Matte Lipstick")</f>
        <v>FOCALLURE Hero Hyper Matte Lipstick</v>
      </c>
      <c r="C107" s="6" t="str">
        <f>IFERROR(__xludf.DUMMYFUNCTION("""COMPUTED_VALUE"""),"https://vt.tiktok.com/ZSHnrHTP7yj9t-aytnM/")</f>
        <v>https://vt.tiktok.com/ZSHnrHTP7yj9t-aytnM/</v>
      </c>
      <c r="D107" s="4" t="str">
        <f>IFERROR(__xludf.DUMMYFUNCTION("""COMPUTED_VALUE"""),"LD_MU_LM_030")</f>
        <v>LD_MU_LM_030</v>
      </c>
      <c r="E107" s="5" t="str">
        <f>IFERROR(__xludf.DUMMYFUNCTION("""COMPUTED_VALUE"""),"FOCALLURE Hero Hyper Matte Lipstick #focallure #lipstick")</f>
        <v>FOCALLURE Hero Hyper Matte Lipstick #focallure #lipstick</v>
      </c>
      <c r="F107" s="3"/>
      <c r="G107" s="3"/>
      <c r="K107" s="8"/>
      <c r="L107" s="8"/>
      <c r="M107" s="8"/>
      <c r="N107" s="8"/>
      <c r="O107" s="8"/>
      <c r="P107" s="8"/>
    </row>
    <row r="108" ht="51" spans="1:16">
      <c r="A108" s="4" t="str">
        <f>IFERROR(__xludf.DUMMYFUNCTION("""COMPUTED_VALUE"""),"13/09/2025")</f>
        <v>13/09/2025</v>
      </c>
      <c r="B108" s="5" t="str">
        <f>IFERROR(__xludf.DUMMYFUNCTION("""COMPUTED_VALUE"""),"FOCALLURE Hero Hyper Matte Lipstick")</f>
        <v>FOCALLURE Hero Hyper Matte Lipstick</v>
      </c>
      <c r="C108" s="6" t="str">
        <f>IFERROR(__xludf.DUMMYFUNCTION("""COMPUTED_VALUE"""),"https://vt.tiktok.com/ZSHnrHKrnsjbQ-5w9Er/")</f>
        <v>https://vt.tiktok.com/ZSHnrHKrnsjbQ-5w9Er/</v>
      </c>
      <c r="D108" s="4" t="str">
        <f>IFERROR(__xludf.DUMMYFUNCTION("""COMPUTED_VALUE"""),"LD_MU_LM_031")</f>
        <v>LD_MU_LM_031</v>
      </c>
      <c r="E108" s="5" t="str">
        <f>IFERROR(__xludf.DUMMYFUNCTION("""COMPUTED_VALUE"""),"FOCALLURE Hero Hyper Matte Lipstick #focallure #lipstick")</f>
        <v>FOCALLURE Hero Hyper Matte Lipstick #focallure #lipstick</v>
      </c>
      <c r="F108" s="3"/>
      <c r="G108" s="3"/>
      <c r="K108" s="8"/>
      <c r="L108" s="8"/>
      <c r="M108" s="8"/>
      <c r="N108" s="8"/>
      <c r="O108" s="8"/>
      <c r="P108" s="8"/>
    </row>
    <row r="109" ht="89.25" spans="1:16">
      <c r="A109" s="4" t="str">
        <f>IFERROR(__xludf.DUMMYFUNCTION("""COMPUTED_VALUE"""),"13/09/2025")</f>
        <v>13/09/2025</v>
      </c>
      <c r="B109" s="5" t="str">
        <f>IFERROR(__xludf.DUMMYFUNCTION("""COMPUTED_VALUE"""),"PINKFLASH Moisturizing High Shine &amp; Shimmer Glossy Long Lasting Waterproof Not Dry Plumping Lip Gloss liptint 1pcs Lipstick Makeup")</f>
        <v>PINKFLASH Moisturizing High Shine &amp; Shimmer Glossy Long Lasting Waterproof Not Dry Plumping Lip Gloss liptint 1pcs Lipstick Makeup</v>
      </c>
      <c r="C109" s="6" t="str">
        <f>IFERROR(__xludf.DUMMYFUNCTION("""COMPUTED_VALUE"""),"https://vt.tiktok.com/ZSHnrxspAffSo-VQSBf/")</f>
        <v>https://vt.tiktok.com/ZSHnrxspAffSo-VQSBf/</v>
      </c>
      <c r="D109" s="4" t="str">
        <f>IFERROR(__xludf.DUMMYFUNCTION("""COMPUTED_VALUE"""),"LD_MU_LM_032")</f>
        <v>LD_MU_LM_032</v>
      </c>
      <c r="E109" s="5" t="str">
        <f>IFERROR(__xludf.DUMMYFUNCTION("""COMPUTED_VALUE"""),"PINKFLASH Lip Gloss #PINKFLASH #lipstick")</f>
        <v>PINKFLASH Lip Gloss #PINKFLASH #lipstick</v>
      </c>
      <c r="F109" s="3"/>
      <c r="G109" s="3"/>
      <c r="K109" s="8"/>
      <c r="L109" s="8"/>
      <c r="M109" s="8"/>
      <c r="N109" s="8"/>
      <c r="O109" s="8"/>
      <c r="P109" s="8"/>
    </row>
    <row r="110" ht="51" spans="1:16">
      <c r="A110" s="4" t="str">
        <f>IFERROR(__xludf.DUMMYFUNCTION("""COMPUTED_VALUE"""),"13/09/2025")</f>
        <v>13/09/2025</v>
      </c>
      <c r="B110" s="5" t="str">
        <f>IFERROR(__xludf.DUMMYFUNCTION("""COMPUTED_VALUE"""),"PINKFLASH Melting Glossy Balm")</f>
        <v>PINKFLASH Melting Glossy Balm</v>
      </c>
      <c r="C110" s="6" t="str">
        <f>IFERROR(__xludf.DUMMYFUNCTION("""COMPUTED_VALUE"""),"https://vt.tiktok.com/ZSHnrCkKr9C8e-XOcbJ/")</f>
        <v>https://vt.tiktok.com/ZSHnrCkKr9C8e-XOcbJ/</v>
      </c>
      <c r="D110" s="4" t="str">
        <f>IFERROR(__xludf.DUMMYFUNCTION("""COMPUTED_VALUE"""),"LD_MU_LM_033")</f>
        <v>LD_MU_LM_033</v>
      </c>
      <c r="E110" s="5" t="str">
        <f>IFERROR(__xludf.DUMMYFUNCTION("""COMPUTED_VALUE"""),"PINKFLASH Lip Gloss #PINKFLASH #lipstick")</f>
        <v>PINKFLASH Lip Gloss #PINKFLASH #lipstick</v>
      </c>
      <c r="F110" s="3"/>
      <c r="G110" s="3"/>
      <c r="K110" s="8"/>
      <c r="L110" s="8"/>
      <c r="M110" s="8"/>
      <c r="N110" s="8"/>
      <c r="O110" s="8"/>
      <c r="P110" s="8"/>
    </row>
    <row r="111" ht="51" spans="1:16">
      <c r="A111" s="4" t="str">
        <f>IFERROR(__xludf.DUMMYFUNCTION("""COMPUTED_VALUE"""),"16/09/2025")</f>
        <v>16/09/2025</v>
      </c>
      <c r="B111" s="5" t="str">
        <f>IFERROR(__xludf.DUMMYFUNCTION("""COMPUTED_VALUE"""),"PINKFLASH LovingHeart Soft Matte Transfer-proof Lipstick ")</f>
        <v>PINKFLASH LovingHeart Soft Matte Transfer-proof Lipstick </v>
      </c>
      <c r="C111" s="6" t="str">
        <f>IFERROR(__xludf.DUMMYFUNCTION("""COMPUTED_VALUE"""),"https://vt.tiktok.com/ZSHnrCmjmkvsJ-VHRw6/")</f>
        <v>https://vt.tiktok.com/ZSHnrCmjmkvsJ-VHRw6/</v>
      </c>
      <c r="D111" s="4" t="str">
        <f>IFERROR(__xludf.DUMMYFUNCTION("""COMPUTED_VALUE"""),"LD_MU_LM_034")</f>
        <v>LD_MU_LM_034</v>
      </c>
      <c r="E111" s="5" t="str">
        <f>IFERROR(__xludf.DUMMYFUNCTION("""COMPUTED_VALUE"""),"PINKFLASH Lip Gloss #PINKFLASH #lipstick")</f>
        <v>PINKFLASH Lip Gloss #PINKFLASH #lipstick</v>
      </c>
      <c r="F111" s="3"/>
      <c r="G111" s="3"/>
      <c r="K111" s="8"/>
      <c r="L111" s="8"/>
      <c r="M111" s="8"/>
      <c r="N111" s="8"/>
      <c r="O111" s="8"/>
      <c r="P111" s="8"/>
    </row>
    <row r="112" ht="76.5" spans="1:16">
      <c r="A112" s="4" t="str">
        <f>IFERROR(__xludf.DUMMYFUNCTION("""COMPUTED_VALUE"""),"16/09/2025")</f>
        <v>16/09/2025</v>
      </c>
      <c r="B112" s="5" t="str">
        <f>IFERROR(__xludf.DUMMYFUNCTION("""COMPUTED_VALUE"""),"PINKFLASH Ombrelips 2 In 1 Dual-ended Lipstick Duo Lipstick Liquid Matte Lipstick Velvet Lip Tint Lightweight High Pigment Lasting Gloss Lipgloss")</f>
        <v>PINKFLASH Ombrelips 2 In 1 Dual-ended Lipstick Duo Lipstick Liquid Matte Lipstick Velvet Lip Tint Lightweight High Pigment Lasting Gloss Lipgloss</v>
      </c>
      <c r="C112" s="6" t="str">
        <f>IFERROR(__xludf.DUMMYFUNCTION("""COMPUTED_VALUE"""),"https://vt.tiktok.com/ZSHnrC4L747mA-qE9Wn/")</f>
        <v>https://vt.tiktok.com/ZSHnrC4L747mA-qE9Wn/</v>
      </c>
      <c r="D112" s="4" t="str">
        <f>IFERROR(__xludf.DUMMYFUNCTION("""COMPUTED_VALUE"""),"LD_MU_LM_035")</f>
        <v>LD_MU_LM_035</v>
      </c>
      <c r="E112" s="5" t="str">
        <f>IFERROR(__xludf.DUMMYFUNCTION("""COMPUTED_VALUE"""),"PINKFLASH 2in1 Dual-ended Lipstick #pinkflash #lipstick")</f>
        <v>PINKFLASH 2in1 Dual-ended Lipstick #pinkflash #lipstick</v>
      </c>
      <c r="F112" s="3"/>
      <c r="G112" s="3"/>
      <c r="K112" s="8"/>
      <c r="L112" s="8"/>
      <c r="M112" s="8"/>
      <c r="N112" s="8"/>
      <c r="O112" s="8"/>
      <c r="P112" s="8"/>
    </row>
    <row r="113" ht="76.5" spans="1:16">
      <c r="A113" s="4" t="str">
        <f>IFERROR(__xludf.DUMMYFUNCTION("""COMPUTED_VALUE"""),"17/09/2025")</f>
        <v>17/09/2025</v>
      </c>
      <c r="B113" s="5" t="str">
        <f>IFERROR(__xludf.DUMMYFUNCTION("""COMPUTED_VALUE"""),"O.TWO.O Velvet Matte Liptint Lip &amp; Cheek Mud Dual-use Lip Clay High Pigmented Long Lasting Not Dry Concealing Lip Lines 12Colors")</f>
        <v>O.TWO.O Velvet Matte Liptint Lip &amp; Cheek Mud Dual-use Lip Clay High Pigmented Long Lasting Not Dry Concealing Lip Lines 12Colors</v>
      </c>
      <c r="C113" s="6" t="str">
        <f>IFERROR(__xludf.DUMMYFUNCTION("""COMPUTED_VALUE"""),"https://vt.tiktok.com/ZSHnCFXe4gLAt-rYgXJ/")</f>
        <v>https://vt.tiktok.com/ZSHnCFXe4gLAt-rYgXJ/</v>
      </c>
      <c r="D113" s="4" t="str">
        <f>IFERROR(__xludf.DUMMYFUNCTION("""COMPUTED_VALUE"""),"LD_MU_LM_036")</f>
        <v>LD_MU_LM_036</v>
      </c>
      <c r="E113" s="5" t="str">
        <f>IFERROR(__xludf.DUMMYFUNCTION("""COMPUTED_VALUE"""),"O.TWO.O Matte Lipstick #otwoo #lipstick")</f>
        <v>O.TWO.O Matte Lipstick #otwoo #lipstick</v>
      </c>
      <c r="F113" s="3"/>
      <c r="G113" s="3"/>
      <c r="K113" s="8"/>
      <c r="L113" s="8"/>
      <c r="M113" s="8"/>
      <c r="N113" s="8"/>
      <c r="O113" s="8"/>
      <c r="P113" s="8"/>
    </row>
    <row r="114" ht="63.75" spans="1:16">
      <c r="A114" s="4" t="str">
        <f>IFERROR(__xludf.DUMMYFUNCTION("""COMPUTED_VALUE"""),"17/09/2025")</f>
        <v>17/09/2025</v>
      </c>
      <c r="B114" s="5" t="str">
        <f>IFERROR(__xludf.DUMMYFUNCTION("""COMPUTED_VALUE"""),"O.TWO.O Lip Tint Matte Long Lasting Waterproof Ultra Stay Lolepop Lipgloss Smooth Lightweight")</f>
        <v>O.TWO.O Lip Tint Matte Long Lasting Waterproof Ultra Stay Lolepop Lipgloss Smooth Lightweight</v>
      </c>
      <c r="C114" s="6" t="str">
        <f>IFERROR(__xludf.DUMMYFUNCTION("""COMPUTED_VALUE"""),"https://vt.tiktok.com/ZSHnCFtuTWpgs-zUaQl/")</f>
        <v>https://vt.tiktok.com/ZSHnCFtuTWpgs-zUaQl/</v>
      </c>
      <c r="D114" s="4" t="str">
        <f>IFERROR(__xludf.DUMMYFUNCTION("""COMPUTED_VALUE"""),"LD_MU_LM_037")</f>
        <v>LD_MU_LM_037</v>
      </c>
      <c r="E114" s="5" t="str">
        <f>IFERROR(__xludf.DUMMYFUNCTION("""COMPUTED_VALUE"""),"O.TWO.O Matte Lipstick #otwoo #lipstick")</f>
        <v>O.TWO.O Matte Lipstick #otwoo #lipstick</v>
      </c>
      <c r="F114" s="3"/>
      <c r="G114" s="3"/>
      <c r="K114" s="8"/>
      <c r="L114" s="8"/>
      <c r="M114" s="8"/>
      <c r="N114" s="8"/>
      <c r="O114" s="8"/>
      <c r="P114" s="8"/>
    </row>
    <row r="115" ht="63.75" spans="1:16">
      <c r="A115" s="4" t="str">
        <f>IFERROR(__xludf.DUMMYFUNCTION("""COMPUTED_VALUE"""),"17/09/2025")</f>
        <v>17/09/2025</v>
      </c>
      <c r="B115" s="5" t="str">
        <f>IFERROR(__xludf.DUMMYFUNCTION("""COMPUTED_VALUE"""),"OWENJAMES Pink Water-gloss Mirror Lip Glaze Moisturizing Long-lasting Whitening Lipstick")</f>
        <v>OWENJAMES Pink Water-gloss Mirror Lip Glaze Moisturizing Long-lasting Whitening Lipstick</v>
      </c>
      <c r="C115" s="6" t="str">
        <f>IFERROR(__xludf.DUMMYFUNCTION("""COMPUTED_VALUE"""),"https://vt.tiktok.com/ZSHnCYF6QrAQa-QvALc/")</f>
        <v>https://vt.tiktok.com/ZSHnCYF6QrAQa-QvALc/</v>
      </c>
      <c r="D115" s="4" t="str">
        <f>IFERROR(__xludf.DUMMYFUNCTION("""COMPUTED_VALUE"""),"LD_MU_LM_039")</f>
        <v>LD_MU_LM_039</v>
      </c>
      <c r="E115" s="5" t="str">
        <f>IFERROR(__xludf.DUMMYFUNCTION("""COMPUTED_VALUE"""),"Owen James Lipstick #owenjames #lipstick")</f>
        <v>Owen James Lipstick #owenjames #lipstick</v>
      </c>
      <c r="F115" s="3"/>
      <c r="G115" s="3"/>
      <c r="K115" s="8"/>
      <c r="L115" s="8"/>
      <c r="M115" s="8"/>
      <c r="N115" s="8"/>
      <c r="O115" s="8"/>
      <c r="P115" s="8"/>
    </row>
    <row r="116" ht="51" spans="1:16">
      <c r="A116" s="4" t="str">
        <f>IFERROR(__xludf.DUMMYFUNCTION("""COMPUTED_VALUE"""),"17/09/2025")</f>
        <v>17/09/2025</v>
      </c>
      <c r="B116" s="5" t="str">
        <f>IFERROR(__xludf.DUMMYFUNCTION("""COMPUTED_VALUE"""),"Owen james H01 Small pink forged lip glaze matte velvet non-fading lip glaze")</f>
        <v>Owen james H01 Small pink forged lip glaze matte velvet non-fading lip glaze</v>
      </c>
      <c r="C116" s="6" t="str">
        <f>IFERROR(__xludf.DUMMYFUNCTION("""COMPUTED_VALUE"""),"https://vt.tiktok.com/ZSHnCYjjY1Rs4-KdlxA/")</f>
        <v>https://vt.tiktok.com/ZSHnCYjjY1Rs4-KdlxA/</v>
      </c>
      <c r="D116" s="4" t="str">
        <f>IFERROR(__xludf.DUMMYFUNCTION("""COMPUTED_VALUE"""),"LD_MU_LM_040")</f>
        <v>LD_MU_LM_040</v>
      </c>
      <c r="E116" s="5" t="str">
        <f>IFERROR(__xludf.DUMMYFUNCTION("""COMPUTED_VALUE"""),"Owen James Lipstick #owenjames #lipstick")</f>
        <v>Owen James Lipstick #owenjames #lipstick</v>
      </c>
      <c r="F116" s="3"/>
      <c r="G116" s="3"/>
      <c r="K116" s="8"/>
      <c r="L116" s="8"/>
      <c r="M116" s="8"/>
      <c r="N116" s="8"/>
      <c r="O116" s="8"/>
      <c r="P116" s="8"/>
    </row>
    <row r="117" ht="51" spans="1:16">
      <c r="A117" s="4" t="str">
        <f>IFERROR(__xludf.DUMMYFUNCTION("""COMPUTED_VALUE"""),"17/09/2025")</f>
        <v>17/09/2025</v>
      </c>
      <c r="B117" s="5" t="str">
        <f>IFERROR(__xludf.DUMMYFUNCTION("""COMPUTED_VALUE"""),"White Owen James Matte and Long-lasting Velvet Lip Gloss Nature for Students")</f>
        <v>White Owen James Matte and Long-lasting Velvet Lip Gloss Nature for Students</v>
      </c>
      <c r="C117" s="6" t="str">
        <f>IFERROR(__xludf.DUMMYFUNCTION("""COMPUTED_VALUE"""),"https://vt.tiktok.com/ZSHnCYMGgU5Jb-kgUr4/")</f>
        <v>https://vt.tiktok.com/ZSHnCYMGgU5Jb-kgUr4/</v>
      </c>
      <c r="D117" s="4" t="str">
        <f>IFERROR(__xludf.DUMMYFUNCTION("""COMPUTED_VALUE"""),"LD_MU_LM_041")</f>
        <v>LD_MU_LM_041</v>
      </c>
      <c r="E117" s="5" t="str">
        <f>IFERROR(__xludf.DUMMYFUNCTION("""COMPUTED_VALUE"""),"Owen James Lipstick #owenjames #lipstick")</f>
        <v>Owen James Lipstick #owenjames #lipstick</v>
      </c>
      <c r="F117" s="3"/>
      <c r="G117" s="3"/>
      <c r="K117" s="8"/>
      <c r="L117" s="8"/>
      <c r="M117" s="8"/>
      <c r="N117" s="8"/>
      <c r="O117" s="8"/>
      <c r="P117" s="8"/>
    </row>
    <row r="118" ht="76.5" spans="1:16">
      <c r="A118" s="4" t="str">
        <f>IFERROR(__xludf.DUMMYFUNCTION("""COMPUTED_VALUE"""),"23/09/2025")</f>
        <v>23/09/2025</v>
      </c>
      <c r="B118" s="5" t="str">
        <f>IFERROR(__xludf.DUMMYFUNCTION("""COMPUTED_VALUE"""),"DAZZLE ME Color Chrome Melt to Dew 4-in-1 Lip Click | SPF 25 PA+++ Non Sticky Glossy Finish Lipstick")</f>
        <v>DAZZLE ME Color Chrome Melt to Dew 4-in-1 Lip Click | SPF 25 PA+++ Non Sticky Glossy Finish Lipstick</v>
      </c>
      <c r="C118" s="6" t="str">
        <f>IFERROR(__xludf.DUMMYFUNCTION("""COMPUTED_VALUE"""),"https://vt.tiktok.com/ZSHWRvTMRVn4W-xoEQj/
")</f>
        <v>https://vt.tiktok.com/ZSHWRvTMRVn4W-xoEQj/
</v>
      </c>
      <c r="D118" s="4" t="str">
        <f>IFERROR(__xludf.DUMMYFUNCTION("""COMPUTED_VALUE"""),"LD_MU_LM_043")</f>
        <v>LD_MU_LM_043</v>
      </c>
      <c r="E118" s="5" t="str">
        <f>IFERROR(__xludf.DUMMYFUNCTION("""COMPUTED_VALUE"""),"DAZZLE ME Color Chrome Melt to Dew 4-in-1 Lipstick
#DAZZLEME #lipstick")</f>
        <v>DAZZLE ME Color Chrome Melt to Dew 4-in-1 Lipstick
#DAZZLEME #lipstick</v>
      </c>
      <c r="F118" s="3"/>
      <c r="G118" s="3"/>
      <c r="K118" s="8"/>
      <c r="L118" s="8"/>
      <c r="M118" s="8"/>
      <c r="N118" s="8"/>
      <c r="O118" s="8"/>
      <c r="P118" s="8"/>
    </row>
    <row r="119" ht="51" spans="1:16">
      <c r="A119" s="4" t="str">
        <f>IFERROR(__xludf.DUMMYFUNCTION("""COMPUTED_VALUE"""),"23/09/2025")</f>
        <v>23/09/2025</v>
      </c>
      <c r="B119" s="5" t="str">
        <f>IFERROR(__xludf.DUMMYFUNCTION("""COMPUTED_VALUE"""),"DAZZLE ME Ink-Gloss Lip Tint | 16H Dewy Finish
Transfer-proof Lip Tint")</f>
        <v>DAZZLE ME Ink-Gloss Lip Tint | 16H Dewy Finish
Transfer-proof Lip Tint</v>
      </c>
      <c r="C119" s="6" t="str">
        <f>IFERROR(__xludf.DUMMYFUNCTION("""COMPUTED_VALUE"""),"https://vt.tiktok.com/ZSHWRcyT4PVSg-xjp4T/
")</f>
        <v>https://vt.tiktok.com/ZSHWRcyT4PVSg-xjp4T/
</v>
      </c>
      <c r="D119" s="4" t="str">
        <f>IFERROR(__xludf.DUMMYFUNCTION("""COMPUTED_VALUE"""),"LD_MU_LM_044")</f>
        <v>LD_MU_LM_044</v>
      </c>
      <c r="E119" s="5" t="str">
        <f>IFERROR(__xludf.DUMMYFUNCTION("""COMPUTED_VALUE"""),"DAZZLE ME Ink-Gloss Lip Tint #DAZZLEME #lipstick")</f>
        <v>DAZZLE ME Ink-Gloss Lip Tint #DAZZLEME #lipstick</v>
      </c>
      <c r="F119" s="3"/>
      <c r="G119" s="3"/>
      <c r="K119" s="8"/>
      <c r="L119" s="8"/>
      <c r="M119" s="8"/>
      <c r="N119" s="8"/>
      <c r="O119" s="8"/>
      <c r="P119" s="8"/>
    </row>
    <row r="120" ht="63.75" spans="1:16">
      <c r="A120" s="4" t="str">
        <f>IFERROR(__xludf.DUMMYFUNCTION("""COMPUTED_VALUE"""),"01/12/25")</f>
        <v>01/12/25</v>
      </c>
      <c r="B120" s="5" t="str">
        <f>IFERROR(__xludf.DUMMYFUNCTION("""COMPUTED_VALUE"""),"BUY 1 TAKE 1 Tentwenty Pomegranate Natural Lipbalm Moisturizing Lip Care ")</f>
        <v>BUY 1 TAKE 1 Tentwenty Pomegranate Natural Lipbalm Moisturizing Lip Care </v>
      </c>
      <c r="C120" s="6" t="str">
        <f>IFERROR(__xludf.DUMMYFUNCTION("""COMPUTED_VALUE"""),"https://vt.tiktok.com/ZSHTV1gxtWg4h-cPcnQ/")</f>
        <v>https://vt.tiktok.com/ZSHTV1gxtWg4h-cPcnQ/</v>
      </c>
      <c r="D120" s="4" t="str">
        <f>IFERROR(__xludf.DUMMYFUNCTION("""COMPUTED_VALUE"""),"LD_MU_LM_045")</f>
        <v>LD_MU_LM_045</v>
      </c>
      <c r="E120" s="5" t="str">
        <f>IFERROR(__xludf.DUMMYFUNCTION("""COMPUTED_VALUE"""),"Tentwenty Pomegranate Natural Lipbalm #tentwenty #lipbalm")</f>
        <v>Tentwenty Pomegranate Natural Lipbalm #tentwenty #lipbalm</v>
      </c>
      <c r="F120" s="3"/>
      <c r="G120" s="3"/>
      <c r="K120" s="8"/>
      <c r="L120" s="8"/>
      <c r="M120" s="8"/>
      <c r="N120" s="8"/>
      <c r="O120" s="8"/>
      <c r="P120" s="8"/>
    </row>
    <row r="121" ht="89.25" spans="1:16">
      <c r="A121" s="4" t="str">
        <f>IFERROR(__xludf.DUMMYFUNCTION("""COMPUTED_VALUE"""),"01/12/25")</f>
        <v>01/12/25</v>
      </c>
      <c r="B121" s="5" t="str">
        <f>IFERROR(__xludf.DUMMYFUNCTION("""COMPUTED_VALUE"""),"TEN TWENTY Lip &amp; Cheek Serum Tint SET (3 SHADE IN 1 SET) HIGH PIGMENTED LONG LASTING SMOOTHER LIPS MOISTURIZING LIPTINT")</f>
        <v>TEN TWENTY Lip &amp; Cheek Serum Tint SET (3 SHADE IN 1 SET) HIGH PIGMENTED LONG LASTING SMOOTHER LIPS MOISTURIZING LIPTINT</v>
      </c>
      <c r="C121" s="6" t="str">
        <f>IFERROR(__xludf.DUMMYFUNCTION("""COMPUTED_VALUE"""),"https://vt.tiktok.com/ZSHTVJnLErMmd-RslAz/")</f>
        <v>https://vt.tiktok.com/ZSHTVJnLErMmd-RslAz/</v>
      </c>
      <c r="D121" s="4" t="str">
        <f>IFERROR(__xludf.DUMMYFUNCTION("""COMPUTED_VALUE"""),"LD_MU_LM_046")</f>
        <v>LD_MU_LM_046</v>
      </c>
      <c r="E121" s="5" t="str">
        <f>IFERROR(__xludf.DUMMYFUNCTION("""COMPUTED_VALUE"""),"TEN TWENTY Lip &amp; Cheek Serum Tint SET #tentwenty #lipstick")</f>
        <v>TEN TWENTY Lip &amp; Cheek Serum Tint SET #tentwenty #lipstick</v>
      </c>
      <c r="F121" s="3"/>
      <c r="G121" s="3"/>
      <c r="K121" s="8"/>
      <c r="L121" s="8"/>
      <c r="M121" s="8"/>
      <c r="N121" s="8"/>
      <c r="O121" s="8"/>
      <c r="P121" s="8"/>
    </row>
    <row r="122" ht="51" spans="1:16">
      <c r="A122" s="4" t="str">
        <f>IFERROR(__xludf.DUMMYFUNCTION("""COMPUTED_VALUE"""),"11/12/25")</f>
        <v>11/12/25</v>
      </c>
      <c r="B122" s="5" t="str">
        <f>IFERROR(__xludf.DUMMYFUNCTION("""COMPUTED_VALUE"""),"DAZZLE ME Ink-Mousse Lip Cream")</f>
        <v>DAZZLE ME Ink-Mousse Lip Cream</v>
      </c>
      <c r="C122" s="6" t="str">
        <f>IFERROR(__xludf.DUMMYFUNCTION("""COMPUTED_VALUE"""),"vt.tiktok.com/ZSHwPqCfXF87V-2kpts/")</f>
        <v>vt.tiktok.com/ZSHwPqCfXF87V-2kpts/</v>
      </c>
      <c r="D122" s="4" t="str">
        <f>IFERROR(__xludf.DUMMYFUNCTION("""COMPUTED_VALUE"""),"LD_MU_LM_050")</f>
        <v>LD_MU_LM_050</v>
      </c>
      <c r="E122" s="5" t="str">
        <f>IFERROR(__xludf.DUMMYFUNCTION("""COMPUTED_VALUE"""),"DAZZLE ME Ink-Mousse Lip Cream #dazzleme #liptint")</f>
        <v>DAZZLE ME Ink-Mousse Lip Cream #dazzleme #liptint</v>
      </c>
      <c r="F122" s="3"/>
      <c r="G122" s="3"/>
      <c r="K122" s="8"/>
      <c r="L122" s="8"/>
      <c r="M122" s="8"/>
      <c r="N122" s="8"/>
      <c r="O122" s="8"/>
      <c r="P122" s="8"/>
    </row>
    <row r="123" ht="38.25" spans="1:16">
      <c r="A123" s="4" t="str">
        <f>IFERROR(__xludf.DUMMYFUNCTION("""COMPUTED_VALUE"""),"11/12/25")</f>
        <v>11/12/25</v>
      </c>
      <c r="B123" s="5" t="str">
        <f>IFERROR(__xludf.DUMMYFUNCTION("""COMPUTED_VALUE"""),"Careline Stain with Me Lipstick")</f>
        <v>Careline Stain with Me Lipstick</v>
      </c>
      <c r="C123" s="6" t="str">
        <f>IFERROR(__xludf.DUMMYFUNCTION("""COMPUTED_VALUE"""),"vt.tiktok.com/ZSHwPpUPcGtEB-KBL82/")</f>
        <v>vt.tiktok.com/ZSHwPpUPcGtEB-KBL82/</v>
      </c>
      <c r="D123" s="4" t="str">
        <f>IFERROR(__xludf.DUMMYFUNCTION("""COMPUTED_VALUE"""),"LD_MU_LM_051")</f>
        <v>LD_MU_LM_051</v>
      </c>
      <c r="E123" s="5" t="str">
        <f>IFERROR(__xludf.DUMMYFUNCTION("""COMPUTED_VALUE"""),"Careline Stain with Me Lipstick #Careline #lipstick")</f>
        <v>Careline Stain with Me Lipstick #Careline #lipstick</v>
      </c>
      <c r="F123" s="3"/>
      <c r="G123" s="3"/>
      <c r="K123" s="8"/>
      <c r="L123" s="8"/>
      <c r="M123" s="8"/>
      <c r="N123" s="8"/>
      <c r="O123" s="8"/>
      <c r="P123" s="8"/>
    </row>
    <row r="124" ht="38.25" spans="1:16">
      <c r="A124" s="4" t="str">
        <f>IFERROR(__xludf.DUMMYFUNCTION("""COMPUTED_VALUE"""),"11/12/25")</f>
        <v>11/12/25</v>
      </c>
      <c r="B124" s="5" t="str">
        <f>IFERROR(__xludf.DUMMYFUNCTION("""COMPUTED_VALUE""")," Careline Lip Drip Tinted Lip Oil 4g ")</f>
        <v> Careline Lip Drip Tinted Lip Oil 4g </v>
      </c>
      <c r="C124" s="6" t="str">
        <f>IFERROR(__xludf.DUMMYFUNCTION("""COMPUTED_VALUE"""),"vt.tiktok.com/ZSHwPs63maEgJ-fcmQU/")</f>
        <v>vt.tiktok.com/ZSHwPs63maEgJ-fcmQU/</v>
      </c>
      <c r="D124" s="4" t="str">
        <f>IFERROR(__xludf.DUMMYFUNCTION("""COMPUTED_VALUE"""),"LD_MU_LM_052")</f>
        <v>LD_MU_LM_052</v>
      </c>
      <c r="E124" s="5" t="str">
        <f>IFERROR(__xludf.DUMMYFUNCTION("""COMPUTED_VALUE""")," Careline Lip Drip Tinted Lip Oil #careline #liptint")</f>
        <v> Careline Lip Drip Tinted Lip Oil #careline #liptint</v>
      </c>
      <c r="F124" s="3"/>
      <c r="G124" s="3"/>
      <c r="K124" s="8"/>
      <c r="L124" s="8"/>
      <c r="M124" s="8"/>
      <c r="N124" s="8"/>
      <c r="O124" s="8"/>
      <c r="P124" s="8"/>
    </row>
    <row r="125" ht="63.75" spans="1:16">
      <c r="A125" s="4" t="str">
        <f>IFERROR(__xludf.DUMMYFUNCTION("""COMPUTED_VALUE"""),"11/12/25")</f>
        <v>11/12/25</v>
      </c>
      <c r="B125" s="5" t="str">
        <f>IFERROR(__xludf.DUMMYFUNCTION("""COMPUTED_VALUE""")," Dr. Sensitive Tinted Lippie Oil Lip Oil ")</f>
        <v> Dr. Sensitive Tinted Lippie Oil Lip Oil </v>
      </c>
      <c r="C125" s="6" t="str">
        <f>IFERROR(__xludf.DUMMYFUNCTION("""COMPUTED_VALUE"""),"vt.tiktok.com/ZSHwu89TRQmyG-FaaXr/")</f>
        <v>vt.tiktok.com/ZSHwu89TRQmyG-FaaXr/</v>
      </c>
      <c r="D125" s="4" t="str">
        <f>IFERROR(__xludf.DUMMYFUNCTION("""COMPUTED_VALUE"""),"LD_MU_LM_053")</f>
        <v>LD_MU_LM_053</v>
      </c>
      <c r="E125" s="5" t="str">
        <f>IFERROR(__xludf.DUMMYFUNCTION("""COMPUTED_VALUE""")," Dr. Sensitive Tinted Lippie Oil Lip Oil  #drsensitive #liptint")</f>
        <v> Dr. Sensitive Tinted Lippie Oil Lip Oil  #drsensitive #liptint</v>
      </c>
      <c r="F125" s="3"/>
      <c r="G125" s="3"/>
      <c r="K125" s="8"/>
      <c r="L125" s="8"/>
      <c r="M125" s="8"/>
      <c r="N125" s="8"/>
      <c r="O125" s="8"/>
      <c r="P125" s="8"/>
    </row>
    <row r="126" ht="51" spans="1:16">
      <c r="A126" s="4" t="str">
        <f>IFERROR(__xludf.DUMMYFUNCTION("""COMPUTED_VALUE"""),"17/12/25")</f>
        <v>17/12/25</v>
      </c>
      <c r="B126" s="5" t="str">
        <f>IFERROR(__xludf.DUMMYFUNCTION("""COMPUTED_VALUE"""),"Generation Happy Skin Water Lip &amp; Cheek Tint")</f>
        <v>Generation Happy Skin Water Lip &amp; Cheek Tint</v>
      </c>
      <c r="C126" s="6" t="str">
        <f>IFERROR(__xludf.DUMMYFUNCTION("""COMPUTED_VALUE"""),"vt.tiktok.com/ZSHwuLgkYJCWq-jvbGt/")</f>
        <v>vt.tiktok.com/ZSHwuLgkYJCWq-jvbGt/</v>
      </c>
      <c r="D126" s="4" t="str">
        <f>IFERROR(__xludf.DUMMYFUNCTION("""COMPUTED_VALUE"""),"LD_MU_LM_054")</f>
        <v>LD_MU_LM_054</v>
      </c>
      <c r="E126" s="5" t="str">
        <f>IFERROR(__xludf.DUMMYFUNCTION("""COMPUTED_VALUE"""),"Happy Skin Water Lip &amp; Cheek Tint #happyskin #liptint")</f>
        <v>Happy Skin Water Lip &amp; Cheek Tint #happyskin #liptint</v>
      </c>
      <c r="F126" s="3"/>
      <c r="G126" s="3"/>
      <c r="K126" s="8"/>
      <c r="L126" s="8"/>
      <c r="M126" s="8"/>
      <c r="N126" s="8"/>
      <c r="O126" s="8"/>
      <c r="P126" s="8"/>
    </row>
    <row r="127" ht="89.25" spans="1:16">
      <c r="A127" s="4" t="str">
        <f>IFERROR(__xludf.DUMMYFUNCTION("""COMPUTED_VALUE"""),"11/12/25")</f>
        <v>11/12/25</v>
      </c>
      <c r="B127" s="5" t="str">
        <f>IFERROR(__xludf.DUMMYFUNCTION("""COMPUTED_VALUE"""),"Dessert Pastel Lipstick CLOUDBEAUTY Long-Lasting, Transfer-Proof, Creamy Sheen, Hydrating with Vitamin E - Peach, Pink, Nude, Red, Brown Shades")</f>
        <v>Dessert Pastel Lipstick CLOUDBEAUTY Long-Lasting, Transfer-Proof, Creamy Sheen, Hydrating with Vitamin E - Peach, Pink, Nude, Red, Brown Shades</v>
      </c>
      <c r="C127" s="6" t="str">
        <f>IFERROR(__xludf.DUMMYFUNCTION("""COMPUTED_VALUE"""),"vt.tiktok.com/ZSHwuLwwbe3gT-N99kN/")</f>
        <v>vt.tiktok.com/ZSHwuLwwbe3gT-N99kN/</v>
      </c>
      <c r="D127" s="4" t="str">
        <f>IFERROR(__xludf.DUMMYFUNCTION("""COMPUTED_VALUE"""),"LD_MU_LM_055")</f>
        <v>LD_MU_LM_055</v>
      </c>
      <c r="E127" s="5" t="str">
        <f>IFERROR(__xludf.DUMMYFUNCTION("""COMPUTED_VALUE"""),"Cloudbeauty Lipstick #cloudbeauty #lipstick")</f>
        <v>Cloudbeauty Lipstick #cloudbeauty #lipstick</v>
      </c>
      <c r="F127" s="3"/>
      <c r="G127" s="3"/>
      <c r="K127" s="8"/>
      <c r="L127" s="8"/>
      <c r="M127" s="8"/>
      <c r="N127" s="8"/>
      <c r="O127" s="8"/>
      <c r="P127" s="8"/>
    </row>
    <row r="128" ht="89.25" spans="1:16">
      <c r="A128" s="4" t="str">
        <f>IFERROR(__xludf.DUMMYFUNCTION("""COMPUTED_VALUE"""),"11/12/25")</f>
        <v>11/12/25</v>
      </c>
      <c r="B128" s="5" t="str">
        <f>IFERROR(__xludf.DUMMYFUNCTION("""COMPUTED_VALUE"""),"CLOUDBEAUTY Lipmousse &amp; Lip Shadow Set non- drying formula matte soft and smooth Creamy texture 7 Shades Lipstick Lightweight")</f>
        <v>CLOUDBEAUTY Lipmousse &amp; Lip Shadow Set non- drying formula matte soft and smooth Creamy texture 7 Shades Lipstick Lightweight</v>
      </c>
      <c r="C128" s="6" t="str">
        <f>IFERROR(__xludf.DUMMYFUNCTION("""COMPUTED_VALUE"""),"vt.tiktok.com/ZSHwuNa94sR8R-wNHND/")</f>
        <v>vt.tiktok.com/ZSHwuNa94sR8R-wNHND/</v>
      </c>
      <c r="D128" s="4" t="str">
        <f>IFERROR(__xludf.DUMMYFUNCTION("""COMPUTED_VALUE"""),"LD_MU_LM_056")</f>
        <v>LD_MU_LM_056</v>
      </c>
      <c r="E128" s="5" t="str">
        <f>IFERROR(__xludf.DUMMYFUNCTION("""COMPUTED_VALUE"""),"CLOUDBEAUTY Lipmousse &amp; Lip Shadow Set #cloudbeauty #lipstickset")</f>
        <v>CLOUDBEAUTY Lipmousse &amp; Lip Shadow Set #cloudbeauty #lipstickset</v>
      </c>
      <c r="F128" s="3"/>
      <c r="G128" s="3"/>
      <c r="K128" s="8"/>
      <c r="L128" s="8"/>
      <c r="M128" s="8"/>
      <c r="N128" s="8"/>
      <c r="O128" s="8"/>
      <c r="P128" s="8"/>
    </row>
    <row r="129" ht="63.75" spans="1:16">
      <c r="A129" s="4" t="str">
        <f>IFERROR(__xludf.DUMMYFUNCTION("""COMPUTED_VALUE"""),"11/12/25")</f>
        <v>11/12/25</v>
      </c>
      <c r="B129" s="5" t="str">
        <f>IFERROR(__xludf.DUMMYFUNCTION("""COMPUTED_VALUE"""),"Romantic Beauty Makeup Plumping, Nourishing, Glass-LikeGloss Makeup Lipstick")</f>
        <v>Romantic Beauty Makeup Plumping, Nourishing, Glass-LikeGloss Makeup Lipstick</v>
      </c>
      <c r="C129" s="6" t="str">
        <f>IFERROR(__xludf.DUMMYFUNCTION("""COMPUTED_VALUE"""),"vt.tiktok.com/ZSHwuNgJTkujp-2TInY/")</f>
        <v>vt.tiktok.com/ZSHwuNgJTkujp-2TInY/</v>
      </c>
      <c r="D129" s="4" t="str">
        <f>IFERROR(__xludf.DUMMYFUNCTION("""COMPUTED_VALUE"""),"LD_MU_LM_057")</f>
        <v>LD_MU_LM_057</v>
      </c>
      <c r="E129" s="5" t="str">
        <f>IFERROR(__xludf.DUMMYFUNCTION("""COMPUTED_VALUE"""),"Romantic Beauty Makeup Glass-LikeGloss Lipstick #romaticbeautymakeup #lipstick")</f>
        <v>Romantic Beauty Makeup Glass-LikeGloss Lipstick #romaticbeautymakeup #lipstick</v>
      </c>
      <c r="F129" s="3"/>
      <c r="G129" s="3"/>
      <c r="K129" s="8"/>
      <c r="L129" s="8"/>
      <c r="M129" s="8"/>
      <c r="N129" s="8"/>
      <c r="O129" s="8"/>
      <c r="P129" s="8"/>
    </row>
    <row r="130" ht="51" spans="1:16">
      <c r="A130" s="4" t="str">
        <f>IFERROR(__xludf.DUMMYFUNCTION("""COMPUTED_VALUE"""),"11/12/25")</f>
        <v>11/12/25</v>
      </c>
      <c r="B130" s="5" t="str">
        <f>IFERROR(__xludf.DUMMYFUNCTION("""COMPUTED_VALUE"""),"JMCY Velvet Matte Lip Tint ")</f>
        <v>JMCY Velvet Matte Lip Tint </v>
      </c>
      <c r="C130" s="6" t="str">
        <f>IFERROR(__xludf.DUMMYFUNCTION("""COMPUTED_VALUE"""),"vt.tiktok.com/ZSHwQbHMNHDsx-l3azH/")</f>
        <v>vt.tiktok.com/ZSHwQbHMNHDsx-l3azH/</v>
      </c>
      <c r="D130" s="4" t="str">
        <f>IFERROR(__xludf.DUMMYFUNCTION("""COMPUTED_VALUE"""),"LD_MU_LM_058")</f>
        <v>LD_MU_LM_058</v>
      </c>
      <c r="E130" s="5" t="str">
        <f>IFERROR(__xludf.DUMMYFUNCTION("""COMPUTED_VALUE"""),"JMCY Velvet Matte Lip Tint  #JMCYbeauty #liptint")</f>
        <v>JMCY Velvet Matte Lip Tint  #JMCYbeauty #liptint</v>
      </c>
      <c r="F130" s="3"/>
      <c r="G130" s="3"/>
      <c r="K130" s="8"/>
      <c r="L130" s="8"/>
      <c r="M130" s="8"/>
      <c r="N130" s="8"/>
      <c r="O130" s="8"/>
      <c r="P130" s="8"/>
    </row>
    <row r="131" ht="63.75" spans="1:16">
      <c r="A131" s="4" t="str">
        <f>IFERROR(__xludf.DUMMYFUNCTION("""COMPUTED_VALUE"""),"11/12/25")</f>
        <v>11/12/25</v>
      </c>
      <c r="B131" s="5" t="str">
        <f>IFERROR(__xludf.DUMMYFUNCTION("""COMPUTED_VALUE"""),"JMCY 5-in-1 Lip Liner Lipstick Blush • Eyeliner Long-Lasting Smooth Application")</f>
        <v>JMCY 5-in-1 Lip Liner Lipstick Blush • Eyeliner Long-Lasting Smooth Application</v>
      </c>
      <c r="C131" s="6" t="str">
        <f>IFERROR(__xludf.DUMMYFUNCTION("""COMPUTED_VALUE"""),"vt.tiktok.com/ZSHwQpnHeDq9S-Ml0WT/")</f>
        <v>vt.tiktok.com/ZSHwQpnHeDq9S-Ml0WT/</v>
      </c>
      <c r="D131" s="4" t="str">
        <f>IFERROR(__xludf.DUMMYFUNCTION("""COMPUTED_VALUE"""),"LD_MU_LM_059")</f>
        <v>LD_MU_LM_059</v>
      </c>
      <c r="E131" s="5" t="str">
        <f>IFERROR(__xludf.DUMMYFUNCTION("""COMPUTED_VALUE"""),"JMCY 5-in-1 Lip Liner Lipstick Blush Eyeliner #JMCYbeauty #lipliner")</f>
        <v>JMCY 5-in-1 Lip Liner Lipstick Blush Eyeliner #JMCYbeauty #lipliner</v>
      </c>
      <c r="F131" s="3"/>
      <c r="G131" s="3"/>
      <c r="K131" s="8"/>
      <c r="L131" s="8"/>
      <c r="M131" s="8"/>
      <c r="N131" s="8"/>
      <c r="O131" s="8"/>
      <c r="P131" s="8"/>
    </row>
    <row r="132" ht="89.25" spans="1:16">
      <c r="A132" s="4" t="str">
        <f>IFERROR(__xludf.DUMMYFUNCTION("""COMPUTED_VALUE"""),"26/8")</f>
        <v>26/8</v>
      </c>
      <c r="B132" s="5" t="str">
        <f>IFERROR(__xludf.DUMMYFUNCTION("""COMPUTED_VALUE"""),"GLO21 buy 1 get 1 free Thermal Spring Cleansing Water suitable for sensitive skin")</f>
        <v>GLO21 buy 1 get 1 free Thermal Spring Cleansing Water suitable for sensitive skin</v>
      </c>
      <c r="C132" s="6" t="str">
        <f>IFERROR(__xludf.DUMMYFUNCTION("""COMPUTED_VALUE"""),"https://www.tiktok.com/shop/ph/pdp/1729714655913150508?source=product_detail&amp;enter_from=product_detail&amp;enter_method=feed_list_brand_cat")</f>
        <v>https://www.tiktok.com/shop/ph/pdp/1729714655913150508?source=product_detail&amp;enter_from=product_detail&amp;enter_method=feed_list_brand_cat</v>
      </c>
      <c r="D132" s="4" t="str">
        <f>IFERROR(__xludf.DUMMYFUNCTION("""COMPUTED_VALUE"""),"LD_MU_MR_001")</f>
        <v>LD_MU_MR_001</v>
      </c>
      <c r="E132" s="5" t="str">
        <f>IFERROR(__xludf.DUMMYFUNCTION("""COMPUTED_VALUE"""),"GLO21 Thermal Spring Cleansing Water 
#glo21 #cleansingwater")</f>
        <v>GLO21 Thermal Spring Cleansing Water 
#glo21 #cleansingwater</v>
      </c>
      <c r="F132" s="3"/>
      <c r="G132" s="3"/>
      <c r="K132" s="8"/>
      <c r="L132" s="8"/>
      <c r="M132" s="8"/>
      <c r="N132" s="8"/>
      <c r="O132" s="8"/>
      <c r="P132" s="8"/>
    </row>
    <row r="133" ht="63.75" spans="1:16">
      <c r="A133" s="4" t="str">
        <f>IFERROR(__xludf.DUMMYFUNCTION("""COMPUTED_VALUE"""),"26/8")</f>
        <v>26/8</v>
      </c>
      <c r="B133" s="5" t="str">
        <f>IFERROR(__xludf.DUMMYFUNCTION("""COMPUTED_VALUE"""),"Garnier Micellar Water (125ml) - Makeup Remover, Facial Cleanser – Skincare for Brightening Dark Spots")</f>
        <v>Garnier Micellar Water (125ml) - Makeup Remover, Facial Cleanser – Skincare for Brightening Dark Spots</v>
      </c>
      <c r="C133" s="6" t="str">
        <f>IFERROR(__xludf.DUMMYFUNCTION("""COMPUTED_VALUE"""),"https://www.tiktok.com/shop/ph/pdp/1730513689221892186")</f>
        <v>https://www.tiktok.com/shop/ph/pdp/1730513689221892186</v>
      </c>
      <c r="D133" s="4" t="str">
        <f>IFERROR(__xludf.DUMMYFUNCTION("""COMPUTED_VALUE"""),"LD_MU_MR_002")</f>
        <v>LD_MU_MR_002</v>
      </c>
      <c r="E133" s="5" t="str">
        <f>IFERROR(__xludf.DUMMYFUNCTION("""COMPUTED_VALUE"""),"Garnier Micellar Water #garnier #micellarwater")</f>
        <v>Garnier Micellar Water #garnier #micellarwater</v>
      </c>
      <c r="F133" s="3"/>
      <c r="G133" s="3"/>
      <c r="K133" s="8"/>
      <c r="L133" s="8"/>
      <c r="M133" s="8"/>
      <c r="N133" s="8"/>
      <c r="O133" s="8"/>
      <c r="P133" s="8"/>
    </row>
    <row r="134" ht="89.25" spans="1:16">
      <c r="A134" s="4" t="str">
        <f>IFERROR(__xludf.DUMMYFUNCTION("""COMPUTED_VALUE"""),"28/8")</f>
        <v>28/8</v>
      </c>
      <c r="B134" s="5" t="str">
        <f>IFERROR(__xludf.DUMMYFUNCTION("""COMPUTED_VALUE"""),"Disposable Cotton Pad Cosmetic Makeup Remov")</f>
        <v>Disposable Cotton Pad Cosmetic Makeup Remov</v>
      </c>
      <c r="C134" s="6" t="str">
        <f>IFERROR(__xludf.DUMMYFUNCTION("""COMPUTED_VALUE"""),"https://www.tiktok.com/shop/ph/pdp/1730179952642328996?source=product_detail&amp;enter_from=product_detail&amp;enter_method=feed_list_brand_cat")</f>
        <v>https://www.tiktok.com/shop/ph/pdp/1730179952642328996?source=product_detail&amp;enter_from=product_detail&amp;enter_method=feed_list_brand_cat</v>
      </c>
      <c r="D134" s="4" t="str">
        <f>IFERROR(__xludf.DUMMYFUNCTION("""COMPUTED_VALUE"""),"LD_MU_MR_003")</f>
        <v>LD_MU_MR_003</v>
      </c>
      <c r="E134" s="5" t="str">
        <f>IFERROR(__xludf.DUMMYFUNCTION("""COMPUTED_VALUE"""),"Disposable Cotton Pad #cottonpad #tonerpad")</f>
        <v>Disposable Cotton Pad #cottonpad #tonerpad</v>
      </c>
      <c r="F134" s="3"/>
      <c r="G134" s="3"/>
      <c r="K134" s="8"/>
      <c r="L134" s="8"/>
      <c r="M134" s="8"/>
      <c r="N134" s="8"/>
      <c r="O134" s="8"/>
      <c r="P134" s="8"/>
    </row>
    <row r="135" ht="89.25" spans="1:16">
      <c r="A135" s="4" t="str">
        <f>IFERROR(__xludf.DUMMYFUNCTION("""COMPUTED_VALUE"""),"28/8")</f>
        <v>28/8</v>
      </c>
      <c r="B135" s="5" t="str">
        <f>IFERROR(__xludf.DUMMYFUNCTION("""COMPUTED_VALUE"""),"[COD] Bioten Skin Moisture Micellar Water (100ml)")</f>
        <v>[COD] Bioten Skin Moisture Micellar Water (100ml)</v>
      </c>
      <c r="C135" s="6" t="str">
        <f>IFERROR(__xludf.DUMMYFUNCTION("""COMPUTED_VALUE"""),"https://www.tiktok.com/shop/ph/pdp/1729388301930893199?source=product_detail&amp;enter_from=product_detail&amp;enter_method=feed_list_brand_cat")</f>
        <v>https://www.tiktok.com/shop/ph/pdp/1729388301930893199?source=product_detail&amp;enter_from=product_detail&amp;enter_method=feed_list_brand_cat</v>
      </c>
      <c r="D135" s="4" t="str">
        <f>IFERROR(__xludf.DUMMYFUNCTION("""COMPUTED_VALUE"""),"LD_MU_MR_004")</f>
        <v>LD_MU_MR_004</v>
      </c>
      <c r="E135" s="5" t="str">
        <f>IFERROR(__xludf.DUMMYFUNCTION("""COMPUTED_VALUE"""),"Bioten Skin Moisture Micellar Water bioten #micellarwater")</f>
        <v>Bioten Skin Moisture Micellar Water bioten #micellarwater</v>
      </c>
      <c r="F135" s="3"/>
      <c r="G135" s="3"/>
      <c r="K135" s="8"/>
      <c r="L135" s="8"/>
      <c r="M135" s="8"/>
      <c r="N135" s="8"/>
      <c r="O135" s="8"/>
      <c r="P135" s="8"/>
    </row>
    <row r="136" ht="63.75" spans="1:16">
      <c r="A136" s="4" t="str">
        <f>IFERROR(__xludf.DUMMYFUNCTION("""COMPUTED_VALUE"""),"28/08/25")</f>
        <v>28/08/25</v>
      </c>
      <c r="B136" s="5" t="str">
        <f>IFERROR(__xludf.DUMMYFUNCTION("""COMPUTED_VALUE"""),"Hello Glow Vitamin C Micellar Water 125ml")</f>
        <v>Hello Glow Vitamin C Micellar Water 125ml</v>
      </c>
      <c r="C136" s="6" t="str">
        <f>IFERROR(__xludf.DUMMYFUNCTION("""COMPUTED_VALUE"""),"https://vt.tiktok.com/ZSAuHeRQ7/")</f>
        <v>https://vt.tiktok.com/ZSAuHeRQ7/</v>
      </c>
      <c r="D136" s="4" t="str">
        <f>IFERROR(__xludf.DUMMYFUNCTION("""COMPUTED_VALUE"""),"LD_MU_MR_005")</f>
        <v>LD_MU_MR_005</v>
      </c>
      <c r="E136" s="5" t="str">
        <f>IFERROR(__xludf.DUMMYFUNCTION("""COMPUTED_VALUE"""),"Hello Glow Vitamin C Micellar Water #helloglowph #micellarwater")</f>
        <v>Hello Glow Vitamin C Micellar Water #helloglowph #micellarwater</v>
      </c>
      <c r="F136" s="3"/>
      <c r="G136" s="3"/>
      <c r="K136" s="8"/>
      <c r="L136" s="8"/>
      <c r="M136" s="8"/>
      <c r="N136" s="8"/>
      <c r="O136" s="8"/>
      <c r="P136" s="8"/>
    </row>
    <row r="137" ht="51" spans="1:16">
      <c r="A137" s="4" t="str">
        <f>IFERROR(__xludf.DUMMYFUNCTION("""COMPUTED_VALUE"""),"28/08/25")</f>
        <v>28/08/25</v>
      </c>
      <c r="B137" s="5" t="str">
        <f>IFERROR(__xludf.DUMMYFUNCTION("""COMPUTED_VALUE"""),"Nivea Face Cleasner Micellair acne care")</f>
        <v>Nivea Face Cleasner Micellair acne care</v>
      </c>
      <c r="C137" s="6" t="str">
        <f>IFERROR(__xludf.DUMMYFUNCTION("""COMPUTED_VALUE"""),"https://vt.tiktok.com/ZSAumn6Nc/")</f>
        <v>https://vt.tiktok.com/ZSAumn6Nc/</v>
      </c>
      <c r="D137" s="4" t="str">
        <f>IFERROR(__xludf.DUMMYFUNCTION("""COMPUTED_VALUE"""),"LD_MU_MR_006")</f>
        <v>LD_MU_MR_006</v>
      </c>
      <c r="E137" s="5" t="str">
        <f>IFERROR(__xludf.DUMMYFUNCTION("""COMPUTED_VALUE"""),"Nivea Face Cleasner Micellair #nivea #cleansingwater")</f>
        <v>Nivea Face Cleasner Micellair #nivea #cleansingwater</v>
      </c>
      <c r="F137" s="3"/>
      <c r="G137" s="3"/>
      <c r="K137" s="8"/>
      <c r="L137" s="8"/>
      <c r="M137" s="8"/>
      <c r="N137" s="8"/>
      <c r="O137" s="8"/>
      <c r="P137" s="8"/>
    </row>
    <row r="138" ht="51" spans="1:16">
      <c r="A138" s="4" t="str">
        <f>IFERROR(__xludf.DUMMYFUNCTION("""COMPUTED_VALUE"""),"28/08/25")</f>
        <v>28/08/25</v>
      </c>
      <c r="B138" s="5" t="str">
        <f>IFERROR(__xludf.DUMMYFUNCTION("""COMPUTED_VALUE"""),"VIYLINE Makeup Remover - Cleansing Balm")</f>
        <v>VIYLINE Makeup Remover - Cleansing Balm</v>
      </c>
      <c r="C138" s="6" t="str">
        <f>IFERROR(__xludf.DUMMYFUNCTION("""COMPUTED_VALUE"""),"https://vt.tiktok.com/ZSAuHYfFW/")</f>
        <v>https://vt.tiktok.com/ZSAuHYfFW/</v>
      </c>
      <c r="D138" s="4" t="str">
        <f>IFERROR(__xludf.DUMMYFUNCTION("""COMPUTED_VALUE"""),"LD_MU_MR_007")</f>
        <v>LD_MU_MR_007</v>
      </c>
      <c r="E138" s="5" t="str">
        <f>IFERROR(__xludf.DUMMYFUNCTION("""COMPUTED_VALUE"""),"VIYLINE Cleansing Balm #viylinecosmetic #cleansingbalm")</f>
        <v>VIYLINE Cleansing Balm #viylinecosmetic #cleansingbalm</v>
      </c>
      <c r="F138" s="3"/>
      <c r="G138" s="3"/>
      <c r="K138" s="8"/>
      <c r="L138" s="8"/>
      <c r="M138" s="8"/>
      <c r="N138" s="8"/>
      <c r="O138" s="8"/>
      <c r="P138" s="8"/>
    </row>
    <row r="139" ht="51" spans="1:16">
      <c r="A139" s="4" t="str">
        <f>IFERROR(__xludf.DUMMYFUNCTION("""COMPUTED_VALUE"""),"28/08/25")</f>
        <v>28/08/25</v>
      </c>
      <c r="B139" s="5" t="str">
        <f>IFERROR(__xludf.DUMMYFUNCTION("""COMPUTED_VALUE"""),"Shawill Cleansing Makup Remover Large Bottle Deap Cleaning Mild and Non irritating 300ml")</f>
        <v>Shawill Cleansing Makup Remover Large Bottle Deap Cleaning Mild and Non irritating 300ml</v>
      </c>
      <c r="C139" s="6" t="str">
        <f>IFERROR(__xludf.DUMMYFUNCTION("""COMPUTED_VALUE"""),"https://vt.tiktok.com/ZSAu9keCh/")</f>
        <v>https://vt.tiktok.com/ZSAu9keCh/</v>
      </c>
      <c r="D139" s="4" t="str">
        <f>IFERROR(__xludf.DUMMYFUNCTION("""COMPUTED_VALUE"""),"LD_MU_MR_008")</f>
        <v>LD_MU_MR_008</v>
      </c>
      <c r="E139" s="5" t="str">
        <f>IFERROR(__xludf.DUMMYFUNCTION("""COMPUTED_VALUE"""),"Shawill Cleansing Makup Remover #shawill #makeupremover")</f>
        <v>Shawill Cleansing Makup Remover #shawill #makeupremover</v>
      </c>
      <c r="F139" s="3"/>
      <c r="G139" s="3"/>
      <c r="K139" s="8"/>
      <c r="L139" s="8"/>
      <c r="M139" s="8"/>
      <c r="N139" s="8"/>
      <c r="O139" s="8"/>
      <c r="P139" s="8"/>
    </row>
    <row r="140" ht="51" spans="1:16">
      <c r="A140" s="4" t="str">
        <f>IFERROR(__xludf.DUMMYFUNCTION("""COMPUTED_VALUE"""),"28/08/25")</f>
        <v>28/08/25</v>
      </c>
      <c r="B140" s="5" t="str">
        <f>IFERROR(__xludf.DUMMYFUNCTION("""COMPUTED_VALUE"""),"Pazium Makeup Remover Purifying Micellar Water Cleansing Makeup remover")</f>
        <v>Pazium Makeup Remover Purifying Micellar Water Cleansing Makeup remover</v>
      </c>
      <c r="C140" s="6" t="str">
        <f>IFERROR(__xludf.DUMMYFUNCTION("""COMPUTED_VALUE"""),"https://vt.tiktok.com/ZSAuCwuEN/")</f>
        <v>https://vt.tiktok.com/ZSAuCwuEN/</v>
      </c>
      <c r="D140" s="4" t="str">
        <f>IFERROR(__xludf.DUMMYFUNCTION("""COMPUTED_VALUE"""),"LD_MU_MR_009")</f>
        <v>LD_MU_MR_009</v>
      </c>
      <c r="E140" s="5" t="str">
        <f>IFERROR(__xludf.DUMMYFUNCTION("""COMPUTED_VALUE"""),"Pazium Makeup Remover #pazium #makeupremover")</f>
        <v>Pazium Makeup Remover #pazium #makeupremover</v>
      </c>
      <c r="F140" s="3"/>
      <c r="G140" s="3"/>
      <c r="K140" s="8"/>
      <c r="L140" s="8"/>
      <c r="M140" s="8"/>
      <c r="N140" s="8"/>
      <c r="O140" s="8"/>
      <c r="P140" s="8"/>
    </row>
    <row r="141" ht="63.75" spans="1:16">
      <c r="A141" s="4" t="str">
        <f>IFERROR(__xludf.DUMMYFUNCTION("""COMPUTED_VALUE"""),"28/08/25")</f>
        <v>28/08/25</v>
      </c>
      <c r="B141" s="5" t="str">
        <f>IFERROR(__xludf.DUMMYFUNCTION("""COMPUTED_VALUE"""),"VIBRANT GLAMOUR 5-in-1 Vitamin C Purìying &amp; Repairing Cleansing Water")</f>
        <v>VIBRANT GLAMOUR 5-in-1 Vitamin C Purìying &amp; Repairing Cleansing Water</v>
      </c>
      <c r="C141" s="6" t="str">
        <f>IFERROR(__xludf.DUMMYFUNCTION("""COMPUTED_VALUE"""),"https://vt.tiktok.com/ZSAxJsrcK/")</f>
        <v>https://vt.tiktok.com/ZSAxJsrcK/</v>
      </c>
      <c r="D141" s="4" t="str">
        <f>IFERROR(__xludf.DUMMYFUNCTION("""COMPUTED_VALUE"""),"LD_MU_MR_010")</f>
        <v>LD_MU_MR_010</v>
      </c>
      <c r="E141" s="5" t="str">
        <f>IFERROR(__xludf.DUMMYFUNCTION("""COMPUTED_VALUE"""),"VIBRANT GLAMOUR Cleansing Water #vibrantglamour #cleansingwater")</f>
        <v>VIBRANT GLAMOUR Cleansing Water #vibrantglamour #cleansingwater</v>
      </c>
      <c r="F141" s="3"/>
      <c r="G141" s="3"/>
      <c r="K141" s="8"/>
      <c r="L141" s="8"/>
      <c r="M141" s="8"/>
      <c r="N141" s="8"/>
      <c r="O141" s="8"/>
      <c r="P141" s="8"/>
    </row>
    <row r="142" ht="63.75" spans="1:16">
      <c r="A142" s="4" t="str">
        <f>IFERROR(__xludf.DUMMYFUNCTION("""COMPUTED_VALUE"""),"28/08/25")</f>
        <v>28/08/25</v>
      </c>
      <c r="B142" s="5" t="str">
        <f>IFERROR(__xludf.DUMMYFUNCTION("""COMPUTED_VALUE"""),"Sulee Skin Essentials Anomi Cleansing Water With Free 60pcs of Cotton Pads Cleanser Facial")</f>
        <v>Sulee Skin Essentials Anomi Cleansing Water With Free 60pcs of Cotton Pads Cleanser Facial</v>
      </c>
      <c r="C142" s="6" t="str">
        <f>IFERROR(__xludf.DUMMYFUNCTION("""COMPUTED_VALUE"""),"https://vt.tiktok.com/ZSAxe1gRa/")</f>
        <v>https://vt.tiktok.com/ZSAxe1gRa/</v>
      </c>
      <c r="D142" s="4" t="str">
        <f>IFERROR(__xludf.DUMMYFUNCTION("""COMPUTED_VALUE"""),"LD_MU_MR_011")</f>
        <v>LD_MU_MR_011</v>
      </c>
      <c r="E142" s="5" t="str">
        <f>IFERROR(__xludf.DUMMYFUNCTION("""COMPUTED_VALUE"""),"Sulee Skin Cleansing Water #suleeskin #cleansingwater")</f>
        <v>Sulee Skin Cleansing Water #suleeskin #cleansingwater</v>
      </c>
      <c r="F142" s="3"/>
      <c r="G142" s="3"/>
      <c r="K142" s="8"/>
      <c r="L142" s="8"/>
      <c r="M142" s="8"/>
      <c r="N142" s="8"/>
      <c r="O142" s="8"/>
      <c r="P142" s="8"/>
    </row>
    <row r="143" ht="38.25" spans="1:16">
      <c r="A143" s="4" t="str">
        <f>IFERROR(__xludf.DUMMYFUNCTION("""COMPUTED_VALUE"""),"26/8")</f>
        <v>26/8</v>
      </c>
      <c r="B143" s="5" t="str">
        <f>IFERROR(__xludf.DUMMYFUNCTION("""COMPUTED_VALUE"""),"1 Roll Scar Silicone Gel Sheet PatchTape Sticker Scar Skin Stick Hidden")</f>
        <v>1 Roll Scar Silicone Gel Sheet PatchTape Sticker Scar Skin Stick Hidden</v>
      </c>
      <c r="C143" s="6" t="str">
        <f>IFERROR(__xludf.DUMMYFUNCTION("""COMPUTED_VALUE"""),"https://www.tiktok.com/shop/ph/pdp/1731318511574353212")</f>
        <v>https://www.tiktok.com/shop/ph/pdp/1731318511574353212</v>
      </c>
      <c r="D143" s="4" t="str">
        <f>IFERROR(__xludf.DUMMYFUNCTION("""COMPUTED_VALUE"""),"LD_MU_MT_001")</f>
        <v>LD_MU_MT_001</v>
      </c>
      <c r="E143" s="5" t="str">
        <f>IFERROR(__xludf.DUMMYFUNCTION("""COMPUTED_VALUE"""),"Scar Silicone Gel #siliconescarsheets #scarsheets")</f>
        <v>Scar Silicone Gel #siliconescarsheets #scarsheets</v>
      </c>
      <c r="F143" s="3"/>
      <c r="G143" s="3"/>
      <c r="K143" s="8"/>
      <c r="L143" s="8"/>
      <c r="M143" s="8"/>
      <c r="N143" s="8"/>
      <c r="O143" s="8"/>
      <c r="P143" s="8"/>
    </row>
    <row r="144" ht="51" spans="1:16">
      <c r="A144" s="4" t="str">
        <f>IFERROR(__xludf.DUMMYFUNCTION("""COMPUTED_VALUE"""),"26/8")</f>
        <v>26/8</v>
      </c>
      <c r="B144" s="5" t="str">
        <f>IFERROR(__xludf.DUMMYFUNCTION("""COMPUTED_VALUE"""),"10 Pcs Mini short handle makeup brush set multi-color black pink short handle vertical flat ")</f>
        <v>10 Pcs Mini short handle makeup brush set multi-color black pink short handle vertical flat </v>
      </c>
      <c r="C144" s="6" t="str">
        <f>IFERROR(__xludf.DUMMYFUNCTION("""COMPUTED_VALUE"""),"https://www.tiktok.com/shop/ph/pdp/1731166718889134253")</f>
        <v>https://www.tiktok.com/shop/ph/pdp/1731166718889134253</v>
      </c>
      <c r="D144" s="4" t="str">
        <f>IFERROR(__xludf.DUMMYFUNCTION("""COMPUTED_VALUE"""),"LD_MU_MT_002")</f>
        <v>LD_MU_MT_002</v>
      </c>
      <c r="E144" s="5" t="str">
        <f>IFERROR(__xludf.DUMMYFUNCTION("""COMPUTED_VALUE"""),"10 Pcs Mini Makeup Brushes #makeupbrush #makeuptool")</f>
        <v>10 Pcs Mini Makeup Brushes #makeupbrush #makeuptool</v>
      </c>
      <c r="F144" s="3"/>
      <c r="G144" s="3"/>
      <c r="K144" s="8"/>
      <c r="L144" s="8"/>
      <c r="M144" s="8"/>
      <c r="N144" s="8"/>
      <c r="O144" s="8"/>
      <c r="P144" s="8"/>
    </row>
    <row r="145" ht="76.5" spans="1:16">
      <c r="A145" s="4" t="str">
        <f>IFERROR(__xludf.DUMMYFUNCTION("""COMPUTED_VALUE"""),"26/8")</f>
        <v>26/8</v>
      </c>
      <c r="B145" s="5" t="str">
        <f>IFERROR(__xludf.DUMMYFUNCTION("""COMPUTED_VALUE"""),"Lishu foundation brush applies makeup evenly ，Puff Sponges doesn't consume powder, and the creating a perfect, lightweight")</f>
        <v>Lishu foundation brush applies makeup evenly ，Puff Sponges doesn't consume powder, and the creating a perfect, lightweight</v>
      </c>
      <c r="C145" s="6" t="str">
        <f>IFERROR(__xludf.DUMMYFUNCTION("""COMPUTED_VALUE"""),"https://www.tiktok.com/shop/ph/pdp/1730276440397155128")</f>
        <v>https://www.tiktok.com/shop/ph/pdp/1730276440397155128</v>
      </c>
      <c r="D145" s="4" t="str">
        <f>IFERROR(__xludf.DUMMYFUNCTION("""COMPUTED_VALUE"""),"LD_MU_MT_003")</f>
        <v>LD_MU_MT_003</v>
      </c>
      <c r="E145" s="5" t="str">
        <f>IFERROR(__xludf.DUMMYFUNCTION("""COMPUTED_VALUE"""),"Lishu foundation brush #lishu #foundationbrush")</f>
        <v>Lishu foundation brush #lishu #foundationbrush</v>
      </c>
      <c r="F145" s="3"/>
      <c r="G145" s="3"/>
      <c r="K145" s="8"/>
      <c r="L145" s="8"/>
      <c r="M145" s="8"/>
      <c r="N145" s="8"/>
      <c r="O145" s="8"/>
      <c r="P145" s="8"/>
    </row>
    <row r="146" ht="63.75" spans="1:16">
      <c r="A146" s="4" t="str">
        <f>IFERROR(__xludf.DUMMYFUNCTION("""COMPUTED_VALUE"""),"26/08/2025")</f>
        <v>26/08/2025</v>
      </c>
      <c r="B146" s="5" t="str">
        <f>IFERROR(__xludf.DUMMYFUNCTION("""COMPUTED_VALUE"""),"Large Travel Makeup Cosmetic Case Storage bag Holder")</f>
        <v>Large Travel Makeup Cosmetic Case Storage bag Holder</v>
      </c>
      <c r="C146" s="6" t="str">
        <f>IFERROR(__xludf.DUMMYFUNCTION("""COMPUTED_VALUE"""),"https://vt.tiktok.com/ZSHGWYHMtGQMJ-6foUP/")</f>
        <v>https://vt.tiktok.com/ZSHGWYHMtGQMJ-6foUP/</v>
      </c>
      <c r="D146" s="4" t="str">
        <f>IFERROR(__xludf.DUMMYFUNCTION("""COMPUTED_VALUE"""),"LD_MU_MT_004")</f>
        <v>LD_MU_MT_004</v>
      </c>
      <c r="E146" s="5" t="str">
        <f>IFERROR(__xludf.DUMMYFUNCTION("""COMPUTED_VALUE"""),"Large Travel Makeup Cosmetic Storage Bag #travelbag #makeupbag")</f>
        <v>Large Travel Makeup Cosmetic Storage Bag #travelbag #makeupbag</v>
      </c>
      <c r="F146" s="3"/>
      <c r="G146" s="3"/>
      <c r="K146" s="8"/>
      <c r="L146" s="8"/>
      <c r="M146" s="8"/>
      <c r="N146" s="8"/>
      <c r="O146" s="8"/>
      <c r="P146" s="8"/>
    </row>
    <row r="147" ht="51" spans="1:16">
      <c r="A147" s="4" t="str">
        <f>IFERROR(__xludf.DUMMYFUNCTION("""COMPUTED_VALUE"""),"26/08/2025")</f>
        <v>26/08/2025</v>
      </c>
      <c r="B147" s="5" t="str">
        <f>IFERROR(__xludf.DUMMYFUNCTION("""COMPUTED_VALUE"""),"Cosmetic Bag Cute Tulip Travel")</f>
        <v>Cosmetic Bag Cute Tulip Travel</v>
      </c>
      <c r="C147" s="6" t="str">
        <f>IFERROR(__xludf.DUMMYFUNCTION("""COMPUTED_VALUE"""),"https://vt.tiktok.com/ZSHGW2hP56ydj-rUWAX/")</f>
        <v>https://vt.tiktok.com/ZSHGW2hP56ydj-rUWAX/</v>
      </c>
      <c r="D147" s="4" t="str">
        <f>IFERROR(__xludf.DUMMYFUNCTION("""COMPUTED_VALUE"""),"LD_MU_MT_005")</f>
        <v>LD_MU_MT_005</v>
      </c>
      <c r="E147" s="5" t="str">
        <f>IFERROR(__xludf.DUMMYFUNCTION("""COMPUTED_VALUE"""),"Cosmetic Bag Cute Tulip Travel #makeupbag #makeup")</f>
        <v>Cosmetic Bag Cute Tulip Travel #makeupbag #makeup</v>
      </c>
      <c r="F147" s="3"/>
      <c r="G147" s="3"/>
      <c r="K147" s="8"/>
      <c r="L147" s="8"/>
      <c r="M147" s="8"/>
      <c r="N147" s="8"/>
      <c r="O147" s="8"/>
      <c r="P147" s="8"/>
    </row>
    <row r="148" ht="51" spans="1:16">
      <c r="A148" s="4" t="str">
        <f>IFERROR(__xludf.DUMMYFUNCTION("""COMPUTED_VALUE"""),"26/08/2025")</f>
        <v>26/08/2025</v>
      </c>
      <c r="B148" s="5" t="str">
        <f>IFERROR(__xludf.DUMMYFUNCTION("""COMPUTED_VALUE"""),"Beauty Makeup Cosmetics Zipper Organizer Box Storage Bag")</f>
        <v>Beauty Makeup Cosmetics Zipper Organizer Box Storage Bag</v>
      </c>
      <c r="C148" s="6" t="str">
        <f>IFERROR(__xludf.DUMMYFUNCTION("""COMPUTED_VALUE"""),"https://vt.tiktok.com/ZSHGW2Wa98GJU-6Wyys/")</f>
        <v>https://vt.tiktok.com/ZSHGW2Wa98GJU-6Wyys/</v>
      </c>
      <c r="D148" s="4" t="str">
        <f>IFERROR(__xludf.DUMMYFUNCTION("""COMPUTED_VALUE"""),"LD_MU_MT_006")</f>
        <v>LD_MU_MT_006</v>
      </c>
      <c r="E148" s="5" t="str">
        <f>IFERROR(__xludf.DUMMYFUNCTION("""COMPUTED_VALUE"""),"Cosmetic Bag #makeupbag #makeup")</f>
        <v>Cosmetic Bag #makeupbag #makeup</v>
      </c>
      <c r="F148" s="3"/>
      <c r="G148" s="3"/>
      <c r="K148" s="8"/>
      <c r="L148" s="8"/>
      <c r="M148" s="8"/>
      <c r="N148" s="8"/>
      <c r="O148" s="8"/>
      <c r="P148" s="8"/>
    </row>
    <row r="149" ht="63.75" spans="1:16">
      <c r="A149" s="4" t="str">
        <f>IFERROR(__xludf.DUMMYFUNCTION("""COMPUTED_VALUE"""),"26/08/2025")</f>
        <v>26/08/2025</v>
      </c>
      <c r="B149" s="5" t="str">
        <f>IFERROR(__xludf.DUMMYFUNCTION("""COMPUTED_VALUE"""),"Rechargeable Handy Round LED Mirror for Make-up Compact")</f>
        <v>Rechargeable Handy Round LED Mirror for Make-up Compact</v>
      </c>
      <c r="C149" s="6" t="str">
        <f>IFERROR(__xludf.DUMMYFUNCTION("""COMPUTED_VALUE"""),"https://vt.tiktok.com/ZSHGW61RoNNp7-MMl1C/")</f>
        <v>https://vt.tiktok.com/ZSHGW61RoNNp7-MMl1C/</v>
      </c>
      <c r="D149" s="4" t="str">
        <f>IFERROR(__xludf.DUMMYFUNCTION("""COMPUTED_VALUE"""),"LD_MU_MT_007")</f>
        <v>LD_MU_MT_007</v>
      </c>
      <c r="E149" s="5" t="str">
        <f>IFERROR(__xludf.DUMMYFUNCTION("""COMPUTED_VALUE"""),"Rechargeable Handy Round LED Mirror #handymirror #mirror")</f>
        <v>Rechargeable Handy Round LED Mirror #handymirror #mirror</v>
      </c>
      <c r="F149" s="3"/>
      <c r="G149" s="3"/>
      <c r="K149" s="8"/>
      <c r="L149" s="8"/>
      <c r="M149" s="8"/>
      <c r="N149" s="8"/>
      <c r="O149" s="8"/>
      <c r="P149" s="8"/>
    </row>
    <row r="150" ht="63.75" spans="1:16">
      <c r="A150" s="4" t="str">
        <f>IFERROR(__xludf.DUMMYFUNCTION("""COMPUTED_VALUE"""),"26/08/2025")</f>
        <v>26/08/2025</v>
      </c>
      <c r="B150" s="5" t="str">
        <f>IFERROR(__xludf.DUMMYFUNCTION("""COMPUTED_VALUE"""),"Cosmetic Bag and Folding Mirror with LED light Portable")</f>
        <v>Cosmetic Bag and Folding Mirror with LED light Portable</v>
      </c>
      <c r="C150" s="6" t="str">
        <f>IFERROR(__xludf.DUMMYFUNCTION("""COMPUTED_VALUE"""),"https://vt.tiktok.com/ZSHGW6H645StT-FmoVM/")</f>
        <v>https://vt.tiktok.com/ZSHGW6H645StT-FmoVM/</v>
      </c>
      <c r="D150" s="4" t="str">
        <f>IFERROR(__xludf.DUMMYFUNCTION("""COMPUTED_VALUE"""),"LD_MU_MT_008")</f>
        <v>LD_MU_MT_008</v>
      </c>
      <c r="E150" s="5" t="str">
        <f>IFERROR(__xludf.DUMMYFUNCTION("""COMPUTED_VALUE"""),"Cosmetic Bag and Folding Mirror with LED light Portable #makeupbag #ledmirror")</f>
        <v>Cosmetic Bag and Folding Mirror with LED light Portable #makeupbag #ledmirror</v>
      </c>
      <c r="F150" s="3"/>
      <c r="G150" s="3"/>
      <c r="K150" s="8"/>
      <c r="L150" s="8"/>
      <c r="M150" s="8"/>
      <c r="N150" s="8"/>
      <c r="O150" s="8"/>
      <c r="P150" s="8"/>
    </row>
    <row r="151" ht="63.75" spans="1:16">
      <c r="A151" s="4" t="str">
        <f>IFERROR(__xludf.DUMMYFUNCTION("""COMPUTED_VALUE"""),"26/08/2025")</f>
        <v>26/08/2025</v>
      </c>
      <c r="B151" s="5" t="str">
        <f>IFERROR(__xludf.DUMMYFUNCTION("""COMPUTED_VALUE"""),"Storage box Makeup mirror Flower")</f>
        <v>Storage box Makeup mirror Flower</v>
      </c>
      <c r="C151" s="6" t="str">
        <f>IFERROR(__xludf.DUMMYFUNCTION("""COMPUTED_VALUE"""),"https://vt.tiktok.com/ZSHGWMWfnC3go-ob158/")</f>
        <v>https://vt.tiktok.com/ZSHGWMWfnC3go-ob158/</v>
      </c>
      <c r="D151" s="4" t="str">
        <f>IFERROR(__xludf.DUMMYFUNCTION("""COMPUTED_VALUE"""),"LD_MU_MT_010")</f>
        <v>LD_MU_MT_010</v>
      </c>
      <c r="E151" s="5" t="str">
        <f>IFERROR(__xludf.DUMMYFUNCTION("""COMPUTED_VALUE"""),"Storage box Makeup mirror Flower 
#mirror #makeupbox")</f>
        <v>Storage box Makeup mirror Flower 
#mirror #makeupbox</v>
      </c>
      <c r="F151" s="3"/>
      <c r="G151" s="3"/>
      <c r="K151" s="8"/>
      <c r="L151" s="8"/>
      <c r="M151" s="8"/>
      <c r="N151" s="8"/>
      <c r="O151" s="8"/>
      <c r="P151" s="8"/>
    </row>
    <row r="152" ht="51" spans="1:16">
      <c r="A152" s="4" t="str">
        <f>IFERROR(__xludf.DUMMYFUNCTION("""COMPUTED_VALUE"""),"26/8")</f>
        <v>26/8</v>
      </c>
      <c r="B152" s="5" t="str">
        <f>IFERROR(__xludf.DUMMYFUNCTION("""COMPUTED_VALUE"""),"Skin Brush 14 Sets Makeup Brushes Set Portable Powder Brush Beauty ")</f>
        <v>Skin Brush 14 Sets Makeup Brushes Set Portable Powder Brush Beauty </v>
      </c>
      <c r="C152" s="6" t="str">
        <f>IFERROR(__xludf.DUMMYFUNCTION("""COMPUTED_VALUE"""),"https://www.tiktok.com/shop/ph/pdp/1729995600407595447")</f>
        <v>https://www.tiktok.com/shop/ph/pdp/1729995600407595447</v>
      </c>
      <c r="D152" s="4" t="str">
        <f>IFERROR(__xludf.DUMMYFUNCTION("""COMPUTED_VALUE"""),"LD_MU_MT_012")</f>
        <v>LD_MU_MT_012</v>
      </c>
      <c r="E152" s="5" t="str">
        <f>IFERROR(__xludf.DUMMYFUNCTION("""COMPUTED_VALUE"""),"Set 14pcs Makeup Brushes #makeupbrush #makeup")</f>
        <v>Set 14pcs Makeup Brushes #makeupbrush #makeup</v>
      </c>
      <c r="F152" s="3"/>
      <c r="G152" s="3"/>
      <c r="K152" s="8"/>
      <c r="L152" s="8"/>
      <c r="M152" s="8"/>
      <c r="N152" s="8"/>
      <c r="O152" s="8"/>
      <c r="P152" s="8"/>
    </row>
    <row r="153" ht="51" spans="1:16">
      <c r="A153" s="4" t="str">
        <f>IFERROR(__xludf.DUMMYFUNCTION("""COMPUTED_VALUE"""),"26/08/2025")</f>
        <v>26/08/2025</v>
      </c>
      <c r="B153" s="5" t="str">
        <f>IFERROR(__xludf.DUMMYFUNCTION("""COMPUTED_VALUE"""),"20pcs/pack Makeup Sponges ")</f>
        <v>20pcs/pack Makeup Sponges </v>
      </c>
      <c r="C153" s="6" t="str">
        <f>IFERROR(__xludf.DUMMYFUNCTION("""COMPUTED_VALUE"""),"https://vt.tiktok.com/ZSHGWTaphapAo-H4Eiu/")</f>
        <v>https://vt.tiktok.com/ZSHGWTaphapAo-H4Eiu/</v>
      </c>
      <c r="D153" s="4" t="str">
        <f>IFERROR(__xludf.DUMMYFUNCTION("""COMPUTED_VALUE"""),"LD_MU_MT_013")</f>
        <v>LD_MU_MT_013</v>
      </c>
      <c r="E153" s="5" t="str">
        <f>IFERROR(__xludf.DUMMYFUNCTION("""COMPUTED_VALUE"""),"20pcs/pack Makeup Sponges 
#makeupsponges #makeuptool")</f>
        <v>20pcs/pack Makeup Sponges 
#makeupsponges #makeuptool</v>
      </c>
      <c r="F153" s="3"/>
      <c r="G153" s="3"/>
      <c r="K153" s="8"/>
      <c r="L153" s="8"/>
      <c r="M153" s="8"/>
      <c r="N153" s="8"/>
      <c r="O153" s="8"/>
      <c r="P153" s="8"/>
    </row>
    <row r="154" ht="12.75" spans="1:16">
      <c r="A154" s="4"/>
      <c r="B154" s="5"/>
      <c r="C154" s="5"/>
      <c r="D154" s="4"/>
      <c r="E154" s="5"/>
      <c r="F154" s="3"/>
      <c r="G154" s="3"/>
      <c r="K154" s="8"/>
      <c r="L154" s="8"/>
      <c r="M154" s="8"/>
      <c r="N154" s="8"/>
      <c r="O154" s="8"/>
      <c r="P154" s="8"/>
    </row>
    <row r="155" ht="12.75" spans="1:16">
      <c r="A155" s="4"/>
      <c r="B155" s="5"/>
      <c r="C155" s="5"/>
      <c r="D155" s="4"/>
      <c r="E155" s="5"/>
      <c r="F155" s="3"/>
      <c r="G155" s="3"/>
      <c r="K155" s="8"/>
      <c r="L155" s="8"/>
      <c r="M155" s="8"/>
      <c r="N155" s="8"/>
      <c r="O155" s="8"/>
      <c r="P155" s="8"/>
    </row>
    <row r="156" ht="12.75" spans="1:16">
      <c r="A156" s="4"/>
      <c r="B156" s="5"/>
      <c r="C156" s="5"/>
      <c r="D156" s="4"/>
      <c r="E156" s="5"/>
      <c r="F156" s="3"/>
      <c r="G156" s="3"/>
      <c r="K156" s="8"/>
      <c r="L156" s="8"/>
      <c r="M156" s="8"/>
      <c r="N156" s="8"/>
      <c r="O156" s="8"/>
      <c r="P156" s="8"/>
    </row>
    <row r="157" ht="12.75" spans="1:16">
      <c r="A157" s="4"/>
      <c r="B157" s="5"/>
      <c r="C157" s="5"/>
      <c r="D157" s="4"/>
      <c r="E157" s="5"/>
      <c r="F157" s="3"/>
      <c r="G157" s="3"/>
      <c r="K157" s="8"/>
      <c r="L157" s="8"/>
      <c r="M157" s="8"/>
      <c r="N157" s="8"/>
      <c r="O157" s="8"/>
      <c r="P157" s="8"/>
    </row>
    <row r="158" ht="12.75" spans="1:16">
      <c r="A158" s="4"/>
      <c r="B158" s="5"/>
      <c r="C158" s="5"/>
      <c r="D158" s="4"/>
      <c r="E158" s="5"/>
      <c r="F158" s="3"/>
      <c r="G158" s="3"/>
      <c r="K158" s="8"/>
      <c r="L158" s="8"/>
      <c r="M158" s="8"/>
      <c r="N158" s="8"/>
      <c r="O158" s="8"/>
      <c r="P158" s="8"/>
    </row>
    <row r="159" ht="12.75" spans="1:16">
      <c r="A159" s="4"/>
      <c r="B159" s="5"/>
      <c r="C159" s="5"/>
      <c r="D159" s="4"/>
      <c r="E159" s="5"/>
      <c r="F159" s="3"/>
      <c r="G159" s="3"/>
      <c r="K159" s="8"/>
      <c r="L159" s="8"/>
      <c r="M159" s="8"/>
      <c r="N159" s="8"/>
      <c r="O159" s="8"/>
      <c r="P159" s="8"/>
    </row>
    <row r="160" ht="12.75" spans="1:16">
      <c r="A160" s="4"/>
      <c r="B160" s="5"/>
      <c r="C160" s="5"/>
      <c r="D160" s="4"/>
      <c r="E160" s="5"/>
      <c r="F160" s="3"/>
      <c r="G160" s="3"/>
      <c r="K160" s="8"/>
      <c r="L160" s="8"/>
      <c r="M160" s="8"/>
      <c r="N160" s="8"/>
      <c r="O160" s="8"/>
      <c r="P160" s="8"/>
    </row>
    <row r="161" ht="12.75" spans="1:16">
      <c r="A161" s="4"/>
      <c r="B161" s="5"/>
      <c r="C161" s="5"/>
      <c r="D161" s="4"/>
      <c r="E161" s="5"/>
      <c r="F161" s="3"/>
      <c r="G161" s="3"/>
      <c r="K161" s="8"/>
      <c r="L161" s="8"/>
      <c r="M161" s="8"/>
      <c r="N161" s="8"/>
      <c r="O161" s="8"/>
      <c r="P161" s="8"/>
    </row>
    <row r="162" ht="12.75" spans="1:16">
      <c r="A162" s="4"/>
      <c r="B162" s="5"/>
      <c r="C162" s="5"/>
      <c r="D162" s="4"/>
      <c r="E162" s="5"/>
      <c r="F162" s="3"/>
      <c r="G162" s="3"/>
      <c r="K162" s="8"/>
      <c r="L162" s="8"/>
      <c r="M162" s="8"/>
      <c r="N162" s="8"/>
      <c r="O162" s="8"/>
      <c r="P162" s="8"/>
    </row>
    <row r="163" ht="12.75" spans="1:16">
      <c r="A163" s="4"/>
      <c r="B163" s="5"/>
      <c r="C163" s="5"/>
      <c r="D163" s="4"/>
      <c r="E163" s="5"/>
      <c r="F163" s="3"/>
      <c r="G163" s="3"/>
      <c r="K163" s="8"/>
      <c r="L163" s="8"/>
      <c r="M163" s="8"/>
      <c r="N163" s="8"/>
      <c r="O163" s="8"/>
      <c r="P163" s="8"/>
    </row>
    <row r="164" ht="12.75" spans="1:16">
      <c r="A164" s="4"/>
      <c r="B164" s="5"/>
      <c r="C164" s="5"/>
      <c r="D164" s="4"/>
      <c r="E164" s="5"/>
      <c r="F164" s="3"/>
      <c r="G164" s="3"/>
      <c r="K164" s="8"/>
      <c r="L164" s="8"/>
      <c r="M164" s="8"/>
      <c r="N164" s="8"/>
      <c r="O164" s="8"/>
      <c r="P164" s="8"/>
    </row>
    <row r="165" ht="12.75" spans="1:16">
      <c r="A165" s="4"/>
      <c r="B165" s="5"/>
      <c r="C165" s="5"/>
      <c r="D165" s="4"/>
      <c r="E165" s="5"/>
      <c r="F165" s="3"/>
      <c r="G165" s="3"/>
      <c r="K165" s="8"/>
      <c r="L165" s="8"/>
      <c r="M165" s="8"/>
      <c r="N165" s="8"/>
      <c r="O165" s="8"/>
      <c r="P165" s="8"/>
    </row>
    <row r="166" ht="12.75" spans="1:16">
      <c r="A166" s="4"/>
      <c r="B166" s="5"/>
      <c r="C166" s="5"/>
      <c r="D166" s="4"/>
      <c r="E166" s="5"/>
      <c r="F166" s="3"/>
      <c r="G166" s="3"/>
      <c r="K166" s="8"/>
      <c r="L166" s="8"/>
      <c r="M166" s="8"/>
      <c r="N166" s="8"/>
      <c r="O166" s="8"/>
      <c r="P166" s="8"/>
    </row>
    <row r="167" ht="12.75" spans="1:16">
      <c r="A167" s="4"/>
      <c r="B167" s="5"/>
      <c r="C167" s="5"/>
      <c r="D167" s="4"/>
      <c r="E167" s="5"/>
      <c r="F167" s="3"/>
      <c r="G167" s="3"/>
      <c r="K167" s="8"/>
      <c r="L167" s="8"/>
      <c r="M167" s="8"/>
      <c r="N167" s="8"/>
      <c r="O167" s="8"/>
      <c r="P167" s="8"/>
    </row>
    <row r="168" ht="12.75" spans="1:16">
      <c r="A168" s="4"/>
      <c r="B168" s="5"/>
      <c r="C168" s="5"/>
      <c r="D168" s="4"/>
      <c r="E168" s="5"/>
      <c r="F168" s="3"/>
      <c r="G168" s="3"/>
      <c r="K168" s="8"/>
      <c r="L168" s="8"/>
      <c r="M168" s="8"/>
      <c r="N168" s="8"/>
      <c r="O168" s="8"/>
      <c r="P168" s="8"/>
    </row>
    <row r="169" ht="12.75" spans="1:16">
      <c r="A169" s="4"/>
      <c r="B169" s="5"/>
      <c r="C169" s="5"/>
      <c r="D169" s="4"/>
      <c r="E169" s="5"/>
      <c r="F169" s="3"/>
      <c r="G169" s="3"/>
      <c r="K169" s="8"/>
      <c r="L169" s="8"/>
      <c r="M169" s="8"/>
      <c r="N169" s="8"/>
      <c r="O169" s="8"/>
      <c r="P169" s="8"/>
    </row>
    <row r="170" ht="12.75" spans="1:16">
      <c r="A170" s="4"/>
      <c r="B170" s="5"/>
      <c r="C170" s="5"/>
      <c r="D170" s="4"/>
      <c r="E170" s="5"/>
      <c r="F170" s="3"/>
      <c r="G170" s="3"/>
      <c r="K170" s="8"/>
      <c r="L170" s="8"/>
      <c r="M170" s="8"/>
      <c r="N170" s="8"/>
      <c r="O170" s="8"/>
      <c r="P170" s="8"/>
    </row>
    <row r="171" ht="12.75" spans="1:16">
      <c r="A171" s="4"/>
      <c r="B171" s="5"/>
      <c r="C171" s="5"/>
      <c r="D171" s="4"/>
      <c r="E171" s="5"/>
      <c r="F171" s="3"/>
      <c r="G171" s="3"/>
      <c r="K171" s="8"/>
      <c r="L171" s="8"/>
      <c r="M171" s="8"/>
      <c r="N171" s="8"/>
      <c r="O171" s="8"/>
      <c r="P171" s="8"/>
    </row>
    <row r="172" ht="12.75" spans="1:16">
      <c r="A172" s="4"/>
      <c r="B172" s="5"/>
      <c r="C172" s="5"/>
      <c r="D172" s="4"/>
      <c r="E172" s="5"/>
      <c r="F172" s="3"/>
      <c r="G172" s="3"/>
      <c r="K172" s="8"/>
      <c r="L172" s="8"/>
      <c r="M172" s="8"/>
      <c r="N172" s="8"/>
      <c r="O172" s="8"/>
      <c r="P172" s="8"/>
    </row>
    <row r="173" ht="12.75" spans="1:16">
      <c r="A173" s="4"/>
      <c r="B173" s="5"/>
      <c r="C173" s="5"/>
      <c r="D173" s="4"/>
      <c r="E173" s="5"/>
      <c r="F173" s="3"/>
      <c r="G173" s="3"/>
      <c r="K173" s="8"/>
      <c r="L173" s="8"/>
      <c r="M173" s="8"/>
      <c r="N173" s="8"/>
      <c r="O173" s="8"/>
      <c r="P173" s="8"/>
    </row>
    <row r="174" ht="12.75" spans="1:16">
      <c r="A174" s="4"/>
      <c r="B174" s="5"/>
      <c r="C174" s="5"/>
      <c r="D174" s="4"/>
      <c r="E174" s="5"/>
      <c r="F174" s="3"/>
      <c r="G174" s="3"/>
      <c r="K174" s="8"/>
      <c r="L174" s="8"/>
      <c r="M174" s="8"/>
      <c r="N174" s="8"/>
      <c r="O174" s="8"/>
      <c r="P174" s="8"/>
    </row>
    <row r="175" ht="12.75" spans="1:16">
      <c r="A175" s="4"/>
      <c r="B175" s="5"/>
      <c r="C175" s="5"/>
      <c r="D175" s="4"/>
      <c r="E175" s="5"/>
      <c r="F175" s="3"/>
      <c r="G175" s="3"/>
      <c r="K175" s="8"/>
      <c r="L175" s="8"/>
      <c r="M175" s="8"/>
      <c r="N175" s="8"/>
      <c r="O175" s="8"/>
      <c r="P175" s="8"/>
    </row>
    <row r="176" ht="12.75" spans="1:16">
      <c r="A176" s="4"/>
      <c r="B176" s="5"/>
      <c r="C176" s="5"/>
      <c r="D176" s="4"/>
      <c r="E176" s="5"/>
      <c r="F176" s="3"/>
      <c r="G176" s="3"/>
      <c r="K176" s="8"/>
      <c r="L176" s="8"/>
      <c r="M176" s="8"/>
      <c r="N176" s="8"/>
      <c r="O176" s="8"/>
      <c r="P176" s="8"/>
    </row>
    <row r="177" ht="12.75" spans="1:16">
      <c r="A177" s="4"/>
      <c r="B177" s="5"/>
      <c r="C177" s="5"/>
      <c r="D177" s="4"/>
      <c r="E177" s="5"/>
      <c r="F177" s="3"/>
      <c r="G177" s="3"/>
      <c r="K177" s="8"/>
      <c r="L177" s="8"/>
      <c r="M177" s="8"/>
      <c r="N177" s="8"/>
      <c r="O177" s="8"/>
      <c r="P177" s="8"/>
    </row>
    <row r="178" ht="12.75" spans="1:16">
      <c r="A178" s="4"/>
      <c r="B178" s="5"/>
      <c r="C178" s="5"/>
      <c r="D178" s="4"/>
      <c r="E178" s="5"/>
      <c r="F178" s="3"/>
      <c r="G178" s="3"/>
      <c r="K178" s="8"/>
      <c r="L178" s="8"/>
      <c r="M178" s="8"/>
      <c r="N178" s="8"/>
      <c r="O178" s="8"/>
      <c r="P178" s="8"/>
    </row>
    <row r="179" ht="12.75" spans="1:16">
      <c r="A179" s="4"/>
      <c r="B179" s="5"/>
      <c r="C179" s="5"/>
      <c r="D179" s="4"/>
      <c r="E179" s="5"/>
      <c r="F179" s="3"/>
      <c r="G179" s="3"/>
      <c r="K179" s="8"/>
      <c r="L179" s="8"/>
      <c r="M179" s="8"/>
      <c r="N179" s="8"/>
      <c r="O179" s="8"/>
      <c r="P179" s="8"/>
    </row>
    <row r="180" ht="12.75" spans="1:16">
      <c r="A180" s="4"/>
      <c r="B180" s="5"/>
      <c r="C180" s="5"/>
      <c r="D180" s="4"/>
      <c r="E180" s="5"/>
      <c r="F180" s="3"/>
      <c r="G180" s="3"/>
      <c r="K180" s="8"/>
      <c r="L180" s="8"/>
      <c r="M180" s="8"/>
      <c r="N180" s="8"/>
      <c r="O180" s="8"/>
      <c r="P180" s="8"/>
    </row>
    <row r="181" ht="12.75" spans="1:16">
      <c r="A181" s="4"/>
      <c r="B181" s="5"/>
      <c r="C181" s="5"/>
      <c r="D181" s="4"/>
      <c r="E181" s="5"/>
      <c r="F181" s="3"/>
      <c r="G181" s="3"/>
      <c r="K181" s="8"/>
      <c r="L181" s="8"/>
      <c r="M181" s="8"/>
      <c r="N181" s="8"/>
      <c r="O181" s="8"/>
      <c r="P181" s="8"/>
    </row>
    <row r="182" ht="12.75" spans="1:16">
      <c r="A182" s="4"/>
      <c r="B182" s="5"/>
      <c r="C182" s="5"/>
      <c r="D182" s="4"/>
      <c r="E182" s="5"/>
      <c r="F182" s="3"/>
      <c r="G182" s="3"/>
      <c r="K182" s="8"/>
      <c r="L182" s="8"/>
      <c r="M182" s="8"/>
      <c r="N182" s="8"/>
      <c r="O182" s="8"/>
      <c r="P182" s="8"/>
    </row>
    <row r="183" ht="12.75" spans="1:16">
      <c r="A183" s="4"/>
      <c r="B183" s="5"/>
      <c r="C183" s="5"/>
      <c r="D183" s="4"/>
      <c r="E183" s="5"/>
      <c r="F183" s="3"/>
      <c r="G183" s="3"/>
      <c r="K183" s="8"/>
      <c r="L183" s="8"/>
      <c r="M183" s="8"/>
      <c r="N183" s="8"/>
      <c r="O183" s="8"/>
      <c r="P183" s="8"/>
    </row>
    <row r="184" ht="12.75" spans="1:16">
      <c r="A184" s="4"/>
      <c r="B184" s="5"/>
      <c r="C184" s="5"/>
      <c r="D184" s="4"/>
      <c r="E184" s="5"/>
      <c r="F184" s="3"/>
      <c r="G184" s="3"/>
      <c r="K184" s="8"/>
      <c r="L184" s="8"/>
      <c r="M184" s="8"/>
      <c r="N184" s="8"/>
      <c r="O184" s="8"/>
      <c r="P184" s="8"/>
    </row>
    <row r="185" ht="12.75" spans="1:16">
      <c r="A185" s="4"/>
      <c r="B185" s="5"/>
      <c r="C185" s="5"/>
      <c r="D185" s="4"/>
      <c r="E185" s="5"/>
      <c r="F185" s="3"/>
      <c r="G185" s="3"/>
      <c r="K185" s="8"/>
      <c r="L185" s="8"/>
      <c r="M185" s="8"/>
      <c r="N185" s="8"/>
      <c r="O185" s="8"/>
      <c r="P185" s="8"/>
    </row>
    <row r="186" ht="12.75" spans="1:16">
      <c r="A186" s="4"/>
      <c r="B186" s="5"/>
      <c r="C186" s="5"/>
      <c r="D186" s="4"/>
      <c r="E186" s="5"/>
      <c r="F186" s="3"/>
      <c r="G186" s="3"/>
      <c r="K186" s="8"/>
      <c r="L186" s="8"/>
      <c r="M186" s="8"/>
      <c r="N186" s="8"/>
      <c r="O186" s="8"/>
      <c r="P186" s="8"/>
    </row>
    <row r="187" ht="12.75" spans="1:16">
      <c r="A187" s="4"/>
      <c r="B187" s="5"/>
      <c r="C187" s="5"/>
      <c r="D187" s="4"/>
      <c r="E187" s="5"/>
      <c r="F187" s="3"/>
      <c r="G187" s="3"/>
      <c r="K187" s="8"/>
      <c r="L187" s="8"/>
      <c r="M187" s="8"/>
      <c r="N187" s="8"/>
      <c r="O187" s="8"/>
      <c r="P187" s="8"/>
    </row>
    <row r="188" ht="12.75" spans="1:16">
      <c r="A188" s="4"/>
      <c r="B188" s="5"/>
      <c r="C188" s="5"/>
      <c r="D188" s="4"/>
      <c r="E188" s="5"/>
      <c r="F188" s="3"/>
      <c r="G188" s="3"/>
      <c r="K188" s="8"/>
      <c r="L188" s="8"/>
      <c r="M188" s="8"/>
      <c r="N188" s="8"/>
      <c r="O188" s="8"/>
      <c r="P188" s="8"/>
    </row>
    <row r="189" ht="12.75" spans="1:16">
      <c r="A189" s="4"/>
      <c r="B189" s="5"/>
      <c r="C189" s="5"/>
      <c r="D189" s="4"/>
      <c r="E189" s="5"/>
      <c r="F189" s="3"/>
      <c r="G189" s="3"/>
      <c r="K189" s="8"/>
      <c r="L189" s="8"/>
      <c r="M189" s="8"/>
      <c r="N189" s="8"/>
      <c r="O189" s="8"/>
      <c r="P189" s="8"/>
    </row>
    <row r="190" ht="12.75" spans="1:16">
      <c r="A190" s="4"/>
      <c r="B190" s="5"/>
      <c r="C190" s="5"/>
      <c r="D190" s="4"/>
      <c r="E190" s="5"/>
      <c r="F190" s="3"/>
      <c r="G190" s="3"/>
      <c r="K190" s="8"/>
      <c r="L190" s="8"/>
      <c r="M190" s="8"/>
      <c r="N190" s="8"/>
      <c r="O190" s="8"/>
      <c r="P190" s="8"/>
    </row>
    <row r="191" ht="12.75" spans="1:16">
      <c r="A191" s="4"/>
      <c r="B191" s="5"/>
      <c r="C191" s="5"/>
      <c r="D191" s="4"/>
      <c r="E191" s="5"/>
      <c r="F191" s="3"/>
      <c r="G191" s="3"/>
      <c r="K191" s="8"/>
      <c r="L191" s="8"/>
      <c r="M191" s="8"/>
      <c r="N191" s="8"/>
      <c r="O191" s="8"/>
      <c r="P191" s="8"/>
    </row>
    <row r="192" ht="12.75" spans="1:16">
      <c r="A192" s="4"/>
      <c r="B192" s="5"/>
      <c r="C192" s="5"/>
      <c r="D192" s="4"/>
      <c r="E192" s="5"/>
      <c r="F192" s="3"/>
      <c r="G192" s="3"/>
      <c r="K192" s="8"/>
      <c r="L192" s="8"/>
      <c r="M192" s="8"/>
      <c r="N192" s="8"/>
      <c r="O192" s="8"/>
      <c r="P192" s="8"/>
    </row>
    <row r="193" ht="12.75" spans="1:16">
      <c r="A193" s="4"/>
      <c r="B193" s="5"/>
      <c r="C193" s="5"/>
      <c r="D193" s="4"/>
      <c r="E193" s="5"/>
      <c r="F193" s="3"/>
      <c r="G193" s="3"/>
      <c r="K193" s="8"/>
      <c r="L193" s="8"/>
      <c r="M193" s="8"/>
      <c r="N193" s="8"/>
      <c r="O193" s="8"/>
      <c r="P193" s="8"/>
    </row>
    <row r="194" ht="12.75" spans="1:16">
      <c r="A194" s="4"/>
      <c r="B194" s="5"/>
      <c r="C194" s="5"/>
      <c r="D194" s="4"/>
      <c r="E194" s="5"/>
      <c r="F194" s="3"/>
      <c r="G194" s="3"/>
      <c r="K194" s="8"/>
      <c r="L194" s="8"/>
      <c r="M194" s="8"/>
      <c r="N194" s="8"/>
      <c r="O194" s="8"/>
      <c r="P194" s="8"/>
    </row>
    <row r="195" ht="12.75" spans="1:16">
      <c r="A195" s="4"/>
      <c r="B195" s="5"/>
      <c r="C195" s="5"/>
      <c r="D195" s="4"/>
      <c r="E195" s="5"/>
      <c r="F195" s="3"/>
      <c r="G195" s="3"/>
      <c r="K195" s="8"/>
      <c r="L195" s="8"/>
      <c r="M195" s="8"/>
      <c r="N195" s="8"/>
      <c r="O195" s="8"/>
      <c r="P195" s="8"/>
    </row>
    <row r="196" ht="12.75" spans="1:16">
      <c r="A196" s="4"/>
      <c r="B196" s="5"/>
      <c r="C196" s="5"/>
      <c r="D196" s="4"/>
      <c r="E196" s="5"/>
      <c r="F196" s="3"/>
      <c r="G196" s="3"/>
      <c r="K196" s="8"/>
      <c r="L196" s="8"/>
      <c r="M196" s="8"/>
      <c r="N196" s="8"/>
      <c r="O196" s="8"/>
      <c r="P196" s="8"/>
    </row>
    <row r="197" ht="12.75" spans="1:16">
      <c r="A197" s="4"/>
      <c r="B197" s="5"/>
      <c r="C197" s="5"/>
      <c r="D197" s="4"/>
      <c r="E197" s="5"/>
      <c r="F197" s="3"/>
      <c r="G197" s="3"/>
      <c r="K197" s="8"/>
      <c r="L197" s="8"/>
      <c r="M197" s="8"/>
      <c r="N197" s="8"/>
      <c r="O197" s="8"/>
      <c r="P197" s="8"/>
    </row>
    <row r="198" ht="12.75" spans="1:16">
      <c r="A198" s="4"/>
      <c r="B198" s="5"/>
      <c r="C198" s="5"/>
      <c r="D198" s="4"/>
      <c r="E198" s="5"/>
      <c r="F198" s="3"/>
      <c r="G198" s="3"/>
      <c r="K198" s="8"/>
      <c r="L198" s="8"/>
      <c r="M198" s="8"/>
      <c r="N198" s="8"/>
      <c r="O198" s="8"/>
      <c r="P198" s="8"/>
    </row>
    <row r="199" ht="12.75" spans="1:16">
      <c r="A199" s="4"/>
      <c r="B199" s="5"/>
      <c r="C199" s="5"/>
      <c r="D199" s="4"/>
      <c r="E199" s="5"/>
      <c r="F199" s="3"/>
      <c r="G199" s="3"/>
      <c r="K199" s="8"/>
      <c r="L199" s="8"/>
      <c r="M199" s="8"/>
      <c r="N199" s="8"/>
      <c r="O199" s="8"/>
      <c r="P199" s="8"/>
    </row>
    <row r="200" ht="12.75" spans="1:16">
      <c r="A200" s="4"/>
      <c r="B200" s="5"/>
      <c r="C200" s="5"/>
      <c r="D200" s="4"/>
      <c r="E200" s="5"/>
      <c r="F200" s="3"/>
      <c r="G200" s="3"/>
      <c r="K200" s="8"/>
      <c r="L200" s="8"/>
      <c r="M200" s="8"/>
      <c r="N200" s="8"/>
      <c r="O200" s="8"/>
      <c r="P200" s="8"/>
    </row>
    <row r="201" ht="12.75" spans="1:16">
      <c r="A201" s="4"/>
      <c r="B201" s="5"/>
      <c r="C201" s="5"/>
      <c r="D201" s="4"/>
      <c r="E201" s="5"/>
      <c r="F201" s="3"/>
      <c r="G201" s="3"/>
      <c r="K201" s="8"/>
      <c r="L201" s="8"/>
      <c r="M201" s="8"/>
      <c r="N201" s="8"/>
      <c r="O201" s="8"/>
      <c r="P201" s="8"/>
    </row>
    <row r="202" ht="12.75" spans="1:16">
      <c r="A202" s="4"/>
      <c r="B202" s="5"/>
      <c r="C202" s="5"/>
      <c r="D202" s="4"/>
      <c r="E202" s="5"/>
      <c r="F202" s="3"/>
      <c r="G202" s="3"/>
      <c r="K202" s="8"/>
      <c r="L202" s="8"/>
      <c r="M202" s="8"/>
      <c r="N202" s="8"/>
      <c r="O202" s="8"/>
      <c r="P202" s="8"/>
    </row>
    <row r="203" ht="12.75" spans="1:16">
      <c r="A203" s="4"/>
      <c r="B203" s="5"/>
      <c r="C203" s="5"/>
      <c r="D203" s="4"/>
      <c r="E203" s="5"/>
      <c r="F203" s="3"/>
      <c r="G203" s="3"/>
      <c r="K203" s="8"/>
      <c r="L203" s="8"/>
      <c r="M203" s="8"/>
      <c r="N203" s="8"/>
      <c r="O203" s="8"/>
      <c r="P203" s="8"/>
    </row>
    <row r="204" ht="12.75" spans="1:16">
      <c r="A204" s="4"/>
      <c r="B204" s="5"/>
      <c r="C204" s="5"/>
      <c r="D204" s="4"/>
      <c r="E204" s="5"/>
      <c r="F204" s="3"/>
      <c r="G204" s="3"/>
      <c r="K204" s="8"/>
      <c r="L204" s="8"/>
      <c r="M204" s="8"/>
      <c r="N204" s="8"/>
      <c r="O204" s="8"/>
      <c r="P204" s="8"/>
    </row>
    <row r="205" ht="12.75" spans="1:16">
      <c r="A205" s="4"/>
      <c r="B205" s="5"/>
      <c r="C205" s="5"/>
      <c r="D205" s="4"/>
      <c r="E205" s="5"/>
      <c r="F205" s="3"/>
      <c r="G205" s="3"/>
      <c r="K205" s="8"/>
      <c r="L205" s="8"/>
      <c r="M205" s="8"/>
      <c r="N205" s="8"/>
      <c r="O205" s="8"/>
      <c r="P205" s="8"/>
    </row>
    <row r="206" ht="12.75" spans="1:16">
      <c r="A206" s="4"/>
      <c r="B206" s="5"/>
      <c r="C206" s="5"/>
      <c r="D206" s="4"/>
      <c r="E206" s="5"/>
      <c r="F206" s="3"/>
      <c r="G206" s="3"/>
      <c r="K206" s="8"/>
      <c r="L206" s="8"/>
      <c r="M206" s="8"/>
      <c r="N206" s="8"/>
      <c r="O206" s="8"/>
      <c r="P206" s="8"/>
    </row>
    <row r="207" ht="12.75" spans="1:16">
      <c r="A207" s="4"/>
      <c r="B207" s="5"/>
      <c r="C207" s="5"/>
      <c r="D207" s="4"/>
      <c r="E207" s="5"/>
      <c r="F207" s="3"/>
      <c r="G207" s="3"/>
      <c r="K207" s="8"/>
      <c r="L207" s="8"/>
      <c r="M207" s="8"/>
      <c r="N207" s="8"/>
      <c r="O207" s="8"/>
      <c r="P207" s="8"/>
    </row>
    <row r="208" ht="12.75" spans="1:16">
      <c r="A208" s="4"/>
      <c r="B208" s="5"/>
      <c r="C208" s="5"/>
      <c r="D208" s="4"/>
      <c r="E208" s="5"/>
      <c r="F208" s="3"/>
      <c r="G208" s="3"/>
      <c r="K208" s="8"/>
      <c r="L208" s="8"/>
      <c r="M208" s="8"/>
      <c r="N208" s="8"/>
      <c r="O208" s="8"/>
      <c r="P208" s="8"/>
    </row>
    <row r="209" ht="12.75" spans="1:16">
      <c r="A209" s="4"/>
      <c r="B209" s="5"/>
      <c r="C209" s="5"/>
      <c r="D209" s="4"/>
      <c r="E209" s="5"/>
      <c r="F209" s="3"/>
      <c r="G209" s="3"/>
      <c r="K209" s="8"/>
      <c r="L209" s="8"/>
      <c r="M209" s="8"/>
      <c r="N209" s="8"/>
      <c r="O209" s="8"/>
      <c r="P209" s="8"/>
    </row>
    <row r="210" ht="12.75" spans="1:16">
      <c r="A210" s="4"/>
      <c r="B210" s="5"/>
      <c r="C210" s="5"/>
      <c r="D210" s="4"/>
      <c r="E210" s="5"/>
      <c r="F210" s="3"/>
      <c r="G210" s="3"/>
      <c r="K210" s="8"/>
      <c r="L210" s="8"/>
      <c r="M210" s="8"/>
      <c r="N210" s="8"/>
      <c r="O210" s="8"/>
      <c r="P210" s="8"/>
    </row>
    <row r="211" ht="12.75" spans="1:16">
      <c r="A211" s="4"/>
      <c r="B211" s="5"/>
      <c r="C211" s="5"/>
      <c r="D211" s="4"/>
      <c r="E211" s="5"/>
      <c r="F211" s="3"/>
      <c r="G211" s="3"/>
      <c r="K211" s="8"/>
      <c r="L211" s="8"/>
      <c r="M211" s="8"/>
      <c r="N211" s="8"/>
      <c r="O211" s="8"/>
      <c r="P211" s="8"/>
    </row>
    <row r="212" ht="12.75" spans="1:16">
      <c r="A212" s="4"/>
      <c r="B212" s="5"/>
      <c r="C212" s="5"/>
      <c r="D212" s="4"/>
      <c r="E212" s="5"/>
      <c r="F212" s="3"/>
      <c r="G212" s="3"/>
      <c r="K212" s="8"/>
      <c r="L212" s="8"/>
      <c r="M212" s="8"/>
      <c r="N212" s="8"/>
      <c r="O212" s="8"/>
      <c r="P212" s="8"/>
    </row>
    <row r="213" ht="12.75" spans="1:16">
      <c r="A213" s="4"/>
      <c r="B213" s="5"/>
      <c r="C213" s="5"/>
      <c r="D213" s="4"/>
      <c r="E213" s="5"/>
      <c r="F213" s="3"/>
      <c r="G213" s="3"/>
      <c r="K213" s="8"/>
      <c r="L213" s="8"/>
      <c r="M213" s="8"/>
      <c r="N213" s="8"/>
      <c r="O213" s="8"/>
      <c r="P213" s="8"/>
    </row>
    <row r="214" ht="12.75" spans="1:16">
      <c r="A214" s="4"/>
      <c r="B214" s="5"/>
      <c r="C214" s="5"/>
      <c r="D214" s="4"/>
      <c r="E214" s="5"/>
      <c r="F214" s="3"/>
      <c r="G214" s="3"/>
      <c r="K214" s="8"/>
      <c r="L214" s="8"/>
      <c r="M214" s="8"/>
      <c r="N214" s="8"/>
      <c r="O214" s="8"/>
      <c r="P214" s="8"/>
    </row>
    <row r="215" ht="12.75" spans="1:16">
      <c r="A215" s="4"/>
      <c r="B215" s="5"/>
      <c r="C215" s="5"/>
      <c r="D215" s="4"/>
      <c r="E215" s="5"/>
      <c r="F215" s="3"/>
      <c r="G215" s="3"/>
      <c r="K215" s="8"/>
      <c r="L215" s="8"/>
      <c r="M215" s="8"/>
      <c r="N215" s="8"/>
      <c r="O215" s="8"/>
      <c r="P215" s="8"/>
    </row>
    <row r="216" ht="12.75" spans="1:16">
      <c r="A216" s="4"/>
      <c r="B216" s="5"/>
      <c r="C216" s="5"/>
      <c r="D216" s="4"/>
      <c r="E216" s="5"/>
      <c r="F216" s="3"/>
      <c r="G216" s="3"/>
      <c r="K216" s="8"/>
      <c r="L216" s="8"/>
      <c r="M216" s="8"/>
      <c r="N216" s="8"/>
      <c r="O216" s="8"/>
      <c r="P216" s="8"/>
    </row>
    <row r="217" ht="12.75" spans="1:16">
      <c r="A217" s="4"/>
      <c r="B217" s="5"/>
      <c r="C217" s="5"/>
      <c r="D217" s="4"/>
      <c r="E217" s="5"/>
      <c r="F217" s="3"/>
      <c r="G217" s="3"/>
      <c r="K217" s="8"/>
      <c r="L217" s="8"/>
      <c r="M217" s="8"/>
      <c r="N217" s="8"/>
      <c r="O217" s="8"/>
      <c r="P217" s="8"/>
    </row>
    <row r="218" ht="12.75" spans="1:16">
      <c r="A218" s="4"/>
      <c r="B218" s="5"/>
      <c r="C218" s="5"/>
      <c r="D218" s="4"/>
      <c r="E218" s="5"/>
      <c r="F218" s="3"/>
      <c r="G218" s="3"/>
      <c r="K218" s="8"/>
      <c r="L218" s="8"/>
      <c r="M218" s="8"/>
      <c r="N218" s="8"/>
      <c r="O218" s="8"/>
      <c r="P218" s="8"/>
    </row>
    <row r="219" ht="12.75" spans="1:16">
      <c r="A219" s="4"/>
      <c r="B219" s="5"/>
      <c r="C219" s="5"/>
      <c r="D219" s="4"/>
      <c r="E219" s="5"/>
      <c r="F219" s="3"/>
      <c r="G219" s="3"/>
      <c r="K219" s="8"/>
      <c r="L219" s="8"/>
      <c r="M219" s="8"/>
      <c r="N219" s="8"/>
      <c r="O219" s="8"/>
      <c r="P219" s="8"/>
    </row>
    <row r="220" ht="12.75" spans="1:16">
      <c r="A220" s="4"/>
      <c r="B220" s="5"/>
      <c r="C220" s="5"/>
      <c r="D220" s="4"/>
      <c r="E220" s="5"/>
      <c r="F220" s="3"/>
      <c r="G220" s="3"/>
      <c r="K220" s="8"/>
      <c r="L220" s="8"/>
      <c r="M220" s="8"/>
      <c r="N220" s="8"/>
      <c r="O220" s="8"/>
      <c r="P220" s="8"/>
    </row>
    <row r="221" ht="12.75" spans="1:16">
      <c r="A221" s="4"/>
      <c r="B221" s="5"/>
      <c r="C221" s="5"/>
      <c r="D221" s="4"/>
      <c r="E221" s="5"/>
      <c r="F221" s="3"/>
      <c r="G221" s="3"/>
      <c r="K221" s="8"/>
      <c r="L221" s="8"/>
      <c r="M221" s="8"/>
      <c r="N221" s="8"/>
      <c r="O221" s="8"/>
      <c r="P221" s="8"/>
    </row>
    <row r="222" ht="12.75" spans="1:16">
      <c r="A222" s="4"/>
      <c r="B222" s="5"/>
      <c r="C222" s="5"/>
      <c r="D222" s="4"/>
      <c r="E222" s="5"/>
      <c r="F222" s="3"/>
      <c r="G222" s="3"/>
      <c r="K222" s="8"/>
      <c r="L222" s="8"/>
      <c r="M222" s="8"/>
      <c r="N222" s="8"/>
      <c r="O222" s="8"/>
      <c r="P222" s="8"/>
    </row>
    <row r="223" ht="12.75" spans="1:16">
      <c r="A223" s="4"/>
      <c r="B223" s="5"/>
      <c r="C223" s="5"/>
      <c r="D223" s="4"/>
      <c r="E223" s="5"/>
      <c r="F223" s="3"/>
      <c r="G223" s="3"/>
      <c r="K223" s="8"/>
      <c r="L223" s="8"/>
      <c r="M223" s="8"/>
      <c r="N223" s="8"/>
      <c r="O223" s="8"/>
      <c r="P223" s="8"/>
    </row>
    <row r="224" ht="12.75" spans="1:16">
      <c r="A224" s="4"/>
      <c r="B224" s="5"/>
      <c r="C224" s="5"/>
      <c r="D224" s="4"/>
      <c r="E224" s="5"/>
      <c r="F224" s="3"/>
      <c r="G224" s="3"/>
      <c r="K224" s="8"/>
      <c r="L224" s="8"/>
      <c r="M224" s="8"/>
      <c r="N224" s="8"/>
      <c r="O224" s="8"/>
      <c r="P224" s="8"/>
    </row>
    <row r="225" ht="12.75" spans="1:16">
      <c r="A225" s="4"/>
      <c r="B225" s="5"/>
      <c r="C225" s="5"/>
      <c r="D225" s="4"/>
      <c r="E225" s="5"/>
      <c r="F225" s="3"/>
      <c r="G225" s="3"/>
      <c r="K225" s="8"/>
      <c r="L225" s="8"/>
      <c r="M225" s="8"/>
      <c r="N225" s="8"/>
      <c r="O225" s="8"/>
      <c r="P225" s="8"/>
    </row>
    <row r="226" ht="12.75" spans="1:16">
      <c r="A226" s="4"/>
      <c r="B226" s="5"/>
      <c r="C226" s="5"/>
      <c r="D226" s="4"/>
      <c r="E226" s="5"/>
      <c r="F226" s="3"/>
      <c r="G226" s="3"/>
      <c r="K226" s="8"/>
      <c r="L226" s="8"/>
      <c r="M226" s="8"/>
      <c r="N226" s="8"/>
      <c r="O226" s="8"/>
      <c r="P226" s="8"/>
    </row>
    <row r="227" ht="12.75" spans="1:16">
      <c r="A227" s="4"/>
      <c r="B227" s="5"/>
      <c r="C227" s="5"/>
      <c r="D227" s="4"/>
      <c r="E227" s="5"/>
      <c r="F227" s="3"/>
      <c r="G227" s="3"/>
      <c r="K227" s="8"/>
      <c r="L227" s="8"/>
      <c r="M227" s="8"/>
      <c r="N227" s="8"/>
      <c r="O227" s="8"/>
      <c r="P227" s="8"/>
    </row>
    <row r="228" ht="12.75" spans="1:16">
      <c r="A228" s="4"/>
      <c r="B228" s="5"/>
      <c r="C228" s="5"/>
      <c r="D228" s="4"/>
      <c r="E228" s="5"/>
      <c r="F228" s="3"/>
      <c r="G228" s="3"/>
      <c r="K228" s="8"/>
      <c r="L228" s="8"/>
      <c r="M228" s="8"/>
      <c r="N228" s="8"/>
      <c r="O228" s="8"/>
      <c r="P228" s="8"/>
    </row>
    <row r="229" ht="12.75" spans="1:16">
      <c r="A229" s="4"/>
      <c r="B229" s="5"/>
      <c r="C229" s="5"/>
      <c r="D229" s="4"/>
      <c r="E229" s="5"/>
      <c r="F229" s="3"/>
      <c r="G229" s="3"/>
      <c r="K229" s="8"/>
      <c r="L229" s="8"/>
      <c r="M229" s="8"/>
      <c r="N229" s="8"/>
      <c r="O229" s="8"/>
      <c r="P229" s="8"/>
    </row>
    <row r="230" ht="12.75" spans="1:16">
      <c r="A230" s="4"/>
      <c r="B230" s="5"/>
      <c r="C230" s="5"/>
      <c r="D230" s="4"/>
      <c r="E230" s="5"/>
      <c r="F230" s="3"/>
      <c r="G230" s="3"/>
      <c r="K230" s="8"/>
      <c r="L230" s="8"/>
      <c r="M230" s="8"/>
      <c r="N230" s="8"/>
      <c r="O230" s="8"/>
      <c r="P230" s="8"/>
    </row>
    <row r="231" ht="12.75" spans="1:16">
      <c r="A231" s="4"/>
      <c r="B231" s="5"/>
      <c r="C231" s="5"/>
      <c r="D231" s="4"/>
      <c r="E231" s="5"/>
      <c r="F231" s="3"/>
      <c r="G231" s="3"/>
      <c r="K231" s="8"/>
      <c r="L231" s="8"/>
      <c r="M231" s="8"/>
      <c r="N231" s="8"/>
      <c r="O231" s="8"/>
      <c r="P231" s="8"/>
    </row>
    <row r="232" ht="12.75" spans="1:16">
      <c r="A232" s="4"/>
      <c r="B232" s="5"/>
      <c r="C232" s="5"/>
      <c r="D232" s="4"/>
      <c r="E232" s="5"/>
      <c r="F232" s="3"/>
      <c r="G232" s="3"/>
      <c r="K232" s="8"/>
      <c r="L232" s="8"/>
      <c r="M232" s="8"/>
      <c r="N232" s="8"/>
      <c r="O232" s="8"/>
      <c r="P232" s="8"/>
    </row>
    <row r="233" ht="12.75" spans="1:16">
      <c r="A233" s="4"/>
      <c r="B233" s="5"/>
      <c r="C233" s="5"/>
      <c r="D233" s="4"/>
      <c r="E233" s="5"/>
      <c r="F233" s="3"/>
      <c r="G233" s="3"/>
      <c r="K233" s="8"/>
      <c r="L233" s="8"/>
      <c r="M233" s="8"/>
      <c r="N233" s="8"/>
      <c r="O233" s="8"/>
      <c r="P233" s="8"/>
    </row>
    <row r="234" ht="12.75" spans="1:16">
      <c r="A234" s="4"/>
      <c r="B234" s="5"/>
      <c r="C234" s="5"/>
      <c r="D234" s="4"/>
      <c r="E234" s="5"/>
      <c r="F234" s="3"/>
      <c r="G234" s="3"/>
      <c r="K234" s="8"/>
      <c r="L234" s="8"/>
      <c r="M234" s="8"/>
      <c r="N234" s="8"/>
      <c r="O234" s="8"/>
      <c r="P234" s="8"/>
    </row>
    <row r="235" ht="12.75" spans="1:16">
      <c r="A235" s="4"/>
      <c r="B235" s="5"/>
      <c r="C235" s="5"/>
      <c r="D235" s="4"/>
      <c r="E235" s="5"/>
      <c r="F235" s="3"/>
      <c r="G235" s="3"/>
      <c r="K235" s="8"/>
      <c r="L235" s="8"/>
      <c r="M235" s="8"/>
      <c r="N235" s="8"/>
      <c r="O235" s="8"/>
      <c r="P235" s="8"/>
    </row>
    <row r="236" ht="12.75" spans="1:16">
      <c r="A236" s="4"/>
      <c r="B236" s="5"/>
      <c r="C236" s="5"/>
      <c r="D236" s="4"/>
      <c r="E236" s="5"/>
      <c r="F236" s="3"/>
      <c r="G236" s="3"/>
      <c r="K236" s="8"/>
      <c r="L236" s="8"/>
      <c r="M236" s="8"/>
      <c r="N236" s="8"/>
      <c r="O236" s="8"/>
      <c r="P236" s="8"/>
    </row>
    <row r="237" ht="12.75" spans="1:16">
      <c r="A237" s="4"/>
      <c r="B237" s="5"/>
      <c r="C237" s="5"/>
      <c r="D237" s="4"/>
      <c r="E237" s="5"/>
      <c r="F237" s="3"/>
      <c r="G237" s="3"/>
      <c r="K237" s="8"/>
      <c r="L237" s="8"/>
      <c r="M237" s="8"/>
      <c r="N237" s="8"/>
      <c r="O237" s="8"/>
      <c r="P237" s="8"/>
    </row>
    <row r="238" ht="12.75" spans="1:16">
      <c r="A238" s="4"/>
      <c r="B238" s="5"/>
      <c r="C238" s="5"/>
      <c r="D238" s="4"/>
      <c r="E238" s="5"/>
      <c r="F238" s="3"/>
      <c r="G238" s="3"/>
      <c r="K238" s="8"/>
      <c r="L238" s="8"/>
      <c r="M238" s="8"/>
      <c r="N238" s="8"/>
      <c r="O238" s="8"/>
      <c r="P238" s="8"/>
    </row>
    <row r="239" ht="12.75" spans="1:16">
      <c r="A239" s="4"/>
      <c r="B239" s="5"/>
      <c r="C239" s="5"/>
      <c r="D239" s="4"/>
      <c r="E239" s="5"/>
      <c r="F239" s="3"/>
      <c r="G239" s="3"/>
      <c r="K239" s="8"/>
      <c r="L239" s="8"/>
      <c r="M239" s="8"/>
      <c r="N239" s="8"/>
      <c r="O239" s="8"/>
      <c r="P239" s="8"/>
    </row>
    <row r="240" ht="12.75" spans="1:16">
      <c r="A240" s="4"/>
      <c r="B240" s="5"/>
      <c r="C240" s="5"/>
      <c r="D240" s="4"/>
      <c r="E240" s="5"/>
      <c r="F240" s="3"/>
      <c r="G240" s="3"/>
      <c r="K240" s="8"/>
      <c r="L240" s="8"/>
      <c r="M240" s="8"/>
      <c r="N240" s="8"/>
      <c r="O240" s="8"/>
      <c r="P240" s="8"/>
    </row>
    <row r="241" ht="12.75" spans="1:16">
      <c r="A241" s="4"/>
      <c r="B241" s="5"/>
      <c r="C241" s="5"/>
      <c r="D241" s="4"/>
      <c r="E241" s="5"/>
      <c r="F241" s="3"/>
      <c r="G241" s="3"/>
      <c r="K241" s="8"/>
      <c r="L241" s="8"/>
      <c r="M241" s="8"/>
      <c r="N241" s="8"/>
      <c r="O241" s="8"/>
      <c r="P241" s="8"/>
    </row>
    <row r="242" ht="12.75" spans="1:16">
      <c r="A242" s="4"/>
      <c r="B242" s="5"/>
      <c r="C242" s="5"/>
      <c r="D242" s="4"/>
      <c r="E242" s="5"/>
      <c r="F242" s="3"/>
      <c r="G242" s="3"/>
      <c r="K242" s="8"/>
      <c r="L242" s="8"/>
      <c r="M242" s="8"/>
      <c r="N242" s="8"/>
      <c r="O242" s="8"/>
      <c r="P242" s="8"/>
    </row>
    <row r="243" ht="12.75" spans="1:16">
      <c r="A243" s="4"/>
      <c r="B243" s="5"/>
      <c r="C243" s="5"/>
      <c r="D243" s="4"/>
      <c r="E243" s="5"/>
      <c r="F243" s="3"/>
      <c r="G243" s="3"/>
      <c r="K243" s="8"/>
      <c r="L243" s="8"/>
      <c r="M243" s="8"/>
      <c r="N243" s="8"/>
      <c r="O243" s="8"/>
      <c r="P243" s="8"/>
    </row>
    <row r="244" ht="12.75" spans="1:16">
      <c r="A244" s="4"/>
      <c r="B244" s="5"/>
      <c r="C244" s="5"/>
      <c r="D244" s="4"/>
      <c r="E244" s="5"/>
      <c r="F244" s="3"/>
      <c r="G244" s="3"/>
      <c r="K244" s="8"/>
      <c r="L244" s="8"/>
      <c r="M244" s="8"/>
      <c r="N244" s="8"/>
      <c r="O244" s="8"/>
      <c r="P244" s="8"/>
    </row>
    <row r="245" ht="12.75" spans="1:16">
      <c r="A245" s="4"/>
      <c r="B245" s="5"/>
      <c r="C245" s="5"/>
      <c r="D245" s="4"/>
      <c r="E245" s="5"/>
      <c r="F245" s="3"/>
      <c r="G245" s="3"/>
      <c r="K245" s="8"/>
      <c r="L245" s="8"/>
      <c r="M245" s="8"/>
      <c r="N245" s="8"/>
      <c r="O245" s="8"/>
      <c r="P245" s="8"/>
    </row>
    <row r="246" ht="12.75" spans="1:16">
      <c r="A246" s="4"/>
      <c r="B246" s="5"/>
      <c r="C246" s="5"/>
      <c r="D246" s="4"/>
      <c r="E246" s="5"/>
      <c r="F246" s="3"/>
      <c r="G246" s="3"/>
      <c r="K246" s="8"/>
      <c r="L246" s="8"/>
      <c r="M246" s="8"/>
      <c r="N246" s="8"/>
      <c r="O246" s="8"/>
      <c r="P246" s="8"/>
    </row>
    <row r="247" ht="12.75" spans="1:16">
      <c r="A247" s="4"/>
      <c r="B247" s="5"/>
      <c r="C247" s="5"/>
      <c r="D247" s="4"/>
      <c r="E247" s="5"/>
      <c r="F247" s="3"/>
      <c r="G247" s="3"/>
      <c r="K247" s="8"/>
      <c r="L247" s="8"/>
      <c r="M247" s="8"/>
      <c r="N247" s="8"/>
      <c r="O247" s="8"/>
      <c r="P247" s="8"/>
    </row>
    <row r="248" ht="12.75" spans="1:16">
      <c r="A248" s="4"/>
      <c r="B248" s="5"/>
      <c r="C248" s="5"/>
      <c r="D248" s="4"/>
      <c r="E248" s="5"/>
      <c r="F248" s="3"/>
      <c r="G248" s="3"/>
      <c r="K248" s="8"/>
      <c r="L248" s="8"/>
      <c r="M248" s="8"/>
      <c r="N248" s="8"/>
      <c r="O248" s="8"/>
      <c r="P248" s="8"/>
    </row>
    <row r="249" ht="12.75" spans="1:16">
      <c r="A249" s="4"/>
      <c r="B249" s="5"/>
      <c r="C249" s="5"/>
      <c r="D249" s="4"/>
      <c r="E249" s="5"/>
      <c r="F249" s="3"/>
      <c r="G249" s="3"/>
      <c r="K249" s="8"/>
      <c r="L249" s="8"/>
      <c r="M249" s="8"/>
      <c r="N249" s="8"/>
      <c r="O249" s="8"/>
      <c r="P249" s="8"/>
    </row>
    <row r="250" ht="12.75" spans="1:16">
      <c r="A250" s="4"/>
      <c r="B250" s="5"/>
      <c r="C250" s="5"/>
      <c r="D250" s="4"/>
      <c r="E250" s="5"/>
      <c r="F250" s="3"/>
      <c r="G250" s="3"/>
      <c r="K250" s="8"/>
      <c r="L250" s="8"/>
      <c r="M250" s="8"/>
      <c r="N250" s="8"/>
      <c r="O250" s="8"/>
      <c r="P250" s="8"/>
    </row>
    <row r="251" ht="12.75" spans="1:16">
      <c r="A251" s="4"/>
      <c r="B251" s="5"/>
      <c r="C251" s="5"/>
      <c r="D251" s="4"/>
      <c r="E251" s="5"/>
      <c r="F251" s="3"/>
      <c r="G251" s="3"/>
      <c r="K251" s="8"/>
      <c r="L251" s="8"/>
      <c r="M251" s="8"/>
      <c r="N251" s="8"/>
      <c r="O251" s="8"/>
      <c r="P251" s="8"/>
    </row>
    <row r="252" ht="12.75" spans="1:16">
      <c r="A252" s="4"/>
      <c r="B252" s="5"/>
      <c r="C252" s="5"/>
      <c r="D252" s="4"/>
      <c r="E252" s="5"/>
      <c r="F252" s="3"/>
      <c r="G252" s="3"/>
      <c r="K252" s="8"/>
      <c r="L252" s="8"/>
      <c r="M252" s="8"/>
      <c r="N252" s="8"/>
      <c r="O252" s="8"/>
      <c r="P252" s="8"/>
    </row>
    <row r="253" ht="12.75" spans="1:16">
      <c r="A253" s="4"/>
      <c r="B253" s="5"/>
      <c r="C253" s="5"/>
      <c r="D253" s="4"/>
      <c r="E253" s="5"/>
      <c r="F253" s="3"/>
      <c r="G253" s="3"/>
      <c r="K253" s="8"/>
      <c r="L253" s="8"/>
      <c r="M253" s="8"/>
      <c r="N253" s="8"/>
      <c r="O253" s="8"/>
      <c r="P253" s="8"/>
    </row>
    <row r="254" ht="12.75" spans="1:16">
      <c r="A254" s="4"/>
      <c r="B254" s="5"/>
      <c r="C254" s="5"/>
      <c r="D254" s="4"/>
      <c r="E254" s="5"/>
      <c r="F254" s="3"/>
      <c r="G254" s="3"/>
      <c r="K254" s="8"/>
      <c r="L254" s="8"/>
      <c r="M254" s="8"/>
      <c r="N254" s="8"/>
      <c r="O254" s="8"/>
      <c r="P254" s="8"/>
    </row>
    <row r="255" ht="12.75" spans="1:16">
      <c r="A255" s="4"/>
      <c r="B255" s="5"/>
      <c r="C255" s="5"/>
      <c r="D255" s="4"/>
      <c r="E255" s="5"/>
      <c r="F255" s="3"/>
      <c r="G255" s="3"/>
      <c r="K255" s="8"/>
      <c r="L255" s="8"/>
      <c r="M255" s="8"/>
      <c r="N255" s="8"/>
      <c r="O255" s="8"/>
      <c r="P255" s="8"/>
    </row>
    <row r="256" ht="12.75" spans="1:16">
      <c r="A256" s="4"/>
      <c r="B256" s="5"/>
      <c r="C256" s="5"/>
      <c r="D256" s="4"/>
      <c r="E256" s="5"/>
      <c r="F256" s="3"/>
      <c r="G256" s="3"/>
      <c r="K256" s="8"/>
      <c r="L256" s="8"/>
      <c r="M256" s="8"/>
      <c r="N256" s="8"/>
      <c r="O256" s="8"/>
      <c r="P256" s="8"/>
    </row>
    <row r="257" ht="12.75" spans="1:16">
      <c r="A257" s="4"/>
      <c r="B257" s="5"/>
      <c r="C257" s="5"/>
      <c r="D257" s="4"/>
      <c r="E257" s="5"/>
      <c r="F257" s="3"/>
      <c r="G257" s="3"/>
      <c r="K257" s="8"/>
      <c r="L257" s="8"/>
      <c r="M257" s="8"/>
      <c r="N257" s="8"/>
      <c r="O257" s="8"/>
      <c r="P257" s="8"/>
    </row>
    <row r="258" ht="12.75" spans="1:16">
      <c r="A258" s="4"/>
      <c r="B258" s="5"/>
      <c r="C258" s="5"/>
      <c r="D258" s="4"/>
      <c r="E258" s="5"/>
      <c r="F258" s="3"/>
      <c r="G258" s="3"/>
      <c r="K258" s="8"/>
      <c r="L258" s="8"/>
      <c r="M258" s="8"/>
      <c r="N258" s="8"/>
      <c r="O258" s="8"/>
      <c r="P258" s="8"/>
    </row>
    <row r="259" ht="12.75" spans="1:16">
      <c r="A259" s="4"/>
      <c r="B259" s="5"/>
      <c r="C259" s="5"/>
      <c r="D259" s="4"/>
      <c r="E259" s="5"/>
      <c r="F259" s="3"/>
      <c r="G259" s="3"/>
      <c r="K259" s="8"/>
      <c r="L259" s="8"/>
      <c r="M259" s="8"/>
      <c r="N259" s="8"/>
      <c r="O259" s="8"/>
      <c r="P259" s="8"/>
    </row>
    <row r="260" ht="12.75" spans="1:16">
      <c r="A260" s="4"/>
      <c r="B260" s="5"/>
      <c r="C260" s="5"/>
      <c r="D260" s="4"/>
      <c r="E260" s="5"/>
      <c r="F260" s="3"/>
      <c r="G260" s="3"/>
      <c r="K260" s="8"/>
      <c r="L260" s="8"/>
      <c r="M260" s="8"/>
      <c r="N260" s="8"/>
      <c r="O260" s="8"/>
      <c r="P260" s="8"/>
    </row>
    <row r="261" ht="12.75" spans="1:16">
      <c r="A261" s="4"/>
      <c r="B261" s="5"/>
      <c r="C261" s="5"/>
      <c r="D261" s="4"/>
      <c r="E261" s="5"/>
      <c r="F261" s="3"/>
      <c r="G261" s="3"/>
      <c r="K261" s="8"/>
      <c r="L261" s="8"/>
      <c r="M261" s="8"/>
      <c r="N261" s="8"/>
      <c r="O261" s="8"/>
      <c r="P261" s="8"/>
    </row>
    <row r="262" ht="12.75" spans="1:16">
      <c r="A262" s="4"/>
      <c r="B262" s="5"/>
      <c r="C262" s="5"/>
      <c r="D262" s="4"/>
      <c r="E262" s="5"/>
      <c r="F262" s="3"/>
      <c r="G262" s="3"/>
      <c r="K262" s="8"/>
      <c r="L262" s="8"/>
      <c r="M262" s="8"/>
      <c r="N262" s="8"/>
      <c r="O262" s="8"/>
      <c r="P262" s="8"/>
    </row>
    <row r="263" ht="12.75" spans="1:16">
      <c r="A263" s="4"/>
      <c r="B263" s="5"/>
      <c r="C263" s="5"/>
      <c r="D263" s="4"/>
      <c r="E263" s="5"/>
      <c r="F263" s="3"/>
      <c r="G263" s="3"/>
      <c r="K263" s="8"/>
      <c r="L263" s="8"/>
      <c r="M263" s="8"/>
      <c r="N263" s="8"/>
      <c r="O263" s="8"/>
      <c r="P263" s="8"/>
    </row>
    <row r="264" ht="12.75" spans="1:16">
      <c r="A264" s="4"/>
      <c r="B264" s="5"/>
      <c r="C264" s="5"/>
      <c r="D264" s="4"/>
      <c r="E264" s="5"/>
      <c r="F264" s="3"/>
      <c r="G264" s="3"/>
      <c r="K264" s="8"/>
      <c r="L264" s="8"/>
      <c r="M264" s="8"/>
      <c r="N264" s="8"/>
      <c r="O264" s="8"/>
      <c r="P264" s="8"/>
    </row>
    <row r="265" ht="12.75" spans="1:16">
      <c r="A265" s="4"/>
      <c r="B265" s="5"/>
      <c r="C265" s="5"/>
      <c r="D265" s="4"/>
      <c r="E265" s="5"/>
      <c r="F265" s="3"/>
      <c r="G265" s="3"/>
      <c r="K265" s="8"/>
      <c r="L265" s="8"/>
      <c r="M265" s="8"/>
      <c r="N265" s="8"/>
      <c r="O265" s="8"/>
      <c r="P265" s="8"/>
    </row>
    <row r="266" ht="12.75" spans="1:16">
      <c r="A266" s="4"/>
      <c r="B266" s="5"/>
      <c r="C266" s="5"/>
      <c r="D266" s="4"/>
      <c r="E266" s="5"/>
      <c r="F266" s="3"/>
      <c r="G266" s="3"/>
      <c r="K266" s="8"/>
      <c r="L266" s="8"/>
      <c r="M266" s="8"/>
      <c r="N266" s="8"/>
      <c r="O266" s="8"/>
      <c r="P266" s="8"/>
    </row>
    <row r="267" ht="12.75" spans="1:16">
      <c r="A267" s="4"/>
      <c r="B267" s="5"/>
      <c r="C267" s="5"/>
      <c r="D267" s="4"/>
      <c r="E267" s="5"/>
      <c r="F267" s="3"/>
      <c r="G267" s="3"/>
      <c r="K267" s="8"/>
      <c r="L267" s="8"/>
      <c r="M267" s="8"/>
      <c r="N267" s="8"/>
      <c r="O267" s="8"/>
      <c r="P267" s="8"/>
    </row>
    <row r="268" ht="12.75" spans="1:16">
      <c r="A268" s="4"/>
      <c r="B268" s="5"/>
      <c r="C268" s="5"/>
      <c r="D268" s="4"/>
      <c r="E268" s="5"/>
      <c r="F268" s="3"/>
      <c r="G268" s="3"/>
      <c r="K268" s="8"/>
      <c r="L268" s="8"/>
      <c r="M268" s="8"/>
      <c r="N268" s="8"/>
      <c r="O268" s="8"/>
      <c r="P268" s="8"/>
    </row>
    <row r="269" ht="12.75" spans="1:16">
      <c r="A269" s="4"/>
      <c r="B269" s="5"/>
      <c r="C269" s="5"/>
      <c r="D269" s="4"/>
      <c r="E269" s="5"/>
      <c r="F269" s="3"/>
      <c r="G269" s="3"/>
      <c r="K269" s="8"/>
      <c r="L269" s="8"/>
      <c r="M269" s="8"/>
      <c r="N269" s="8"/>
      <c r="O269" s="8"/>
      <c r="P269" s="8"/>
    </row>
    <row r="270" ht="12.75" spans="1:16">
      <c r="A270" s="4"/>
      <c r="B270" s="5"/>
      <c r="C270" s="5"/>
      <c r="D270" s="4"/>
      <c r="E270" s="5"/>
      <c r="F270" s="3"/>
      <c r="G270" s="3"/>
      <c r="K270" s="8"/>
      <c r="L270" s="8"/>
      <c r="M270" s="8"/>
      <c r="N270" s="8"/>
      <c r="O270" s="8"/>
      <c r="P270" s="8"/>
    </row>
    <row r="271" ht="12.75" spans="1:16">
      <c r="A271" s="4"/>
      <c r="B271" s="5"/>
      <c r="C271" s="5"/>
      <c r="D271" s="4"/>
      <c r="E271" s="5"/>
      <c r="F271" s="3"/>
      <c r="G271" s="3"/>
      <c r="K271" s="8"/>
      <c r="L271" s="8"/>
      <c r="M271" s="8"/>
      <c r="N271" s="8"/>
      <c r="O271" s="8"/>
      <c r="P271" s="8"/>
    </row>
    <row r="272" ht="12.75" spans="1:16">
      <c r="A272" s="4"/>
      <c r="B272" s="5"/>
      <c r="C272" s="5"/>
      <c r="D272" s="4"/>
      <c r="E272" s="5"/>
      <c r="F272" s="3"/>
      <c r="G272" s="3"/>
      <c r="K272" s="8"/>
      <c r="L272" s="8"/>
      <c r="M272" s="8"/>
      <c r="N272" s="8"/>
      <c r="O272" s="8"/>
      <c r="P272" s="8"/>
    </row>
    <row r="273" ht="12.75" spans="1:16">
      <c r="A273" s="4"/>
      <c r="B273" s="5"/>
      <c r="C273" s="5"/>
      <c r="D273" s="4"/>
      <c r="E273" s="5"/>
      <c r="F273" s="3"/>
      <c r="G273" s="3"/>
      <c r="K273" s="8"/>
      <c r="L273" s="8"/>
      <c r="M273" s="8"/>
      <c r="N273" s="8"/>
      <c r="O273" s="8"/>
      <c r="P273" s="8"/>
    </row>
    <row r="274" ht="12.75" spans="1:16">
      <c r="A274" s="4"/>
      <c r="B274" s="5"/>
      <c r="C274" s="5"/>
      <c r="D274" s="4"/>
      <c r="E274" s="5"/>
      <c r="F274" s="3"/>
      <c r="G274" s="3"/>
      <c r="K274" s="8"/>
      <c r="L274" s="8"/>
      <c r="M274" s="8"/>
      <c r="N274" s="8"/>
      <c r="O274" s="8"/>
      <c r="P274" s="8"/>
    </row>
    <row r="275" ht="12.75" spans="1:16">
      <c r="A275" s="4"/>
      <c r="B275" s="5"/>
      <c r="C275" s="5"/>
      <c r="D275" s="4"/>
      <c r="E275" s="5"/>
      <c r="F275" s="3"/>
      <c r="G275" s="3"/>
      <c r="K275" s="8"/>
      <c r="L275" s="8"/>
      <c r="M275" s="8"/>
      <c r="N275" s="8"/>
      <c r="O275" s="8"/>
      <c r="P275" s="8"/>
    </row>
    <row r="276" ht="12.75" spans="1:16">
      <c r="A276" s="4"/>
      <c r="B276" s="5"/>
      <c r="C276" s="5"/>
      <c r="D276" s="4"/>
      <c r="E276" s="5"/>
      <c r="F276" s="3"/>
      <c r="G276" s="3"/>
      <c r="K276" s="8"/>
      <c r="L276" s="8"/>
      <c r="M276" s="8"/>
      <c r="N276" s="8"/>
      <c r="O276" s="8"/>
      <c r="P276" s="8"/>
    </row>
    <row r="277" ht="12.75" spans="1:16">
      <c r="A277" s="4"/>
      <c r="B277" s="5"/>
      <c r="C277" s="5"/>
      <c r="D277" s="4"/>
      <c r="E277" s="5"/>
      <c r="F277" s="3"/>
      <c r="G277" s="3"/>
      <c r="K277" s="8"/>
      <c r="L277" s="8"/>
      <c r="M277" s="8"/>
      <c r="N277" s="8"/>
      <c r="O277" s="8"/>
      <c r="P277" s="8"/>
    </row>
    <row r="278" ht="12.75" spans="1:16">
      <c r="A278" s="4"/>
      <c r="B278" s="5"/>
      <c r="C278" s="5"/>
      <c r="D278" s="4"/>
      <c r="E278" s="5"/>
      <c r="F278" s="3"/>
      <c r="G278" s="3"/>
      <c r="K278" s="8"/>
      <c r="L278" s="8"/>
      <c r="M278" s="8"/>
      <c r="N278" s="8"/>
      <c r="O278" s="8"/>
      <c r="P278" s="8"/>
    </row>
    <row r="279" ht="12.75" spans="1:16">
      <c r="A279" s="4"/>
      <c r="B279" s="5"/>
      <c r="C279" s="5"/>
      <c r="D279" s="4"/>
      <c r="E279" s="5"/>
      <c r="F279" s="3"/>
      <c r="G279" s="3"/>
      <c r="K279" s="8"/>
      <c r="L279" s="8"/>
      <c r="M279" s="8"/>
      <c r="N279" s="8"/>
      <c r="O279" s="8"/>
      <c r="P279" s="8"/>
    </row>
    <row r="280" ht="12.75" spans="1:16">
      <c r="A280" s="4"/>
      <c r="B280" s="5"/>
      <c r="C280" s="5"/>
      <c r="D280" s="4"/>
      <c r="E280" s="5"/>
      <c r="F280" s="3"/>
      <c r="G280" s="3"/>
      <c r="K280" s="8"/>
      <c r="L280" s="8"/>
      <c r="M280" s="8"/>
      <c r="N280" s="8"/>
      <c r="O280" s="8"/>
      <c r="P280" s="8"/>
    </row>
    <row r="281" ht="12.75" spans="1:16">
      <c r="A281" s="4"/>
      <c r="B281" s="5"/>
      <c r="C281" s="5"/>
      <c r="D281" s="4"/>
      <c r="E281" s="5"/>
      <c r="F281" s="3"/>
      <c r="G281" s="3"/>
      <c r="K281" s="8"/>
      <c r="L281" s="8"/>
      <c r="M281" s="8"/>
      <c r="N281" s="8"/>
      <c r="O281" s="8"/>
      <c r="P281" s="8"/>
    </row>
    <row r="282" ht="12.75" spans="1:16">
      <c r="A282" s="4"/>
      <c r="B282" s="5"/>
      <c r="C282" s="5"/>
      <c r="D282" s="4"/>
      <c r="E282" s="5"/>
      <c r="F282" s="3"/>
      <c r="G282" s="3"/>
      <c r="K282" s="8"/>
      <c r="L282" s="8"/>
      <c r="M282" s="8"/>
      <c r="N282" s="8"/>
      <c r="O282" s="8"/>
      <c r="P282" s="8"/>
    </row>
    <row r="283" ht="12.75" spans="1:16">
      <c r="A283" s="4"/>
      <c r="B283" s="5"/>
      <c r="C283" s="5"/>
      <c r="D283" s="4"/>
      <c r="E283" s="5"/>
      <c r="F283" s="3"/>
      <c r="G283" s="3"/>
      <c r="K283" s="8"/>
      <c r="L283" s="8"/>
      <c r="M283" s="8"/>
      <c r="N283" s="8"/>
      <c r="O283" s="8"/>
      <c r="P283" s="8"/>
    </row>
    <row r="284" ht="12.75" spans="1:16">
      <c r="A284" s="4"/>
      <c r="B284" s="5"/>
      <c r="C284" s="5"/>
      <c r="D284" s="4"/>
      <c r="E284" s="5"/>
      <c r="F284" s="3"/>
      <c r="G284" s="3"/>
      <c r="K284" s="8"/>
      <c r="L284" s="8"/>
      <c r="M284" s="8"/>
      <c r="N284" s="8"/>
      <c r="O284" s="8"/>
      <c r="P284" s="8"/>
    </row>
    <row r="285" ht="12.75" spans="1:16">
      <c r="A285" s="4"/>
      <c r="B285" s="5"/>
      <c r="C285" s="5"/>
      <c r="D285" s="4"/>
      <c r="E285" s="5"/>
      <c r="F285" s="3"/>
      <c r="G285" s="3"/>
      <c r="K285" s="8"/>
      <c r="L285" s="8"/>
      <c r="M285" s="8"/>
      <c r="N285" s="8"/>
      <c r="O285" s="8"/>
      <c r="P285" s="8"/>
    </row>
    <row r="286" ht="12.75" spans="1:16">
      <c r="A286" s="4"/>
      <c r="B286" s="5"/>
      <c r="C286" s="5"/>
      <c r="D286" s="4"/>
      <c r="E286" s="5"/>
      <c r="F286" s="3"/>
      <c r="G286" s="3"/>
      <c r="K286" s="8"/>
      <c r="L286" s="8"/>
      <c r="M286" s="8"/>
      <c r="N286" s="8"/>
      <c r="O286" s="8"/>
      <c r="P286" s="8"/>
    </row>
    <row r="287" ht="12.75" spans="1:16">
      <c r="A287" s="4"/>
      <c r="B287" s="5"/>
      <c r="C287" s="5"/>
      <c r="D287" s="4"/>
      <c r="E287" s="5"/>
      <c r="F287" s="3"/>
      <c r="G287" s="3"/>
      <c r="K287" s="8"/>
      <c r="L287" s="8"/>
      <c r="M287" s="8"/>
      <c r="N287" s="8"/>
      <c r="O287" s="8"/>
      <c r="P287" s="8"/>
    </row>
    <row r="288" ht="12.75" spans="1:16">
      <c r="A288" s="4"/>
      <c r="B288" s="5"/>
      <c r="C288" s="5"/>
      <c r="D288" s="4"/>
      <c r="E288" s="5"/>
      <c r="F288" s="3"/>
      <c r="G288" s="3"/>
      <c r="K288" s="8"/>
      <c r="L288" s="8"/>
      <c r="M288" s="8"/>
      <c r="N288" s="8"/>
      <c r="O288" s="8"/>
      <c r="P288" s="8"/>
    </row>
    <row r="289" ht="12.75" spans="1:16">
      <c r="A289" s="4"/>
      <c r="B289" s="5"/>
      <c r="C289" s="5"/>
      <c r="D289" s="4"/>
      <c r="E289" s="5"/>
      <c r="F289" s="3"/>
      <c r="G289" s="3"/>
      <c r="K289" s="8"/>
      <c r="L289" s="8"/>
      <c r="M289" s="8"/>
      <c r="N289" s="8"/>
      <c r="O289" s="8"/>
      <c r="P289" s="8"/>
    </row>
    <row r="290" ht="12.75" spans="1:16">
      <c r="A290" s="4"/>
      <c r="B290" s="5"/>
      <c r="C290" s="5"/>
      <c r="D290" s="4"/>
      <c r="E290" s="5"/>
      <c r="F290" s="3"/>
      <c r="G290" s="3"/>
      <c r="K290" s="8"/>
      <c r="L290" s="8"/>
      <c r="M290" s="8"/>
      <c r="N290" s="8"/>
      <c r="O290" s="8"/>
      <c r="P290" s="8"/>
    </row>
    <row r="291" ht="12.75" spans="1:16">
      <c r="A291" s="4"/>
      <c r="B291" s="5"/>
      <c r="C291" s="5"/>
      <c r="D291" s="4"/>
      <c r="E291" s="5"/>
      <c r="F291" s="3"/>
      <c r="G291" s="3"/>
      <c r="K291" s="8"/>
      <c r="L291" s="8"/>
      <c r="M291" s="8"/>
      <c r="N291" s="8"/>
      <c r="O291" s="8"/>
      <c r="P291" s="8"/>
    </row>
    <row r="292" ht="12.75" spans="1:16">
      <c r="A292" s="4"/>
      <c r="B292" s="5"/>
      <c r="C292" s="5"/>
      <c r="D292" s="4"/>
      <c r="E292" s="5"/>
      <c r="F292" s="3"/>
      <c r="G292" s="3"/>
      <c r="K292" s="8"/>
      <c r="L292" s="8"/>
      <c r="M292" s="8"/>
      <c r="N292" s="8"/>
      <c r="O292" s="8"/>
      <c r="P292" s="8"/>
    </row>
    <row r="293" ht="12.75" spans="1:16">
      <c r="A293" s="4"/>
      <c r="B293" s="5"/>
      <c r="C293" s="5"/>
      <c r="D293" s="4"/>
      <c r="E293" s="5"/>
      <c r="F293" s="3"/>
      <c r="G293" s="3"/>
      <c r="K293" s="8"/>
      <c r="L293" s="8"/>
      <c r="M293" s="8"/>
      <c r="N293" s="8"/>
      <c r="O293" s="8"/>
      <c r="P293" s="8"/>
    </row>
    <row r="294" ht="12.75" spans="1:16">
      <c r="A294" s="4"/>
      <c r="B294" s="5"/>
      <c r="C294" s="5"/>
      <c r="D294" s="4"/>
      <c r="E294" s="5"/>
      <c r="F294" s="3"/>
      <c r="G294" s="3"/>
      <c r="K294" s="8"/>
      <c r="L294" s="8"/>
      <c r="M294" s="8"/>
      <c r="N294" s="8"/>
      <c r="O294" s="8"/>
      <c r="P294" s="8"/>
    </row>
    <row r="295" ht="12.75" spans="1:16">
      <c r="A295" s="4"/>
      <c r="B295" s="5"/>
      <c r="C295" s="5"/>
      <c r="D295" s="4"/>
      <c r="E295" s="5"/>
      <c r="F295" s="3"/>
      <c r="G295" s="3"/>
      <c r="K295" s="8"/>
      <c r="L295" s="8"/>
      <c r="M295" s="8"/>
      <c r="N295" s="8"/>
      <c r="O295" s="8"/>
      <c r="P295" s="8"/>
    </row>
    <row r="296" ht="12.75" spans="1:16">
      <c r="A296" s="4"/>
      <c r="B296" s="5"/>
      <c r="C296" s="5"/>
      <c r="D296" s="4"/>
      <c r="E296" s="5"/>
      <c r="F296" s="3"/>
      <c r="G296" s="3"/>
      <c r="K296" s="8"/>
      <c r="L296" s="8"/>
      <c r="M296" s="8"/>
      <c r="N296" s="8"/>
      <c r="O296" s="8"/>
      <c r="P296" s="8"/>
    </row>
    <row r="297" ht="12.75" spans="1:16">
      <c r="A297" s="4"/>
      <c r="B297" s="5"/>
      <c r="C297" s="5"/>
      <c r="D297" s="4"/>
      <c r="E297" s="5"/>
      <c r="F297" s="3"/>
      <c r="G297" s="3"/>
      <c r="K297" s="8"/>
      <c r="L297" s="8"/>
      <c r="M297" s="8"/>
      <c r="N297" s="8"/>
      <c r="O297" s="8"/>
      <c r="P297" s="8"/>
    </row>
    <row r="298" ht="12.75" spans="1:16">
      <c r="A298" s="4"/>
      <c r="B298" s="5"/>
      <c r="C298" s="5"/>
      <c r="D298" s="4"/>
      <c r="E298" s="5"/>
      <c r="F298" s="3"/>
      <c r="G298" s="3"/>
      <c r="K298" s="8"/>
      <c r="L298" s="8"/>
      <c r="M298" s="8"/>
      <c r="N298" s="8"/>
      <c r="O298" s="8"/>
      <c r="P298" s="8"/>
    </row>
    <row r="299" ht="12.75" spans="1:16">
      <c r="A299" s="4"/>
      <c r="B299" s="5"/>
      <c r="C299" s="5"/>
      <c r="D299" s="4"/>
      <c r="E299" s="5"/>
      <c r="F299" s="3"/>
      <c r="G299" s="3"/>
      <c r="K299" s="8"/>
      <c r="L299" s="8"/>
      <c r="M299" s="8"/>
      <c r="N299" s="8"/>
      <c r="O299" s="8"/>
      <c r="P299" s="8"/>
    </row>
    <row r="300" ht="12.75" spans="1:16">
      <c r="A300" s="4"/>
      <c r="B300" s="5"/>
      <c r="C300" s="5"/>
      <c r="D300" s="4"/>
      <c r="E300" s="5"/>
      <c r="F300" s="3"/>
      <c r="G300" s="3"/>
      <c r="K300" s="8"/>
      <c r="L300" s="8"/>
      <c r="M300" s="8"/>
      <c r="N300" s="8"/>
      <c r="O300" s="8"/>
      <c r="P300" s="8"/>
    </row>
    <row r="301" ht="12.75" spans="1:16">
      <c r="A301" s="4"/>
      <c r="B301" s="5"/>
      <c r="C301" s="5"/>
      <c r="D301" s="4"/>
      <c r="E301" s="5"/>
      <c r="F301" s="3"/>
      <c r="G301" s="3"/>
      <c r="K301" s="8"/>
      <c r="L301" s="8"/>
      <c r="M301" s="8"/>
      <c r="N301" s="8"/>
      <c r="O301" s="8"/>
      <c r="P301" s="8"/>
    </row>
    <row r="302" ht="12.75" spans="1:16">
      <c r="A302" s="4"/>
      <c r="B302" s="5"/>
      <c r="C302" s="5"/>
      <c r="D302" s="4"/>
      <c r="E302" s="5"/>
      <c r="F302" s="3"/>
      <c r="G302" s="3"/>
      <c r="K302" s="8"/>
      <c r="L302" s="8"/>
      <c r="M302" s="8"/>
      <c r="N302" s="8"/>
      <c r="O302" s="8"/>
      <c r="P302" s="8"/>
    </row>
    <row r="303" ht="12.75" spans="1:16">
      <c r="A303" s="4"/>
      <c r="B303" s="5"/>
      <c r="C303" s="5"/>
      <c r="D303" s="4"/>
      <c r="E303" s="5"/>
      <c r="F303" s="3"/>
      <c r="G303" s="3"/>
      <c r="K303" s="8"/>
      <c r="L303" s="8"/>
      <c r="M303" s="8"/>
      <c r="N303" s="8"/>
      <c r="O303" s="8"/>
      <c r="P303" s="8"/>
    </row>
    <row r="304" ht="12.75" spans="1:16">
      <c r="A304" s="4"/>
      <c r="B304" s="5"/>
      <c r="C304" s="5"/>
      <c r="D304" s="4"/>
      <c r="E304" s="5"/>
      <c r="F304" s="3"/>
      <c r="G304" s="3"/>
      <c r="K304" s="8"/>
      <c r="L304" s="8"/>
      <c r="M304" s="8"/>
      <c r="N304" s="8"/>
      <c r="O304" s="8"/>
      <c r="P304" s="8"/>
    </row>
    <row r="305" ht="12.75" spans="1:16">
      <c r="A305" s="4"/>
      <c r="B305" s="5"/>
      <c r="C305" s="5"/>
      <c r="D305" s="4"/>
      <c r="E305" s="5"/>
      <c r="F305" s="3"/>
      <c r="G305" s="3"/>
      <c r="K305" s="8"/>
      <c r="L305" s="8"/>
      <c r="M305" s="8"/>
      <c r="N305" s="8"/>
      <c r="O305" s="8"/>
      <c r="P305" s="8"/>
    </row>
    <row r="306" ht="12.75" spans="1:16">
      <c r="A306" s="4"/>
      <c r="B306" s="5"/>
      <c r="C306" s="5"/>
      <c r="D306" s="4"/>
      <c r="E306" s="5"/>
      <c r="F306" s="3"/>
      <c r="G306" s="3"/>
      <c r="K306" s="8"/>
      <c r="L306" s="8"/>
      <c r="M306" s="8"/>
      <c r="N306" s="8"/>
      <c r="O306" s="8"/>
      <c r="P306" s="8"/>
    </row>
    <row r="307" ht="12.75" spans="1:16">
      <c r="A307" s="4"/>
      <c r="B307" s="5"/>
      <c r="C307" s="5"/>
      <c r="D307" s="4"/>
      <c r="E307" s="5"/>
      <c r="F307" s="3"/>
      <c r="G307" s="3"/>
      <c r="K307" s="8"/>
      <c r="L307" s="8"/>
      <c r="M307" s="8"/>
      <c r="N307" s="8"/>
      <c r="O307" s="8"/>
      <c r="P307" s="8"/>
    </row>
    <row r="308" ht="12.75" spans="1:16">
      <c r="A308" s="4"/>
      <c r="B308" s="5"/>
      <c r="C308" s="5"/>
      <c r="D308" s="4"/>
      <c r="E308" s="5"/>
      <c r="F308" s="3"/>
      <c r="G308" s="3"/>
      <c r="K308" s="8"/>
      <c r="L308" s="8"/>
      <c r="M308" s="8"/>
      <c r="N308" s="8"/>
      <c r="O308" s="8"/>
      <c r="P308" s="8"/>
    </row>
    <row r="309" ht="12.75" spans="1:16">
      <c r="A309" s="4"/>
      <c r="B309" s="5"/>
      <c r="C309" s="5"/>
      <c r="D309" s="4"/>
      <c r="E309" s="5"/>
      <c r="F309" s="3"/>
      <c r="G309" s="3"/>
      <c r="K309" s="8"/>
      <c r="L309" s="8"/>
      <c r="M309" s="8"/>
      <c r="N309" s="8"/>
      <c r="O309" s="8"/>
      <c r="P309" s="8"/>
    </row>
    <row r="310" ht="12.75" spans="1:16">
      <c r="A310" s="4"/>
      <c r="B310" s="5"/>
      <c r="C310" s="5"/>
      <c r="D310" s="4"/>
      <c r="E310" s="5"/>
      <c r="F310" s="3"/>
      <c r="G310" s="3"/>
      <c r="K310" s="8"/>
      <c r="L310" s="8"/>
      <c r="M310" s="8"/>
      <c r="N310" s="8"/>
      <c r="O310" s="8"/>
      <c r="P310" s="8"/>
    </row>
    <row r="311" ht="12.75" spans="1:16">
      <c r="A311" s="4"/>
      <c r="B311" s="5"/>
      <c r="C311" s="5"/>
      <c r="D311" s="4"/>
      <c r="E311" s="5"/>
      <c r="F311" s="3"/>
      <c r="G311" s="3"/>
      <c r="K311" s="8"/>
      <c r="L311" s="8"/>
      <c r="M311" s="8"/>
      <c r="N311" s="8"/>
      <c r="O311" s="8"/>
      <c r="P311" s="8"/>
    </row>
    <row r="312" ht="12.75" spans="1:16">
      <c r="A312" s="4"/>
      <c r="B312" s="5"/>
      <c r="C312" s="5"/>
      <c r="D312" s="4"/>
      <c r="E312" s="5"/>
      <c r="F312" s="3"/>
      <c r="G312" s="3"/>
      <c r="K312" s="8"/>
      <c r="L312" s="8"/>
      <c r="M312" s="8"/>
      <c r="N312" s="8"/>
      <c r="O312" s="8"/>
      <c r="P312" s="8"/>
    </row>
    <row r="313" ht="12.75" spans="1:16">
      <c r="A313" s="4"/>
      <c r="B313" s="5"/>
      <c r="C313" s="5"/>
      <c r="D313" s="4"/>
      <c r="E313" s="5"/>
      <c r="F313" s="3"/>
      <c r="G313" s="3"/>
      <c r="K313" s="8"/>
      <c r="L313" s="8"/>
      <c r="M313" s="8"/>
      <c r="N313" s="8"/>
      <c r="O313" s="8"/>
      <c r="P313" s="8"/>
    </row>
    <row r="314" ht="12.75" spans="1:16">
      <c r="A314" s="4"/>
      <c r="B314" s="5"/>
      <c r="C314" s="5"/>
      <c r="D314" s="4"/>
      <c r="E314" s="5"/>
      <c r="F314" s="3"/>
      <c r="G314" s="3"/>
      <c r="K314" s="8"/>
      <c r="L314" s="8"/>
      <c r="M314" s="8"/>
      <c r="N314" s="8"/>
      <c r="O314" s="8"/>
      <c r="P314" s="8"/>
    </row>
    <row r="315" ht="12.75" spans="1:16">
      <c r="A315" s="4"/>
      <c r="B315" s="5"/>
      <c r="C315" s="5"/>
      <c r="D315" s="4"/>
      <c r="E315" s="5"/>
      <c r="F315" s="3"/>
      <c r="G315" s="3"/>
      <c r="K315" s="8"/>
      <c r="L315" s="8"/>
      <c r="M315" s="8"/>
      <c r="N315" s="8"/>
      <c r="O315" s="8"/>
      <c r="P315" s="8"/>
    </row>
    <row r="316" ht="12.75" spans="1:16">
      <c r="A316" s="4"/>
      <c r="B316" s="5"/>
      <c r="C316" s="5"/>
      <c r="D316" s="4"/>
      <c r="E316" s="5"/>
      <c r="F316" s="3"/>
      <c r="G316" s="3"/>
      <c r="K316" s="8"/>
      <c r="L316" s="8"/>
      <c r="M316" s="8"/>
      <c r="N316" s="8"/>
      <c r="O316" s="8"/>
      <c r="P316" s="8"/>
    </row>
    <row r="317" ht="12.75" spans="1:16">
      <c r="A317" s="4"/>
      <c r="B317" s="5"/>
      <c r="C317" s="5"/>
      <c r="D317" s="4"/>
      <c r="E317" s="5"/>
      <c r="F317" s="3"/>
      <c r="G317" s="3"/>
      <c r="K317" s="8"/>
      <c r="L317" s="8"/>
      <c r="M317" s="8"/>
      <c r="N317" s="8"/>
      <c r="O317" s="8"/>
      <c r="P317" s="8"/>
    </row>
    <row r="318" ht="12.75" spans="1:16">
      <c r="A318" s="4"/>
      <c r="B318" s="5"/>
      <c r="C318" s="5"/>
      <c r="D318" s="4"/>
      <c r="E318" s="5"/>
      <c r="F318" s="3"/>
      <c r="G318" s="3"/>
      <c r="K318" s="8"/>
      <c r="L318" s="8"/>
      <c r="M318" s="8"/>
      <c r="N318" s="8"/>
      <c r="O318" s="8"/>
      <c r="P318" s="8"/>
    </row>
    <row r="319" ht="12.75" spans="1:16">
      <c r="A319" s="4"/>
      <c r="B319" s="5"/>
      <c r="C319" s="5"/>
      <c r="D319" s="4"/>
      <c r="E319" s="5"/>
      <c r="F319" s="3"/>
      <c r="G319" s="3"/>
      <c r="K319" s="8"/>
      <c r="L319" s="8"/>
      <c r="M319" s="8"/>
      <c r="N319" s="8"/>
      <c r="O319" s="8"/>
      <c r="P319" s="8"/>
    </row>
    <row r="320" ht="12.75" spans="1:16">
      <c r="A320" s="4"/>
      <c r="B320" s="5"/>
      <c r="C320" s="5"/>
      <c r="D320" s="4"/>
      <c r="E320" s="5"/>
      <c r="F320" s="3"/>
      <c r="G320" s="3"/>
      <c r="K320" s="8"/>
      <c r="L320" s="8"/>
      <c r="M320" s="8"/>
      <c r="N320" s="8"/>
      <c r="O320" s="8"/>
      <c r="P320" s="8"/>
    </row>
    <row r="321" ht="12.75" spans="1:16">
      <c r="A321" s="4"/>
      <c r="B321" s="5"/>
      <c r="C321" s="5"/>
      <c r="D321" s="4"/>
      <c r="E321" s="5"/>
      <c r="F321" s="3"/>
      <c r="G321" s="3"/>
      <c r="K321" s="8"/>
      <c r="L321" s="8"/>
      <c r="M321" s="8"/>
      <c r="N321" s="8"/>
      <c r="O321" s="8"/>
      <c r="P321" s="8"/>
    </row>
    <row r="322" ht="12.75" spans="1:16">
      <c r="A322" s="4"/>
      <c r="B322" s="5"/>
      <c r="C322" s="5"/>
      <c r="D322" s="4"/>
      <c r="E322" s="5"/>
      <c r="F322" s="3"/>
      <c r="G322" s="3"/>
      <c r="K322" s="8"/>
      <c r="L322" s="8"/>
      <c r="M322" s="8"/>
      <c r="N322" s="8"/>
      <c r="O322" s="8"/>
      <c r="P322" s="8"/>
    </row>
    <row r="323" ht="12.75" spans="1:16">
      <c r="A323" s="4"/>
      <c r="B323" s="5"/>
      <c r="C323" s="5"/>
      <c r="D323" s="4"/>
      <c r="E323" s="5"/>
      <c r="F323" s="3"/>
      <c r="G323" s="3"/>
      <c r="K323" s="8"/>
      <c r="L323" s="8"/>
      <c r="M323" s="8"/>
      <c r="N323" s="8"/>
      <c r="O323" s="8"/>
      <c r="P323" s="8"/>
    </row>
    <row r="324" ht="12.75" spans="1:16">
      <c r="A324" s="4"/>
      <c r="B324" s="5"/>
      <c r="C324" s="5"/>
      <c r="D324" s="4"/>
      <c r="E324" s="5"/>
      <c r="F324" s="3"/>
      <c r="G324" s="3"/>
      <c r="K324" s="8"/>
      <c r="L324" s="8"/>
      <c r="M324" s="8"/>
      <c r="N324" s="8"/>
      <c r="O324" s="8"/>
      <c r="P324" s="8"/>
    </row>
    <row r="325" ht="12.75" spans="1:16">
      <c r="A325" s="4"/>
      <c r="B325" s="5"/>
      <c r="C325" s="5"/>
      <c r="D325" s="4"/>
      <c r="E325" s="5"/>
      <c r="F325" s="3"/>
      <c r="G325" s="3"/>
      <c r="K325" s="8"/>
      <c r="L325" s="8"/>
      <c r="M325" s="8"/>
      <c r="N325" s="8"/>
      <c r="O325" s="8"/>
      <c r="P325" s="8"/>
    </row>
    <row r="326" ht="12.75" spans="1:16">
      <c r="A326" s="4"/>
      <c r="B326" s="5"/>
      <c r="C326" s="5"/>
      <c r="D326" s="4"/>
      <c r="E326" s="5"/>
      <c r="F326" s="3"/>
      <c r="G326" s="3"/>
      <c r="K326" s="8"/>
      <c r="L326" s="8"/>
      <c r="M326" s="8"/>
      <c r="N326" s="8"/>
      <c r="O326" s="8"/>
      <c r="P326" s="8"/>
    </row>
    <row r="327" ht="12.75" spans="1:16">
      <c r="A327" s="4"/>
      <c r="B327" s="5"/>
      <c r="C327" s="5"/>
      <c r="D327" s="4"/>
      <c r="E327" s="5"/>
      <c r="F327" s="3"/>
      <c r="G327" s="3"/>
      <c r="K327" s="8"/>
      <c r="L327" s="8"/>
      <c r="M327" s="8"/>
      <c r="N327" s="8"/>
      <c r="O327" s="8"/>
      <c r="P327" s="8"/>
    </row>
    <row r="328" ht="12.75" spans="1:16">
      <c r="A328" s="4"/>
      <c r="B328" s="5"/>
      <c r="C328" s="5"/>
      <c r="D328" s="4"/>
      <c r="E328" s="5"/>
      <c r="F328" s="3"/>
      <c r="G328" s="3"/>
      <c r="K328" s="8"/>
      <c r="L328" s="8"/>
      <c r="M328" s="8"/>
      <c r="N328" s="8"/>
      <c r="O328" s="8"/>
      <c r="P328" s="8"/>
    </row>
    <row r="329" ht="12.75" spans="1:16">
      <c r="A329" s="4"/>
      <c r="B329" s="5"/>
      <c r="C329" s="5"/>
      <c r="D329" s="4"/>
      <c r="E329" s="5"/>
      <c r="F329" s="3"/>
      <c r="G329" s="3"/>
      <c r="K329" s="8"/>
      <c r="L329" s="8"/>
      <c r="M329" s="8"/>
      <c r="N329" s="8"/>
      <c r="O329" s="8"/>
      <c r="P329" s="8"/>
    </row>
    <row r="330" ht="12.75" spans="1:16">
      <c r="A330" s="4"/>
      <c r="B330" s="5"/>
      <c r="C330" s="5"/>
      <c r="D330" s="4"/>
      <c r="E330" s="5"/>
      <c r="F330" s="3"/>
      <c r="G330" s="3"/>
      <c r="K330" s="8"/>
      <c r="L330" s="8"/>
      <c r="M330" s="8"/>
      <c r="N330" s="8"/>
      <c r="O330" s="8"/>
      <c r="P330" s="8"/>
    </row>
    <row r="331" ht="12.75" spans="1:16">
      <c r="A331" s="4"/>
      <c r="B331" s="5"/>
      <c r="C331" s="5"/>
      <c r="D331" s="4"/>
      <c r="E331" s="5"/>
      <c r="F331" s="3"/>
      <c r="G331" s="3"/>
      <c r="K331" s="8"/>
      <c r="L331" s="8"/>
      <c r="M331" s="8"/>
      <c r="N331" s="8"/>
      <c r="O331" s="8"/>
      <c r="P331" s="8"/>
    </row>
    <row r="332" ht="12.75" spans="1:16">
      <c r="A332" s="4"/>
      <c r="B332" s="5"/>
      <c r="C332" s="5"/>
      <c r="D332" s="4"/>
      <c r="E332" s="5"/>
      <c r="F332" s="3"/>
      <c r="G332" s="3"/>
      <c r="K332" s="8"/>
      <c r="L332" s="8"/>
      <c r="M332" s="8"/>
      <c r="N332" s="8"/>
      <c r="O332" s="8"/>
      <c r="P332" s="8"/>
    </row>
    <row r="333" ht="12.75" spans="1:16">
      <c r="A333" s="4"/>
      <c r="B333" s="5"/>
      <c r="C333" s="5"/>
      <c r="D333" s="4"/>
      <c r="E333" s="5"/>
      <c r="F333" s="3"/>
      <c r="G333" s="3"/>
      <c r="K333" s="8"/>
      <c r="L333" s="8"/>
      <c r="M333" s="8"/>
      <c r="N333" s="8"/>
      <c r="O333" s="8"/>
      <c r="P333" s="8"/>
    </row>
    <row r="334" ht="12.75" spans="1:16">
      <c r="A334" s="4"/>
      <c r="B334" s="5"/>
      <c r="C334" s="5"/>
      <c r="D334" s="4"/>
      <c r="E334" s="5"/>
      <c r="F334" s="3"/>
      <c r="G334" s="3"/>
      <c r="K334" s="8"/>
      <c r="L334" s="8"/>
      <c r="M334" s="8"/>
      <c r="N334" s="8"/>
      <c r="O334" s="8"/>
      <c r="P334" s="8"/>
    </row>
    <row r="335" ht="12.75" spans="1:16">
      <c r="A335" s="4"/>
      <c r="B335" s="5"/>
      <c r="C335" s="5"/>
      <c r="D335" s="4"/>
      <c r="E335" s="5"/>
      <c r="F335" s="3"/>
      <c r="G335" s="3"/>
      <c r="K335" s="8"/>
      <c r="L335" s="8"/>
      <c r="M335" s="8"/>
      <c r="N335" s="8"/>
      <c r="O335" s="8"/>
      <c r="P335" s="8"/>
    </row>
    <row r="336" ht="12.75" spans="1:16">
      <c r="A336" s="4"/>
      <c r="B336" s="5"/>
      <c r="C336" s="5"/>
      <c r="D336" s="4"/>
      <c r="E336" s="5"/>
      <c r="F336" s="3"/>
      <c r="G336" s="3"/>
      <c r="K336" s="8"/>
      <c r="L336" s="8"/>
      <c r="M336" s="8"/>
      <c r="N336" s="8"/>
      <c r="O336" s="8"/>
      <c r="P336" s="8"/>
    </row>
    <row r="337" ht="12.75" spans="1:16">
      <c r="A337" s="4"/>
      <c r="B337" s="5"/>
      <c r="C337" s="5"/>
      <c r="D337" s="4"/>
      <c r="E337" s="5"/>
      <c r="F337" s="3"/>
      <c r="G337" s="3"/>
      <c r="K337" s="8"/>
      <c r="L337" s="8"/>
      <c r="M337" s="8"/>
      <c r="N337" s="8"/>
      <c r="O337" s="8"/>
      <c r="P337" s="8"/>
    </row>
    <row r="338" ht="12.75" spans="1:16">
      <c r="A338" s="4"/>
      <c r="B338" s="5"/>
      <c r="C338" s="5"/>
      <c r="D338" s="4"/>
      <c r="E338" s="5"/>
      <c r="F338" s="3"/>
      <c r="G338" s="3"/>
      <c r="K338" s="8"/>
      <c r="L338" s="8"/>
      <c r="M338" s="8"/>
      <c r="N338" s="8"/>
      <c r="O338" s="8"/>
      <c r="P338" s="8"/>
    </row>
    <row r="339" ht="12.75" spans="1:16">
      <c r="A339" s="4"/>
      <c r="B339" s="5"/>
      <c r="C339" s="5"/>
      <c r="D339" s="4"/>
      <c r="E339" s="5"/>
      <c r="F339" s="3"/>
      <c r="G339" s="3"/>
      <c r="K339" s="8"/>
      <c r="L339" s="8"/>
      <c r="M339" s="8"/>
      <c r="N339" s="8"/>
      <c r="O339" s="8"/>
      <c r="P339" s="8"/>
    </row>
    <row r="340" ht="12.75" spans="1:16">
      <c r="A340" s="4"/>
      <c r="B340" s="5"/>
      <c r="C340" s="5"/>
      <c r="D340" s="4"/>
      <c r="E340" s="5"/>
      <c r="F340" s="3"/>
      <c r="G340" s="3"/>
      <c r="K340" s="8"/>
      <c r="L340" s="8"/>
      <c r="M340" s="8"/>
      <c r="N340" s="8"/>
      <c r="O340" s="8"/>
      <c r="P340" s="8"/>
    </row>
    <row r="341" ht="12.75" spans="1:16">
      <c r="A341" s="4"/>
      <c r="B341" s="5"/>
      <c r="C341" s="5"/>
      <c r="D341" s="4"/>
      <c r="E341" s="5"/>
      <c r="F341" s="3"/>
      <c r="G341" s="3"/>
      <c r="K341" s="8"/>
      <c r="L341" s="8"/>
      <c r="M341" s="8"/>
      <c r="N341" s="8"/>
      <c r="O341" s="8"/>
      <c r="P341" s="8"/>
    </row>
    <row r="342" ht="12.75" spans="1:16">
      <c r="A342" s="4"/>
      <c r="B342" s="5"/>
      <c r="C342" s="5"/>
      <c r="D342" s="4"/>
      <c r="E342" s="5"/>
      <c r="F342" s="3"/>
      <c r="G342" s="3"/>
      <c r="K342" s="8"/>
      <c r="L342" s="8"/>
      <c r="M342" s="8"/>
      <c r="N342" s="8"/>
      <c r="O342" s="8"/>
      <c r="P342" s="8"/>
    </row>
    <row r="343" ht="12.75" spans="1:16">
      <c r="A343" s="4"/>
      <c r="B343" s="5"/>
      <c r="C343" s="5"/>
      <c r="D343" s="4"/>
      <c r="E343" s="5"/>
      <c r="F343" s="3"/>
      <c r="G343" s="3"/>
      <c r="K343" s="8"/>
      <c r="L343" s="8"/>
      <c r="M343" s="8"/>
      <c r="N343" s="8"/>
      <c r="O343" s="8"/>
      <c r="P343" s="8"/>
    </row>
    <row r="344" ht="12.75" spans="1:16">
      <c r="A344" s="4"/>
      <c r="B344" s="5"/>
      <c r="C344" s="5"/>
      <c r="D344" s="4"/>
      <c r="E344" s="5"/>
      <c r="F344" s="3"/>
      <c r="G344" s="3"/>
      <c r="K344" s="8"/>
      <c r="L344" s="8"/>
      <c r="M344" s="8"/>
      <c r="N344" s="8"/>
      <c r="O344" s="8"/>
      <c r="P344" s="8"/>
    </row>
    <row r="345" ht="12.75" spans="1:16">
      <c r="A345" s="4"/>
      <c r="B345" s="5"/>
      <c r="C345" s="5"/>
      <c r="D345" s="4"/>
      <c r="E345" s="5"/>
      <c r="F345" s="3"/>
      <c r="G345" s="3"/>
      <c r="K345" s="8"/>
      <c r="L345" s="8"/>
      <c r="M345" s="8"/>
      <c r="N345" s="8"/>
      <c r="O345" s="8"/>
      <c r="P345" s="8"/>
    </row>
    <row r="346" ht="12.75" spans="1:16">
      <c r="A346" s="4"/>
      <c r="B346" s="5"/>
      <c r="C346" s="5"/>
      <c r="D346" s="4"/>
      <c r="E346" s="5"/>
      <c r="F346" s="3"/>
      <c r="G346" s="3"/>
      <c r="K346" s="8"/>
      <c r="L346" s="8"/>
      <c r="M346" s="8"/>
      <c r="N346" s="8"/>
      <c r="O346" s="8"/>
      <c r="P346" s="8"/>
    </row>
    <row r="347" ht="12.75" spans="1:16">
      <c r="A347" s="4"/>
      <c r="B347" s="5"/>
      <c r="C347" s="5"/>
      <c r="D347" s="4"/>
      <c r="E347" s="5"/>
      <c r="F347" s="3"/>
      <c r="G347" s="3"/>
      <c r="K347" s="8"/>
      <c r="L347" s="8"/>
      <c r="M347" s="8"/>
      <c r="N347" s="8"/>
      <c r="O347" s="8"/>
      <c r="P347" s="8"/>
    </row>
    <row r="348" ht="12.75" spans="1:16">
      <c r="A348" s="4"/>
      <c r="B348" s="5"/>
      <c r="C348" s="5"/>
      <c r="D348" s="4"/>
      <c r="E348" s="5"/>
      <c r="F348" s="3"/>
      <c r="G348" s="3"/>
      <c r="K348" s="8"/>
      <c r="L348" s="8"/>
      <c r="M348" s="8"/>
      <c r="N348" s="8"/>
      <c r="O348" s="8"/>
      <c r="P348" s="8"/>
    </row>
    <row r="349" ht="12.75" spans="1:16">
      <c r="A349" s="4"/>
      <c r="B349" s="5"/>
      <c r="C349" s="5"/>
      <c r="D349" s="4"/>
      <c r="E349" s="5"/>
      <c r="F349" s="3"/>
      <c r="G349" s="3"/>
      <c r="K349" s="8"/>
      <c r="L349" s="8"/>
      <c r="M349" s="8"/>
      <c r="N349" s="8"/>
      <c r="O349" s="8"/>
      <c r="P349" s="8"/>
    </row>
    <row r="350" ht="12.75" spans="1:16">
      <c r="A350" s="4"/>
      <c r="B350" s="5"/>
      <c r="C350" s="5"/>
      <c r="D350" s="4"/>
      <c r="E350" s="5"/>
      <c r="F350" s="3"/>
      <c r="G350" s="3"/>
      <c r="K350" s="8"/>
      <c r="L350" s="8"/>
      <c r="M350" s="8"/>
      <c r="N350" s="8"/>
      <c r="O350" s="8"/>
      <c r="P350" s="8"/>
    </row>
    <row r="351" ht="12.75" spans="1:16">
      <c r="A351" s="4"/>
      <c r="B351" s="5"/>
      <c r="C351" s="5"/>
      <c r="D351" s="4"/>
      <c r="E351" s="5"/>
      <c r="F351" s="3"/>
      <c r="G351" s="3"/>
      <c r="K351" s="8"/>
      <c r="L351" s="8"/>
      <c r="M351" s="8"/>
      <c r="N351" s="8"/>
      <c r="O351" s="8"/>
      <c r="P351" s="8"/>
    </row>
    <row r="352" ht="12.75" spans="1:16">
      <c r="A352" s="4"/>
      <c r="B352" s="5"/>
      <c r="C352" s="5"/>
      <c r="D352" s="4"/>
      <c r="E352" s="5"/>
      <c r="F352" s="3"/>
      <c r="G352" s="3"/>
      <c r="K352" s="8"/>
      <c r="L352" s="8"/>
      <c r="M352" s="8"/>
      <c r="N352" s="8"/>
      <c r="O352" s="8"/>
      <c r="P352" s="8"/>
    </row>
    <row r="353" ht="12.75" spans="1:16">
      <c r="A353" s="4"/>
      <c r="B353" s="5"/>
      <c r="C353" s="5"/>
      <c r="D353" s="4"/>
      <c r="E353" s="5"/>
      <c r="F353" s="3"/>
      <c r="G353" s="3"/>
      <c r="K353" s="8"/>
      <c r="L353" s="8"/>
      <c r="M353" s="8"/>
      <c r="N353" s="8"/>
      <c r="O353" s="8"/>
      <c r="P353" s="8"/>
    </row>
    <row r="354" ht="12.75" spans="1:16">
      <c r="A354" s="4"/>
      <c r="B354" s="5"/>
      <c r="C354" s="5"/>
      <c r="D354" s="4"/>
      <c r="E354" s="5"/>
      <c r="F354" s="3"/>
      <c r="G354" s="3"/>
      <c r="K354" s="8"/>
      <c r="L354" s="8"/>
      <c r="M354" s="8"/>
      <c r="N354" s="8"/>
      <c r="O354" s="8"/>
      <c r="P354" s="8"/>
    </row>
    <row r="355" ht="12.75" spans="1:16">
      <c r="A355" s="4"/>
      <c r="B355" s="5"/>
      <c r="C355" s="5"/>
      <c r="D355" s="4"/>
      <c r="E355" s="5"/>
      <c r="F355" s="3"/>
      <c r="G355" s="3"/>
      <c r="K355" s="8"/>
      <c r="L355" s="8"/>
      <c r="M355" s="8"/>
      <c r="N355" s="8"/>
      <c r="O355" s="8"/>
      <c r="P355" s="8"/>
    </row>
    <row r="356" ht="12.75" spans="1:16">
      <c r="A356" s="4"/>
      <c r="B356" s="5"/>
      <c r="C356" s="5"/>
      <c r="D356" s="4"/>
      <c r="E356" s="5"/>
      <c r="F356" s="3"/>
      <c r="G356" s="3"/>
      <c r="K356" s="8"/>
      <c r="L356" s="8"/>
      <c r="M356" s="8"/>
      <c r="N356" s="8"/>
      <c r="O356" s="8"/>
      <c r="P356" s="8"/>
    </row>
    <row r="357" ht="12.75" spans="1:16">
      <c r="A357" s="4"/>
      <c r="B357" s="5"/>
      <c r="C357" s="5"/>
      <c r="D357" s="4"/>
      <c r="E357" s="5"/>
      <c r="F357" s="3"/>
      <c r="G357" s="3"/>
      <c r="K357" s="8"/>
      <c r="L357" s="8"/>
      <c r="M357" s="8"/>
      <c r="N357" s="8"/>
      <c r="O357" s="8"/>
      <c r="P357" s="8"/>
    </row>
    <row r="358" ht="12.75" spans="1:16">
      <c r="A358" s="4"/>
      <c r="B358" s="5"/>
      <c r="C358" s="5"/>
      <c r="D358" s="4"/>
      <c r="E358" s="5"/>
      <c r="F358" s="3"/>
      <c r="G358" s="3"/>
      <c r="K358" s="8"/>
      <c r="L358" s="8"/>
      <c r="M358" s="8"/>
      <c r="N358" s="8"/>
      <c r="O358" s="8"/>
      <c r="P358" s="8"/>
    </row>
    <row r="359" ht="12.75" spans="1:16">
      <c r="A359" s="4"/>
      <c r="B359" s="5"/>
      <c r="C359" s="5"/>
      <c r="D359" s="4"/>
      <c r="E359" s="5"/>
      <c r="F359" s="3"/>
      <c r="G359" s="3"/>
      <c r="K359" s="8"/>
      <c r="L359" s="8"/>
      <c r="M359" s="8"/>
      <c r="N359" s="8"/>
      <c r="O359" s="8"/>
      <c r="P359" s="8"/>
    </row>
    <row r="360" ht="12.75" spans="1:16">
      <c r="A360" s="4"/>
      <c r="B360" s="5"/>
      <c r="C360" s="5"/>
      <c r="D360" s="4"/>
      <c r="E360" s="5"/>
      <c r="F360" s="3"/>
      <c r="G360" s="3"/>
      <c r="K360" s="8"/>
      <c r="L360" s="8"/>
      <c r="M360" s="8"/>
      <c r="N360" s="8"/>
      <c r="O360" s="8"/>
      <c r="P360" s="8"/>
    </row>
    <row r="361" ht="12.75" spans="1:16">
      <c r="A361" s="4"/>
      <c r="B361" s="5"/>
      <c r="C361" s="5"/>
      <c r="D361" s="4"/>
      <c r="E361" s="5"/>
      <c r="F361" s="3"/>
      <c r="G361" s="3"/>
      <c r="K361" s="8"/>
      <c r="L361" s="8"/>
      <c r="M361" s="8"/>
      <c r="N361" s="8"/>
      <c r="O361" s="8"/>
      <c r="P361" s="8"/>
    </row>
    <row r="362" ht="12.75" spans="1:16">
      <c r="A362" s="4"/>
      <c r="B362" s="5"/>
      <c r="C362" s="5"/>
      <c r="D362" s="4"/>
      <c r="E362" s="5"/>
      <c r="F362" s="3"/>
      <c r="G362" s="3"/>
      <c r="K362" s="8"/>
      <c r="L362" s="8"/>
      <c r="M362" s="8"/>
      <c r="N362" s="8"/>
      <c r="O362" s="8"/>
      <c r="P362" s="8"/>
    </row>
    <row r="363" ht="12.75" spans="1:16">
      <c r="A363" s="4"/>
      <c r="B363" s="5"/>
      <c r="C363" s="5"/>
      <c r="D363" s="4"/>
      <c r="E363" s="5"/>
      <c r="F363" s="3"/>
      <c r="G363" s="3"/>
      <c r="K363" s="8"/>
      <c r="L363" s="8"/>
      <c r="M363" s="8"/>
      <c r="N363" s="8"/>
      <c r="O363" s="8"/>
      <c r="P363" s="8"/>
    </row>
    <row r="364" ht="12.75" spans="1:16">
      <c r="A364" s="4"/>
      <c r="B364" s="5"/>
      <c r="C364" s="5"/>
      <c r="D364" s="4"/>
      <c r="E364" s="5"/>
      <c r="F364" s="3"/>
      <c r="G364" s="3"/>
      <c r="K364" s="8"/>
      <c r="L364" s="8"/>
      <c r="M364" s="8"/>
      <c r="N364" s="8"/>
      <c r="O364" s="8"/>
      <c r="P364" s="8"/>
    </row>
    <row r="365" ht="12.75" spans="1:16">
      <c r="A365" s="4"/>
      <c r="B365" s="5"/>
      <c r="C365" s="5"/>
      <c r="D365" s="4"/>
      <c r="E365" s="5"/>
      <c r="F365" s="3"/>
      <c r="G365" s="3"/>
      <c r="K365" s="8"/>
      <c r="L365" s="8"/>
      <c r="M365" s="8"/>
      <c r="N365" s="8"/>
      <c r="O365" s="8"/>
      <c r="P365" s="8"/>
    </row>
    <row r="366" ht="12.75" spans="1:16">
      <c r="A366" s="4"/>
      <c r="B366" s="5"/>
      <c r="C366" s="5"/>
      <c r="D366" s="4"/>
      <c r="E366" s="5"/>
      <c r="F366" s="3"/>
      <c r="G366" s="3"/>
      <c r="K366" s="8"/>
      <c r="L366" s="8"/>
      <c r="M366" s="8"/>
      <c r="N366" s="8"/>
      <c r="O366" s="8"/>
      <c r="P366" s="8"/>
    </row>
    <row r="367" ht="12.75" spans="1:16">
      <c r="A367" s="4"/>
      <c r="B367" s="5"/>
      <c r="C367" s="5"/>
      <c r="D367" s="4"/>
      <c r="E367" s="5"/>
      <c r="F367" s="3"/>
      <c r="G367" s="3"/>
      <c r="K367" s="8"/>
      <c r="L367" s="8"/>
      <c r="M367" s="8"/>
      <c r="N367" s="8"/>
      <c r="O367" s="8"/>
      <c r="P367" s="8"/>
    </row>
    <row r="368" ht="12.75" spans="1:16">
      <c r="A368" s="4"/>
      <c r="B368" s="5"/>
      <c r="C368" s="5"/>
      <c r="D368" s="4"/>
      <c r="E368" s="5"/>
      <c r="F368" s="3"/>
      <c r="G368" s="3"/>
      <c r="K368" s="8"/>
      <c r="L368" s="8"/>
      <c r="M368" s="8"/>
      <c r="N368" s="8"/>
      <c r="O368" s="8"/>
      <c r="P368" s="8"/>
    </row>
    <row r="369" ht="12.75" spans="1:16">
      <c r="A369" s="4"/>
      <c r="B369" s="5"/>
      <c r="C369" s="5"/>
      <c r="D369" s="4"/>
      <c r="E369" s="5"/>
      <c r="F369" s="3"/>
      <c r="G369" s="3"/>
      <c r="K369" s="8"/>
      <c r="L369" s="8"/>
      <c r="M369" s="8"/>
      <c r="N369" s="8"/>
      <c r="O369" s="8"/>
      <c r="P369" s="8"/>
    </row>
    <row r="370" ht="12.75" spans="1:16">
      <c r="A370" s="4"/>
      <c r="B370" s="5"/>
      <c r="C370" s="5"/>
      <c r="D370" s="4"/>
      <c r="E370" s="5"/>
      <c r="F370" s="3"/>
      <c r="G370" s="3"/>
      <c r="K370" s="8"/>
      <c r="L370" s="8"/>
      <c r="M370" s="8"/>
      <c r="N370" s="8"/>
      <c r="O370" s="8"/>
      <c r="P370" s="8"/>
    </row>
    <row r="371" ht="12.75" spans="1:16">
      <c r="A371" s="4"/>
      <c r="B371" s="5"/>
      <c r="C371" s="5"/>
      <c r="D371" s="4"/>
      <c r="E371" s="5"/>
      <c r="F371" s="3"/>
      <c r="G371" s="3"/>
      <c r="K371" s="8"/>
      <c r="L371" s="8"/>
      <c r="M371" s="8"/>
      <c r="N371" s="8"/>
      <c r="O371" s="8"/>
      <c r="P371" s="8"/>
    </row>
    <row r="372" ht="12.75" spans="1:16">
      <c r="A372" s="4"/>
      <c r="B372" s="5"/>
      <c r="C372" s="5"/>
      <c r="D372" s="4"/>
      <c r="E372" s="5"/>
      <c r="F372" s="3"/>
      <c r="G372" s="3"/>
      <c r="K372" s="8"/>
      <c r="L372" s="8"/>
      <c r="M372" s="8"/>
      <c r="N372" s="8"/>
      <c r="O372" s="8"/>
      <c r="P372" s="8"/>
    </row>
    <row r="373" ht="12.75" spans="1:16">
      <c r="A373" s="4"/>
      <c r="B373" s="5"/>
      <c r="C373" s="5"/>
      <c r="D373" s="4"/>
      <c r="E373" s="5"/>
      <c r="F373" s="3"/>
      <c r="G373" s="3"/>
      <c r="K373" s="8"/>
      <c r="L373" s="8"/>
      <c r="M373" s="8"/>
      <c r="N373" s="8"/>
      <c r="O373" s="8"/>
      <c r="P373" s="8"/>
    </row>
    <row r="374" ht="12.75" spans="1:16">
      <c r="A374" s="4"/>
      <c r="B374" s="5"/>
      <c r="C374" s="5"/>
      <c r="D374" s="4"/>
      <c r="E374" s="5"/>
      <c r="F374" s="3"/>
      <c r="G374" s="3"/>
      <c r="K374" s="8"/>
      <c r="L374" s="8"/>
      <c r="M374" s="8"/>
      <c r="N374" s="8"/>
      <c r="O374" s="8"/>
      <c r="P374" s="8"/>
    </row>
    <row r="375" ht="12.75" spans="1:16">
      <c r="A375" s="4"/>
      <c r="B375" s="5"/>
      <c r="C375" s="5"/>
      <c r="D375" s="4"/>
      <c r="E375" s="5"/>
      <c r="F375" s="3"/>
      <c r="G375" s="3"/>
      <c r="K375" s="8"/>
      <c r="L375" s="8"/>
      <c r="M375" s="8"/>
      <c r="N375" s="8"/>
      <c r="O375" s="8"/>
      <c r="P375" s="8"/>
    </row>
    <row r="376" ht="12.75" spans="1:16">
      <c r="A376" s="4"/>
      <c r="B376" s="5"/>
      <c r="C376" s="5"/>
      <c r="D376" s="4"/>
      <c r="E376" s="5"/>
      <c r="F376" s="3"/>
      <c r="G376" s="3"/>
      <c r="K376" s="8"/>
      <c r="L376" s="8"/>
      <c r="M376" s="8"/>
      <c r="N376" s="8"/>
      <c r="O376" s="8"/>
      <c r="P376" s="8"/>
    </row>
    <row r="377" ht="12.75" spans="1:16">
      <c r="A377" s="4"/>
      <c r="B377" s="5"/>
      <c r="C377" s="5"/>
      <c r="D377" s="4"/>
      <c r="E377" s="5"/>
      <c r="F377" s="3"/>
      <c r="G377" s="3"/>
      <c r="K377" s="8"/>
      <c r="L377" s="8"/>
      <c r="M377" s="8"/>
      <c r="N377" s="8"/>
      <c r="O377" s="8"/>
      <c r="P377" s="8"/>
    </row>
    <row r="378" ht="12.75" spans="1:16">
      <c r="A378" s="4"/>
      <c r="B378" s="5"/>
      <c r="C378" s="5"/>
      <c r="D378" s="4"/>
      <c r="E378" s="5"/>
      <c r="F378" s="3"/>
      <c r="G378" s="3"/>
      <c r="K378" s="8"/>
      <c r="L378" s="8"/>
      <c r="M378" s="8"/>
      <c r="N378" s="8"/>
      <c r="O378" s="8"/>
      <c r="P378" s="8"/>
    </row>
    <row r="379" ht="12.75" spans="1:16">
      <c r="A379" s="4"/>
      <c r="B379" s="5"/>
      <c r="C379" s="5"/>
      <c r="D379" s="4"/>
      <c r="E379" s="5"/>
      <c r="F379" s="3"/>
      <c r="G379" s="3"/>
      <c r="K379" s="8"/>
      <c r="L379" s="8"/>
      <c r="M379" s="8"/>
      <c r="N379" s="8"/>
      <c r="O379" s="8"/>
      <c r="P379" s="8"/>
    </row>
    <row r="380" ht="12.75" spans="1:16">
      <c r="A380" s="4"/>
      <c r="B380" s="5"/>
      <c r="C380" s="5"/>
      <c r="D380" s="4"/>
      <c r="E380" s="5"/>
      <c r="F380" s="3"/>
      <c r="G380" s="3"/>
      <c r="K380" s="8"/>
      <c r="L380" s="8"/>
      <c r="M380" s="8"/>
      <c r="N380" s="8"/>
      <c r="O380" s="8"/>
      <c r="P380" s="8"/>
    </row>
    <row r="381" ht="12.75" spans="1:16">
      <c r="A381" s="4"/>
      <c r="B381" s="5"/>
      <c r="C381" s="5"/>
      <c r="D381" s="4"/>
      <c r="E381" s="5"/>
      <c r="F381" s="3"/>
      <c r="G381" s="3"/>
      <c r="K381" s="8"/>
      <c r="L381" s="8"/>
      <c r="M381" s="8"/>
      <c r="N381" s="8"/>
      <c r="O381" s="8"/>
      <c r="P381" s="8"/>
    </row>
    <row r="382" ht="12.75" spans="1:16">
      <c r="A382" s="4"/>
      <c r="B382" s="5"/>
      <c r="C382" s="5"/>
      <c r="D382" s="4"/>
      <c r="E382" s="5"/>
      <c r="F382" s="3"/>
      <c r="G382" s="3"/>
      <c r="K382" s="8"/>
      <c r="L382" s="8"/>
      <c r="M382" s="8"/>
      <c r="N382" s="8"/>
      <c r="O382" s="8"/>
      <c r="P382" s="8"/>
    </row>
    <row r="383" ht="12.75" spans="1:16">
      <c r="A383" s="4"/>
      <c r="B383" s="5"/>
      <c r="C383" s="5"/>
      <c r="D383" s="4"/>
      <c r="E383" s="5"/>
      <c r="F383" s="3"/>
      <c r="G383" s="3"/>
      <c r="K383" s="8"/>
      <c r="L383" s="8"/>
      <c r="M383" s="8"/>
      <c r="N383" s="8"/>
      <c r="O383" s="8"/>
      <c r="P383" s="8"/>
    </row>
    <row r="384" ht="12.75" spans="1:16">
      <c r="A384" s="4"/>
      <c r="B384" s="5"/>
      <c r="C384" s="5"/>
      <c r="D384" s="4"/>
      <c r="E384" s="5"/>
      <c r="F384" s="3"/>
      <c r="G384" s="3"/>
      <c r="K384" s="8"/>
      <c r="L384" s="8"/>
      <c r="M384" s="8"/>
      <c r="N384" s="8"/>
      <c r="O384" s="8"/>
      <c r="P384" s="8"/>
    </row>
    <row r="385" ht="12.75" spans="1:16">
      <c r="A385" s="4"/>
      <c r="B385" s="5"/>
      <c r="C385" s="5"/>
      <c r="D385" s="4"/>
      <c r="E385" s="5"/>
      <c r="F385" s="3"/>
      <c r="G385" s="3"/>
      <c r="K385" s="8"/>
      <c r="L385" s="8"/>
      <c r="M385" s="8"/>
      <c r="N385" s="8"/>
      <c r="O385" s="8"/>
      <c r="P385" s="8"/>
    </row>
    <row r="386" ht="12.75" spans="1:16">
      <c r="A386" s="4"/>
      <c r="B386" s="5"/>
      <c r="C386" s="5"/>
      <c r="D386" s="4"/>
      <c r="E386" s="5"/>
      <c r="F386" s="3"/>
      <c r="G386" s="3"/>
      <c r="K386" s="8"/>
      <c r="L386" s="8"/>
      <c r="M386" s="8"/>
      <c r="N386" s="8"/>
      <c r="O386" s="8"/>
      <c r="P386" s="8"/>
    </row>
    <row r="387" ht="12.75" spans="1:16">
      <c r="A387" s="4"/>
      <c r="B387" s="5"/>
      <c r="C387" s="5"/>
      <c r="D387" s="4"/>
      <c r="E387" s="5"/>
      <c r="F387" s="3"/>
      <c r="G387" s="3"/>
      <c r="K387" s="8"/>
      <c r="L387" s="8"/>
      <c r="M387" s="8"/>
      <c r="N387" s="8"/>
      <c r="O387" s="8"/>
      <c r="P387" s="8"/>
    </row>
    <row r="388" ht="12.75" spans="1:16">
      <c r="A388" s="4"/>
      <c r="B388" s="5"/>
      <c r="C388" s="5"/>
      <c r="D388" s="4"/>
      <c r="E388" s="5"/>
      <c r="F388" s="3"/>
      <c r="G388" s="3"/>
      <c r="K388" s="8"/>
      <c r="L388" s="8"/>
      <c r="M388" s="8"/>
      <c r="N388" s="8"/>
      <c r="O388" s="8"/>
      <c r="P388" s="8"/>
    </row>
    <row r="389" ht="12.75" spans="1:16">
      <c r="A389" s="4"/>
      <c r="B389" s="5"/>
      <c r="C389" s="5"/>
      <c r="D389" s="4"/>
      <c r="E389" s="5"/>
      <c r="F389" s="3"/>
      <c r="G389" s="3"/>
      <c r="K389" s="8"/>
      <c r="L389" s="8"/>
      <c r="M389" s="8"/>
      <c r="N389" s="8"/>
      <c r="O389" s="8"/>
      <c r="P389" s="8"/>
    </row>
    <row r="390" ht="12.75" spans="1:16">
      <c r="A390" s="4"/>
      <c r="B390" s="5"/>
      <c r="C390" s="5"/>
      <c r="D390" s="4"/>
      <c r="E390" s="5"/>
      <c r="F390" s="3"/>
      <c r="G390" s="3"/>
      <c r="K390" s="8"/>
      <c r="L390" s="8"/>
      <c r="M390" s="8"/>
      <c r="N390" s="8"/>
      <c r="O390" s="8"/>
      <c r="P390" s="8"/>
    </row>
    <row r="391" ht="12.75" spans="1:16">
      <c r="A391" s="4"/>
      <c r="B391" s="5"/>
      <c r="C391" s="5"/>
      <c r="D391" s="4"/>
      <c r="E391" s="5"/>
      <c r="F391" s="3"/>
      <c r="G391" s="3"/>
      <c r="K391" s="8"/>
      <c r="L391" s="8"/>
      <c r="M391" s="8"/>
      <c r="N391" s="8"/>
      <c r="O391" s="8"/>
      <c r="P391" s="8"/>
    </row>
    <row r="392" ht="12.75" spans="1:16">
      <c r="A392" s="4"/>
      <c r="B392" s="5"/>
      <c r="C392" s="5"/>
      <c r="D392" s="4"/>
      <c r="E392" s="5"/>
      <c r="F392" s="3"/>
      <c r="G392" s="3"/>
      <c r="K392" s="8"/>
      <c r="L392" s="8"/>
      <c r="M392" s="8"/>
      <c r="N392" s="8"/>
      <c r="O392" s="8"/>
      <c r="P392" s="8"/>
    </row>
    <row r="393" ht="12.75" spans="1:16">
      <c r="A393" s="4"/>
      <c r="B393" s="5"/>
      <c r="C393" s="5"/>
      <c r="D393" s="4"/>
      <c r="E393" s="5"/>
      <c r="F393" s="3"/>
      <c r="G393" s="3"/>
      <c r="K393" s="8"/>
      <c r="L393" s="8"/>
      <c r="M393" s="8"/>
      <c r="N393" s="8"/>
      <c r="O393" s="8"/>
      <c r="P393" s="8"/>
    </row>
    <row r="394" ht="12.75" spans="1:16">
      <c r="A394" s="4"/>
      <c r="B394" s="5"/>
      <c r="C394" s="5"/>
      <c r="D394" s="4"/>
      <c r="E394" s="5"/>
      <c r="F394" s="3"/>
      <c r="G394" s="3"/>
      <c r="K394" s="8"/>
      <c r="L394" s="8"/>
      <c r="M394" s="8"/>
      <c r="N394" s="8"/>
      <c r="O394" s="8"/>
      <c r="P394" s="8"/>
    </row>
    <row r="395" ht="12.75" spans="1:16">
      <c r="A395" s="4"/>
      <c r="B395" s="5"/>
      <c r="C395" s="5"/>
      <c r="D395" s="4"/>
      <c r="E395" s="5"/>
      <c r="F395" s="3"/>
      <c r="G395" s="3"/>
      <c r="K395" s="8"/>
      <c r="L395" s="8"/>
      <c r="M395" s="8"/>
      <c r="N395" s="8"/>
      <c r="O395" s="8"/>
      <c r="P395" s="8"/>
    </row>
    <row r="396" ht="12.75" spans="1:16">
      <c r="A396" s="4"/>
      <c r="B396" s="5"/>
      <c r="C396" s="5"/>
      <c r="D396" s="4"/>
      <c r="E396" s="5"/>
      <c r="F396" s="3"/>
      <c r="G396" s="3"/>
      <c r="K396" s="8"/>
      <c r="L396" s="8"/>
      <c r="M396" s="8"/>
      <c r="N396" s="8"/>
      <c r="O396" s="8"/>
      <c r="P396" s="8"/>
    </row>
    <row r="397" ht="12.75" spans="1:16">
      <c r="A397" s="4"/>
      <c r="B397" s="5"/>
      <c r="C397" s="5"/>
      <c r="D397" s="4"/>
      <c r="E397" s="5"/>
      <c r="F397" s="3"/>
      <c r="G397" s="3"/>
      <c r="K397" s="8"/>
      <c r="L397" s="8"/>
      <c r="M397" s="8"/>
      <c r="N397" s="8"/>
      <c r="O397" s="8"/>
      <c r="P397" s="8"/>
    </row>
    <row r="398" ht="12.75" spans="1:16">
      <c r="A398" s="4"/>
      <c r="B398" s="5"/>
      <c r="C398" s="5"/>
      <c r="D398" s="4"/>
      <c r="E398" s="5"/>
      <c r="F398" s="3"/>
      <c r="G398" s="3"/>
      <c r="K398" s="8"/>
      <c r="L398" s="8"/>
      <c r="M398" s="8"/>
      <c r="N398" s="8"/>
      <c r="O398" s="8"/>
      <c r="P398" s="8"/>
    </row>
    <row r="399" ht="12.75" spans="1:16">
      <c r="A399" s="4"/>
      <c r="B399" s="5"/>
      <c r="C399" s="5"/>
      <c r="D399" s="4"/>
      <c r="E399" s="5"/>
      <c r="F399" s="3"/>
      <c r="G399" s="3"/>
      <c r="K399" s="8"/>
      <c r="L399" s="8"/>
      <c r="M399" s="8"/>
      <c r="N399" s="8"/>
      <c r="O399" s="8"/>
      <c r="P399" s="8"/>
    </row>
    <row r="400" ht="12.75" spans="1:16">
      <c r="A400" s="4"/>
      <c r="B400" s="5"/>
      <c r="C400" s="5"/>
      <c r="D400" s="4"/>
      <c r="E400" s="5"/>
      <c r="F400" s="3"/>
      <c r="G400" s="3"/>
      <c r="K400" s="8"/>
      <c r="L400" s="8"/>
      <c r="M400" s="8"/>
      <c r="N400" s="8"/>
      <c r="O400" s="8"/>
      <c r="P400" s="8"/>
    </row>
    <row r="401" ht="12.75" spans="1:16">
      <c r="A401" s="4"/>
      <c r="B401" s="5"/>
      <c r="C401" s="5"/>
      <c r="D401" s="4"/>
      <c r="E401" s="5"/>
      <c r="F401" s="3"/>
      <c r="G401" s="3"/>
      <c r="K401" s="8"/>
      <c r="L401" s="8"/>
      <c r="M401" s="8"/>
      <c r="N401" s="8"/>
      <c r="O401" s="8"/>
      <c r="P401" s="8"/>
    </row>
    <row r="402" ht="12.75" spans="1:16">
      <c r="A402" s="4"/>
      <c r="B402" s="5"/>
      <c r="C402" s="5"/>
      <c r="D402" s="4"/>
      <c r="E402" s="5"/>
      <c r="F402" s="3"/>
      <c r="G402" s="3"/>
      <c r="K402" s="8"/>
      <c r="L402" s="8"/>
      <c r="M402" s="8"/>
      <c r="N402" s="8"/>
      <c r="O402" s="8"/>
      <c r="P402" s="8"/>
    </row>
    <row r="403" ht="12.75" spans="1:16">
      <c r="A403" s="4"/>
      <c r="B403" s="5"/>
      <c r="C403" s="5"/>
      <c r="D403" s="4"/>
      <c r="E403" s="5"/>
      <c r="F403" s="3"/>
      <c r="G403" s="3"/>
      <c r="K403" s="8"/>
      <c r="L403" s="8"/>
      <c r="M403" s="8"/>
      <c r="N403" s="8"/>
      <c r="O403" s="8"/>
      <c r="P403" s="8"/>
    </row>
    <row r="404" ht="12.75" spans="1:16">
      <c r="A404" s="4"/>
      <c r="B404" s="5"/>
      <c r="C404" s="5"/>
      <c r="D404" s="4"/>
      <c r="E404" s="5"/>
      <c r="F404" s="3"/>
      <c r="G404" s="3"/>
      <c r="K404" s="8"/>
      <c r="L404" s="8"/>
      <c r="M404" s="8"/>
      <c r="N404" s="8"/>
      <c r="O404" s="8"/>
      <c r="P404" s="8"/>
    </row>
    <row r="405" ht="12.75" spans="1:16">
      <c r="A405" s="4"/>
      <c r="B405" s="5"/>
      <c r="C405" s="5"/>
      <c r="D405" s="4"/>
      <c r="E405" s="5"/>
      <c r="F405" s="3"/>
      <c r="G405" s="3"/>
      <c r="K405" s="8"/>
      <c r="L405" s="8"/>
      <c r="M405" s="8"/>
      <c r="N405" s="8"/>
      <c r="O405" s="8"/>
      <c r="P405" s="8"/>
    </row>
    <row r="406" ht="12.75" spans="1:16">
      <c r="A406" s="4"/>
      <c r="B406" s="5"/>
      <c r="C406" s="5"/>
      <c r="D406" s="4"/>
      <c r="E406" s="5"/>
      <c r="F406" s="3"/>
      <c r="G406" s="3"/>
      <c r="K406" s="8"/>
      <c r="L406" s="8"/>
      <c r="M406" s="8"/>
      <c r="N406" s="8"/>
      <c r="O406" s="8"/>
      <c r="P406" s="8"/>
    </row>
    <row r="407" ht="12.75" spans="1:16">
      <c r="A407" s="4"/>
      <c r="B407" s="5"/>
      <c r="C407" s="5"/>
      <c r="D407" s="4"/>
      <c r="E407" s="5"/>
      <c r="F407" s="3"/>
      <c r="G407" s="3"/>
      <c r="K407" s="8"/>
      <c r="L407" s="8"/>
      <c r="M407" s="8"/>
      <c r="N407" s="8"/>
      <c r="O407" s="8"/>
      <c r="P407" s="8"/>
    </row>
    <row r="408" ht="12.75" spans="1:16">
      <c r="A408" s="4"/>
      <c r="B408" s="5"/>
      <c r="C408" s="5"/>
      <c r="D408" s="4"/>
      <c r="E408" s="5"/>
      <c r="F408" s="3"/>
      <c r="G408" s="3"/>
      <c r="K408" s="8"/>
      <c r="L408" s="8"/>
      <c r="M408" s="8"/>
      <c r="N408" s="8"/>
      <c r="O408" s="8"/>
      <c r="P408" s="8"/>
    </row>
    <row r="409" ht="12.75" spans="1:16">
      <c r="A409" s="4"/>
      <c r="B409" s="5"/>
      <c r="C409" s="5"/>
      <c r="D409" s="4"/>
      <c r="E409" s="5"/>
      <c r="F409" s="3"/>
      <c r="G409" s="3"/>
      <c r="K409" s="8"/>
      <c r="L409" s="8"/>
      <c r="M409" s="8"/>
      <c r="N409" s="8"/>
      <c r="O409" s="8"/>
      <c r="P409" s="8"/>
    </row>
    <row r="410" ht="12.75" spans="1:16">
      <c r="A410" s="4"/>
      <c r="B410" s="5"/>
      <c r="C410" s="5"/>
      <c r="D410" s="4"/>
      <c r="E410" s="5"/>
      <c r="F410" s="3"/>
      <c r="G410" s="3"/>
      <c r="K410" s="8"/>
      <c r="L410" s="8"/>
      <c r="M410" s="8"/>
      <c r="N410" s="8"/>
      <c r="O410" s="8"/>
      <c r="P410" s="8"/>
    </row>
    <row r="411" ht="12.75" spans="1:16">
      <c r="A411" s="4"/>
      <c r="B411" s="5"/>
      <c r="C411" s="5"/>
      <c r="D411" s="4"/>
      <c r="E411" s="5"/>
      <c r="F411" s="3"/>
      <c r="G411" s="3"/>
      <c r="K411" s="8"/>
      <c r="L411" s="8"/>
      <c r="M411" s="8"/>
      <c r="N411" s="8"/>
      <c r="O411" s="8"/>
      <c r="P411" s="8"/>
    </row>
    <row r="412" ht="12.75" spans="1:16">
      <c r="A412" s="4"/>
      <c r="B412" s="5"/>
      <c r="C412" s="5"/>
      <c r="D412" s="4"/>
      <c r="E412" s="5"/>
      <c r="F412" s="3"/>
      <c r="G412" s="3"/>
      <c r="K412" s="8"/>
      <c r="L412" s="8"/>
      <c r="M412" s="8"/>
      <c r="N412" s="8"/>
      <c r="O412" s="8"/>
      <c r="P412" s="8"/>
    </row>
    <row r="413" ht="12.75" spans="1:16">
      <c r="A413" s="4"/>
      <c r="B413" s="5"/>
      <c r="C413" s="5"/>
      <c r="D413" s="4"/>
      <c r="E413" s="5"/>
      <c r="F413" s="3"/>
      <c r="G413" s="3"/>
      <c r="K413" s="8"/>
      <c r="L413" s="8"/>
      <c r="M413" s="8"/>
      <c r="N413" s="8"/>
      <c r="O413" s="8"/>
      <c r="P413" s="8"/>
    </row>
    <row r="414" ht="12.75" spans="1:16">
      <c r="A414" s="4"/>
      <c r="B414" s="5"/>
      <c r="C414" s="5"/>
      <c r="D414" s="4"/>
      <c r="E414" s="5"/>
      <c r="F414" s="3"/>
      <c r="G414" s="3"/>
      <c r="K414" s="8"/>
      <c r="L414" s="8"/>
      <c r="M414" s="8"/>
      <c r="N414" s="8"/>
      <c r="O414" s="8"/>
      <c r="P414" s="8"/>
    </row>
    <row r="415" ht="12.75" spans="1:16">
      <c r="A415" s="4"/>
      <c r="B415" s="5"/>
      <c r="C415" s="5"/>
      <c r="D415" s="4"/>
      <c r="E415" s="5"/>
      <c r="F415" s="3"/>
      <c r="G415" s="3"/>
      <c r="K415" s="8"/>
      <c r="L415" s="8"/>
      <c r="M415" s="8"/>
      <c r="N415" s="8"/>
      <c r="O415" s="8"/>
      <c r="P415" s="8"/>
    </row>
    <row r="416" ht="12.75" spans="1:16">
      <c r="A416" s="4"/>
      <c r="B416" s="5"/>
      <c r="C416" s="5"/>
      <c r="D416" s="4"/>
      <c r="E416" s="5"/>
      <c r="F416" s="3"/>
      <c r="G416" s="3"/>
      <c r="K416" s="8"/>
      <c r="L416" s="8"/>
      <c r="M416" s="8"/>
      <c r="N416" s="8"/>
      <c r="O416" s="8"/>
      <c r="P416" s="8"/>
    </row>
    <row r="417" ht="12.75" spans="1:16">
      <c r="A417" s="4"/>
      <c r="B417" s="5"/>
      <c r="C417" s="5"/>
      <c r="D417" s="4"/>
      <c r="E417" s="5"/>
      <c r="F417" s="3"/>
      <c r="G417" s="3"/>
      <c r="K417" s="8"/>
      <c r="L417" s="8"/>
      <c r="M417" s="8"/>
      <c r="N417" s="8"/>
      <c r="O417" s="8"/>
      <c r="P417" s="8"/>
    </row>
    <row r="418" ht="12.75" spans="1:16">
      <c r="A418" s="4"/>
      <c r="B418" s="5"/>
      <c r="C418" s="5"/>
      <c r="D418" s="4"/>
      <c r="E418" s="5"/>
      <c r="F418" s="3"/>
      <c r="G418" s="3"/>
      <c r="K418" s="8"/>
      <c r="L418" s="8"/>
      <c r="M418" s="8"/>
      <c r="N418" s="8"/>
      <c r="O418" s="8"/>
      <c r="P418" s="8"/>
    </row>
    <row r="419" ht="12.75" spans="1:16">
      <c r="A419" s="4"/>
      <c r="B419" s="5"/>
      <c r="C419" s="5"/>
      <c r="D419" s="4"/>
      <c r="E419" s="5"/>
      <c r="F419" s="3"/>
      <c r="G419" s="3"/>
      <c r="K419" s="8"/>
      <c r="L419" s="8"/>
      <c r="M419" s="8"/>
      <c r="N419" s="8"/>
      <c r="O419" s="8"/>
      <c r="P419" s="8"/>
    </row>
    <row r="420" ht="12.75" spans="1:16">
      <c r="A420" s="4"/>
      <c r="B420" s="5"/>
      <c r="C420" s="5"/>
      <c r="D420" s="4"/>
      <c r="E420" s="5"/>
      <c r="F420" s="3"/>
      <c r="G420" s="3"/>
      <c r="K420" s="8"/>
      <c r="L420" s="8"/>
      <c r="M420" s="8"/>
      <c r="N420" s="8"/>
      <c r="O420" s="8"/>
      <c r="P420" s="8"/>
    </row>
    <row r="421" ht="12.75" spans="1:16">
      <c r="A421" s="4"/>
      <c r="B421" s="5"/>
      <c r="C421" s="5"/>
      <c r="D421" s="4"/>
      <c r="E421" s="5"/>
      <c r="F421" s="3"/>
      <c r="G421" s="3"/>
      <c r="K421" s="8"/>
      <c r="L421" s="8"/>
      <c r="M421" s="8"/>
      <c r="N421" s="8"/>
      <c r="O421" s="8"/>
      <c r="P421" s="8"/>
    </row>
    <row r="422" ht="12.75" spans="1:16">
      <c r="A422" s="4"/>
      <c r="B422" s="5"/>
      <c r="C422" s="5"/>
      <c r="D422" s="4"/>
      <c r="E422" s="5"/>
      <c r="F422" s="3"/>
      <c r="G422" s="3"/>
      <c r="K422" s="8"/>
      <c r="L422" s="8"/>
      <c r="M422" s="8"/>
      <c r="N422" s="8"/>
      <c r="O422" s="8"/>
      <c r="P422" s="8"/>
    </row>
    <row r="423" ht="12.75" spans="1:16">
      <c r="A423" s="4"/>
      <c r="B423" s="5"/>
      <c r="C423" s="5"/>
      <c r="D423" s="4"/>
      <c r="E423" s="5"/>
      <c r="F423" s="3"/>
      <c r="G423" s="3"/>
      <c r="K423" s="8"/>
      <c r="L423" s="8"/>
      <c r="M423" s="8"/>
      <c r="N423" s="8"/>
      <c r="O423" s="8"/>
      <c r="P423" s="8"/>
    </row>
    <row r="424" ht="12.75" spans="1:16">
      <c r="A424" s="4"/>
      <c r="B424" s="5"/>
      <c r="C424" s="5"/>
      <c r="D424" s="4"/>
      <c r="E424" s="5"/>
      <c r="F424" s="3"/>
      <c r="G424" s="3"/>
      <c r="K424" s="8"/>
      <c r="L424" s="8"/>
      <c r="M424" s="8"/>
      <c r="N424" s="8"/>
      <c r="O424" s="8"/>
      <c r="P424" s="8"/>
    </row>
    <row r="425" ht="12.75" spans="1:16">
      <c r="A425" s="4"/>
      <c r="B425" s="5"/>
      <c r="C425" s="5"/>
      <c r="D425" s="4"/>
      <c r="E425" s="5"/>
      <c r="F425" s="3"/>
      <c r="G425" s="3"/>
      <c r="K425" s="8"/>
      <c r="L425" s="8"/>
      <c r="M425" s="8"/>
      <c r="N425" s="8"/>
      <c r="O425" s="8"/>
      <c r="P425" s="8"/>
    </row>
    <row r="426" ht="12.75" spans="1:16">
      <c r="A426" s="4"/>
      <c r="B426" s="5"/>
      <c r="C426" s="5"/>
      <c r="D426" s="4"/>
      <c r="E426" s="5"/>
      <c r="F426" s="3"/>
      <c r="G426" s="3"/>
      <c r="K426" s="8"/>
      <c r="L426" s="8"/>
      <c r="M426" s="8"/>
      <c r="N426" s="8"/>
      <c r="O426" s="8"/>
      <c r="P426" s="8"/>
    </row>
    <row r="427" ht="12.75" spans="1:16">
      <c r="A427" s="4"/>
      <c r="B427" s="5"/>
      <c r="C427" s="5"/>
      <c r="D427" s="4"/>
      <c r="E427" s="5"/>
      <c r="F427" s="3"/>
      <c r="G427" s="3"/>
      <c r="K427" s="8"/>
      <c r="L427" s="8"/>
      <c r="M427" s="8"/>
      <c r="N427" s="8"/>
      <c r="O427" s="8"/>
      <c r="P427" s="8"/>
    </row>
    <row r="428" ht="12.75" spans="1:16">
      <c r="A428" s="4"/>
      <c r="B428" s="5"/>
      <c r="C428" s="5"/>
      <c r="D428" s="4"/>
      <c r="E428" s="5"/>
      <c r="F428" s="3"/>
      <c r="G428" s="3"/>
      <c r="K428" s="8"/>
      <c r="L428" s="8"/>
      <c r="M428" s="8"/>
      <c r="N428" s="8"/>
      <c r="O428" s="8"/>
      <c r="P428" s="8"/>
    </row>
    <row r="429" ht="12.75" spans="1:16">
      <c r="A429" s="4"/>
      <c r="B429" s="5"/>
      <c r="C429" s="5"/>
      <c r="D429" s="4"/>
      <c r="E429" s="5"/>
      <c r="F429" s="3"/>
      <c r="G429" s="3"/>
      <c r="K429" s="8"/>
      <c r="L429" s="8"/>
      <c r="M429" s="8"/>
      <c r="N429" s="8"/>
      <c r="O429" s="8"/>
      <c r="P429" s="8"/>
    </row>
    <row r="430" ht="12.75" spans="1:16">
      <c r="A430" s="4"/>
      <c r="B430" s="5"/>
      <c r="C430" s="5"/>
      <c r="D430" s="4"/>
      <c r="E430" s="5"/>
      <c r="F430" s="3"/>
      <c r="G430" s="3"/>
      <c r="K430" s="8"/>
      <c r="L430" s="8"/>
      <c r="M430" s="8"/>
      <c r="N430" s="8"/>
      <c r="O430" s="8"/>
      <c r="P430" s="8"/>
    </row>
    <row r="431" ht="12.75" spans="1:16">
      <c r="A431" s="4"/>
      <c r="B431" s="5"/>
      <c r="C431" s="5"/>
      <c r="D431" s="4"/>
      <c r="E431" s="5"/>
      <c r="F431" s="3"/>
      <c r="G431" s="3"/>
      <c r="K431" s="8"/>
      <c r="L431" s="8"/>
      <c r="M431" s="8"/>
      <c r="N431" s="8"/>
      <c r="O431" s="8"/>
      <c r="P431" s="8"/>
    </row>
    <row r="432" ht="12.75" spans="1:16">
      <c r="A432" s="4"/>
      <c r="B432" s="5"/>
      <c r="C432" s="5"/>
      <c r="D432" s="4"/>
      <c r="E432" s="5"/>
      <c r="F432" s="3"/>
      <c r="G432" s="3"/>
      <c r="K432" s="8"/>
      <c r="L432" s="8"/>
      <c r="M432" s="8"/>
      <c r="N432" s="8"/>
      <c r="O432" s="8"/>
      <c r="P432" s="8"/>
    </row>
    <row r="433" ht="12.75" spans="1:16">
      <c r="A433" s="4"/>
      <c r="B433" s="5"/>
      <c r="C433" s="5"/>
      <c r="D433" s="4"/>
      <c r="E433" s="5"/>
      <c r="F433" s="3"/>
      <c r="G433" s="3"/>
      <c r="K433" s="8"/>
      <c r="L433" s="8"/>
      <c r="M433" s="8"/>
      <c r="N433" s="8"/>
      <c r="O433" s="8"/>
      <c r="P433" s="8"/>
    </row>
    <row r="434" ht="12.75" spans="1:16">
      <c r="A434" s="4"/>
      <c r="B434" s="5"/>
      <c r="C434" s="5"/>
      <c r="D434" s="4"/>
      <c r="E434" s="5"/>
      <c r="F434" s="3"/>
      <c r="G434" s="3"/>
      <c r="K434" s="8"/>
      <c r="L434" s="8"/>
      <c r="M434" s="8"/>
      <c r="N434" s="8"/>
      <c r="O434" s="8"/>
      <c r="P434" s="8"/>
    </row>
    <row r="435" ht="12.75" spans="1:16">
      <c r="A435" s="4"/>
      <c r="B435" s="5"/>
      <c r="C435" s="5"/>
      <c r="D435" s="4"/>
      <c r="E435" s="5"/>
      <c r="F435" s="3"/>
      <c r="G435" s="3"/>
      <c r="K435" s="8"/>
      <c r="L435" s="8"/>
      <c r="M435" s="8"/>
      <c r="N435" s="8"/>
      <c r="O435" s="8"/>
      <c r="P435" s="8"/>
    </row>
    <row r="436" ht="12.75" spans="1:16">
      <c r="A436" s="4"/>
      <c r="B436" s="5"/>
      <c r="C436" s="5"/>
      <c r="D436" s="4"/>
      <c r="E436" s="5"/>
      <c r="F436" s="3"/>
      <c r="G436" s="3"/>
      <c r="K436" s="8"/>
      <c r="L436" s="8"/>
      <c r="M436" s="8"/>
      <c r="N436" s="8"/>
      <c r="O436" s="8"/>
      <c r="P436" s="8"/>
    </row>
    <row r="437" ht="12.75" spans="1:16">
      <c r="A437" s="4"/>
      <c r="B437" s="5"/>
      <c r="C437" s="5"/>
      <c r="D437" s="4"/>
      <c r="E437" s="5"/>
      <c r="F437" s="3"/>
      <c r="G437" s="3"/>
      <c r="K437" s="8"/>
      <c r="L437" s="8"/>
      <c r="M437" s="8"/>
      <c r="N437" s="8"/>
      <c r="O437" s="8"/>
      <c r="P437" s="8"/>
    </row>
    <row r="438" ht="12.75" spans="1:16">
      <c r="A438" s="4"/>
      <c r="B438" s="5"/>
      <c r="C438" s="5"/>
      <c r="D438" s="4"/>
      <c r="E438" s="5"/>
      <c r="F438" s="3"/>
      <c r="G438" s="3"/>
      <c r="K438" s="8"/>
      <c r="L438" s="8"/>
      <c r="M438" s="8"/>
      <c r="N438" s="8"/>
      <c r="O438" s="8"/>
      <c r="P438" s="8"/>
    </row>
    <row r="439" ht="12.75" spans="1:16">
      <c r="A439" s="4"/>
      <c r="B439" s="5"/>
      <c r="C439" s="5"/>
      <c r="D439" s="4"/>
      <c r="E439" s="5"/>
      <c r="F439" s="3"/>
      <c r="G439" s="3"/>
      <c r="K439" s="8"/>
      <c r="L439" s="8"/>
      <c r="M439" s="8"/>
      <c r="N439" s="8"/>
      <c r="O439" s="8"/>
      <c r="P439" s="8"/>
    </row>
    <row r="440" ht="12.75" spans="1:16">
      <c r="A440" s="4"/>
      <c r="B440" s="5"/>
      <c r="C440" s="5"/>
      <c r="D440" s="4"/>
      <c r="E440" s="5"/>
      <c r="F440" s="3"/>
      <c r="G440" s="3"/>
      <c r="K440" s="8"/>
      <c r="L440" s="8"/>
      <c r="M440" s="8"/>
      <c r="N440" s="8"/>
      <c r="O440" s="8"/>
      <c r="P440" s="8"/>
    </row>
    <row r="441" ht="12.75" spans="1:16">
      <c r="A441" s="4"/>
      <c r="B441" s="5"/>
      <c r="C441" s="5"/>
      <c r="D441" s="4"/>
      <c r="E441" s="5"/>
      <c r="F441" s="3"/>
      <c r="G441" s="3"/>
      <c r="K441" s="8"/>
      <c r="L441" s="8"/>
      <c r="M441" s="8"/>
      <c r="N441" s="8"/>
      <c r="O441" s="8"/>
      <c r="P441" s="8"/>
    </row>
    <row r="442" ht="12.75" spans="1:16">
      <c r="A442" s="4"/>
      <c r="B442" s="5"/>
      <c r="C442" s="5"/>
      <c r="D442" s="4"/>
      <c r="E442" s="5"/>
      <c r="F442" s="3"/>
      <c r="G442" s="3"/>
      <c r="K442" s="8"/>
      <c r="L442" s="8"/>
      <c r="M442" s="8"/>
      <c r="N442" s="8"/>
      <c r="O442" s="8"/>
      <c r="P442" s="8"/>
    </row>
    <row r="443" ht="12.75" spans="1:16">
      <c r="A443" s="4"/>
      <c r="B443" s="5"/>
      <c r="C443" s="5"/>
      <c r="D443" s="4"/>
      <c r="E443" s="5"/>
      <c r="F443" s="3"/>
      <c r="G443" s="3"/>
      <c r="K443" s="8"/>
      <c r="L443" s="8"/>
      <c r="M443" s="8"/>
      <c r="N443" s="8"/>
      <c r="O443" s="8"/>
      <c r="P443" s="8"/>
    </row>
    <row r="444" ht="12.75" spans="1:16">
      <c r="A444" s="4"/>
      <c r="B444" s="5"/>
      <c r="C444" s="5"/>
      <c r="D444" s="4"/>
      <c r="E444" s="5"/>
      <c r="F444" s="3"/>
      <c r="G444" s="3"/>
      <c r="K444" s="8"/>
      <c r="L444" s="8"/>
      <c r="M444" s="8"/>
      <c r="N444" s="8"/>
      <c r="O444" s="8"/>
      <c r="P444" s="8"/>
    </row>
    <row r="445" ht="12.75" spans="1:16">
      <c r="A445" s="4"/>
      <c r="B445" s="5"/>
      <c r="C445" s="5"/>
      <c r="D445" s="4"/>
      <c r="E445" s="5"/>
      <c r="F445" s="3"/>
      <c r="G445" s="3"/>
      <c r="K445" s="8"/>
      <c r="L445" s="8"/>
      <c r="M445" s="8"/>
      <c r="N445" s="8"/>
      <c r="O445" s="8"/>
      <c r="P445" s="8"/>
    </row>
    <row r="446" ht="12.75" spans="1:16">
      <c r="A446" s="4"/>
      <c r="B446" s="5"/>
      <c r="C446" s="5"/>
      <c r="D446" s="4"/>
      <c r="E446" s="5"/>
      <c r="F446" s="3"/>
      <c r="G446" s="3"/>
      <c r="K446" s="8"/>
      <c r="L446" s="8"/>
      <c r="M446" s="8"/>
      <c r="N446" s="8"/>
      <c r="O446" s="8"/>
      <c r="P446" s="8"/>
    </row>
    <row r="447" ht="12.75" spans="1:16">
      <c r="A447" s="4"/>
      <c r="B447" s="5"/>
      <c r="C447" s="5"/>
      <c r="D447" s="4"/>
      <c r="E447" s="5"/>
      <c r="F447" s="3"/>
      <c r="G447" s="3"/>
      <c r="K447" s="8"/>
      <c r="L447" s="8"/>
      <c r="M447" s="8"/>
      <c r="N447" s="8"/>
      <c r="O447" s="8"/>
      <c r="P447" s="8"/>
    </row>
    <row r="448" ht="12.75" spans="1:16">
      <c r="A448" s="4"/>
      <c r="B448" s="5"/>
      <c r="C448" s="5"/>
      <c r="D448" s="4"/>
      <c r="E448" s="5"/>
      <c r="F448" s="3"/>
      <c r="G448" s="3"/>
      <c r="K448" s="8"/>
      <c r="L448" s="8"/>
      <c r="M448" s="8"/>
      <c r="N448" s="8"/>
      <c r="O448" s="8"/>
      <c r="P448" s="8"/>
    </row>
    <row r="449" ht="12.75" spans="1:16">
      <c r="A449" s="4"/>
      <c r="B449" s="5"/>
      <c r="C449" s="5"/>
      <c r="D449" s="4"/>
      <c r="E449" s="5"/>
      <c r="F449" s="3"/>
      <c r="G449" s="3"/>
      <c r="K449" s="8"/>
      <c r="L449" s="8"/>
      <c r="M449" s="8"/>
      <c r="N449" s="8"/>
      <c r="O449" s="8"/>
      <c r="P449" s="8"/>
    </row>
    <row r="450" ht="12.75" spans="1:16">
      <c r="A450" s="4"/>
      <c r="B450" s="5"/>
      <c r="C450" s="5"/>
      <c r="D450" s="4"/>
      <c r="E450" s="5"/>
      <c r="F450" s="3"/>
      <c r="G450" s="3"/>
      <c r="K450" s="8"/>
      <c r="L450" s="8"/>
      <c r="M450" s="8"/>
      <c r="N450" s="8"/>
      <c r="O450" s="8"/>
      <c r="P450" s="8"/>
    </row>
    <row r="451" ht="12.75" spans="1:16">
      <c r="A451" s="4"/>
      <c r="B451" s="5"/>
      <c r="C451" s="5"/>
      <c r="D451" s="4"/>
      <c r="E451" s="5"/>
      <c r="F451" s="3"/>
      <c r="G451" s="3"/>
      <c r="K451" s="8"/>
      <c r="L451" s="8"/>
      <c r="M451" s="8"/>
      <c r="N451" s="8"/>
      <c r="O451" s="8"/>
      <c r="P451" s="8"/>
    </row>
    <row r="452" ht="12.75" spans="1:16">
      <c r="A452" s="4"/>
      <c r="B452" s="5"/>
      <c r="C452" s="5"/>
      <c r="D452" s="4"/>
      <c r="E452" s="5"/>
      <c r="F452" s="3"/>
      <c r="G452" s="3"/>
      <c r="K452" s="8"/>
      <c r="L452" s="8"/>
      <c r="M452" s="8"/>
      <c r="N452" s="8"/>
      <c r="O452" s="8"/>
      <c r="P452" s="8"/>
    </row>
    <row r="453" ht="12.75" spans="1:16">
      <c r="A453" s="4"/>
      <c r="B453" s="5"/>
      <c r="C453" s="5"/>
      <c r="D453" s="4"/>
      <c r="E453" s="5"/>
      <c r="F453" s="3"/>
      <c r="G453" s="3"/>
      <c r="K453" s="8"/>
      <c r="L453" s="8"/>
      <c r="M453" s="8"/>
      <c r="N453" s="8"/>
      <c r="O453" s="8"/>
      <c r="P453" s="8"/>
    </row>
    <row r="454" ht="12.75" spans="1:16">
      <c r="A454" s="4"/>
      <c r="B454" s="5"/>
      <c r="C454" s="5"/>
      <c r="D454" s="4"/>
      <c r="E454" s="5"/>
      <c r="F454" s="3"/>
      <c r="G454" s="3"/>
      <c r="K454" s="8"/>
      <c r="L454" s="8"/>
      <c r="M454" s="8"/>
      <c r="N454" s="8"/>
      <c r="O454" s="8"/>
      <c r="P454" s="8"/>
    </row>
    <row r="455" ht="12.75" spans="1:16">
      <c r="A455" s="4"/>
      <c r="B455" s="5"/>
      <c r="C455" s="5"/>
      <c r="D455" s="4"/>
      <c r="E455" s="5"/>
      <c r="F455" s="3"/>
      <c r="G455" s="3"/>
      <c r="K455" s="8"/>
      <c r="L455" s="8"/>
      <c r="M455" s="8"/>
      <c r="N455" s="8"/>
      <c r="O455" s="8"/>
      <c r="P455" s="8"/>
    </row>
    <row r="456" ht="12.75" spans="1:16">
      <c r="A456" s="4"/>
      <c r="B456" s="5"/>
      <c r="C456" s="5"/>
      <c r="D456" s="4"/>
      <c r="E456" s="5"/>
      <c r="F456" s="3"/>
      <c r="G456" s="3"/>
      <c r="K456" s="8"/>
      <c r="L456" s="8"/>
      <c r="M456" s="8"/>
      <c r="N456" s="8"/>
      <c r="O456" s="8"/>
      <c r="P456" s="8"/>
    </row>
    <row r="457" ht="12.75" spans="1:16">
      <c r="A457" s="4"/>
      <c r="B457" s="5"/>
      <c r="C457" s="5"/>
      <c r="D457" s="4"/>
      <c r="E457" s="5"/>
      <c r="F457" s="3"/>
      <c r="G457" s="3"/>
      <c r="K457" s="8"/>
      <c r="L457" s="8"/>
      <c r="M457" s="8"/>
      <c r="N457" s="8"/>
      <c r="O457" s="8"/>
      <c r="P457" s="8"/>
    </row>
    <row r="458" ht="12.75" spans="1:16">
      <c r="A458" s="4"/>
      <c r="B458" s="5"/>
      <c r="C458" s="5"/>
      <c r="D458" s="4"/>
      <c r="E458" s="5"/>
      <c r="F458" s="3"/>
      <c r="G458" s="3"/>
      <c r="K458" s="8"/>
      <c r="L458" s="8"/>
      <c r="M458" s="8"/>
      <c r="N458" s="8"/>
      <c r="O458" s="8"/>
      <c r="P458" s="8"/>
    </row>
    <row r="459" ht="12.75" spans="1:16">
      <c r="A459" s="4"/>
      <c r="B459" s="5"/>
      <c r="C459" s="5"/>
      <c r="D459" s="4"/>
      <c r="E459" s="5"/>
      <c r="F459" s="3"/>
      <c r="G459" s="3"/>
      <c r="K459" s="8"/>
      <c r="L459" s="8"/>
      <c r="M459" s="8"/>
      <c r="N459" s="8"/>
      <c r="O459" s="8"/>
      <c r="P459" s="8"/>
    </row>
    <row r="460" ht="12.75" spans="1:16">
      <c r="A460" s="4"/>
      <c r="B460" s="5"/>
      <c r="C460" s="5"/>
      <c r="D460" s="4"/>
      <c r="E460" s="5"/>
      <c r="F460" s="3"/>
      <c r="G460" s="3"/>
      <c r="K460" s="8"/>
      <c r="L460" s="8"/>
      <c r="M460" s="8"/>
      <c r="N460" s="8"/>
      <c r="O460" s="8"/>
      <c r="P460" s="8"/>
    </row>
    <row r="461" ht="12.75" spans="1:16">
      <c r="A461" s="4"/>
      <c r="B461" s="5"/>
      <c r="C461" s="5"/>
      <c r="D461" s="4"/>
      <c r="E461" s="5"/>
      <c r="F461" s="3"/>
      <c r="G461" s="3"/>
      <c r="K461" s="8"/>
      <c r="L461" s="8"/>
      <c r="M461" s="8"/>
      <c r="N461" s="8"/>
      <c r="O461" s="8"/>
      <c r="P461" s="8"/>
    </row>
    <row r="462" ht="12.75" spans="1:16">
      <c r="A462" s="4"/>
      <c r="B462" s="5"/>
      <c r="C462" s="5"/>
      <c r="D462" s="4"/>
      <c r="E462" s="5"/>
      <c r="F462" s="3"/>
      <c r="G462" s="3"/>
      <c r="K462" s="8"/>
      <c r="L462" s="8"/>
      <c r="M462" s="8"/>
      <c r="N462" s="8"/>
      <c r="O462" s="8"/>
      <c r="P462" s="8"/>
    </row>
    <row r="463" ht="12.75" spans="1:16">
      <c r="A463" s="4"/>
      <c r="B463" s="5"/>
      <c r="C463" s="5"/>
      <c r="D463" s="4"/>
      <c r="E463" s="5"/>
      <c r="F463" s="3"/>
      <c r="G463" s="3"/>
      <c r="K463" s="8"/>
      <c r="L463" s="8"/>
      <c r="M463" s="8"/>
      <c r="N463" s="8"/>
      <c r="O463" s="8"/>
      <c r="P463" s="8"/>
    </row>
    <row r="464" ht="12.75" spans="1:16">
      <c r="A464" s="4"/>
      <c r="B464" s="5"/>
      <c r="C464" s="5"/>
      <c r="D464" s="4"/>
      <c r="E464" s="5"/>
      <c r="F464" s="3"/>
      <c r="G464" s="3"/>
      <c r="K464" s="8"/>
      <c r="L464" s="8"/>
      <c r="M464" s="8"/>
      <c r="N464" s="8"/>
      <c r="O464" s="8"/>
      <c r="P464" s="8"/>
    </row>
    <row r="465" ht="12.75" spans="1:16">
      <c r="A465" s="4"/>
      <c r="B465" s="5"/>
      <c r="C465" s="5"/>
      <c r="D465" s="4"/>
      <c r="E465" s="5"/>
      <c r="F465" s="3"/>
      <c r="G465" s="3"/>
      <c r="K465" s="8"/>
      <c r="L465" s="8"/>
      <c r="M465" s="8"/>
      <c r="N465" s="8"/>
      <c r="O465" s="8"/>
      <c r="P465" s="8"/>
    </row>
    <row r="466" ht="12.75" spans="1:16">
      <c r="A466" s="4"/>
      <c r="B466" s="5"/>
      <c r="C466" s="5"/>
      <c r="D466" s="4"/>
      <c r="E466" s="5"/>
      <c r="F466" s="3"/>
      <c r="G466" s="3"/>
      <c r="K466" s="8"/>
      <c r="L466" s="8"/>
      <c r="M466" s="8"/>
      <c r="N466" s="8"/>
      <c r="O466" s="8"/>
      <c r="P466" s="8"/>
    </row>
    <row r="467" ht="12.75" spans="1:16">
      <c r="A467" s="4"/>
      <c r="B467" s="5"/>
      <c r="C467" s="5"/>
      <c r="D467" s="4"/>
      <c r="E467" s="5"/>
      <c r="F467" s="3"/>
      <c r="G467" s="3"/>
      <c r="K467" s="8"/>
      <c r="L467" s="8"/>
      <c r="M467" s="8"/>
      <c r="N467" s="8"/>
      <c r="O467" s="8"/>
      <c r="P467" s="8"/>
    </row>
    <row r="468" ht="12.75" spans="1:16">
      <c r="A468" s="4"/>
      <c r="B468" s="5"/>
      <c r="C468" s="5"/>
      <c r="D468" s="4"/>
      <c r="E468" s="5"/>
      <c r="F468" s="3"/>
      <c r="G468" s="3"/>
      <c r="K468" s="8"/>
      <c r="L468" s="8"/>
      <c r="M468" s="8"/>
      <c r="N468" s="8"/>
      <c r="O468" s="8"/>
      <c r="P468" s="8"/>
    </row>
    <row r="469" ht="12.75" spans="1:16">
      <c r="A469" s="4"/>
      <c r="B469" s="5"/>
      <c r="C469" s="5"/>
      <c r="D469" s="4"/>
      <c r="E469" s="5"/>
      <c r="F469" s="3"/>
      <c r="G469" s="3"/>
      <c r="K469" s="8"/>
      <c r="L469" s="8"/>
      <c r="M469" s="8"/>
      <c r="N469" s="8"/>
      <c r="O469" s="8"/>
      <c r="P469" s="8"/>
    </row>
    <row r="470" ht="12.75" spans="1:16">
      <c r="A470" s="4"/>
      <c r="B470" s="5"/>
      <c r="C470" s="5"/>
      <c r="D470" s="4"/>
      <c r="E470" s="5"/>
      <c r="F470" s="3"/>
      <c r="G470" s="3"/>
      <c r="K470" s="8"/>
      <c r="L470" s="8"/>
      <c r="M470" s="8"/>
      <c r="N470" s="8"/>
      <c r="O470" s="8"/>
      <c r="P470" s="8"/>
    </row>
    <row r="471" ht="12.75" spans="1:16">
      <c r="A471" s="4"/>
      <c r="B471" s="5"/>
      <c r="C471" s="5"/>
      <c r="D471" s="4"/>
      <c r="E471" s="5"/>
      <c r="F471" s="3"/>
      <c r="G471" s="3"/>
      <c r="K471" s="8"/>
      <c r="L471" s="8"/>
      <c r="M471" s="8"/>
      <c r="N471" s="8"/>
      <c r="O471" s="8"/>
      <c r="P471" s="8"/>
    </row>
    <row r="472" ht="12.75" spans="1:16">
      <c r="A472" s="4"/>
      <c r="B472" s="5"/>
      <c r="C472" s="5"/>
      <c r="D472" s="4"/>
      <c r="E472" s="5"/>
      <c r="F472" s="3"/>
      <c r="G472" s="3"/>
      <c r="K472" s="8"/>
      <c r="L472" s="8"/>
      <c r="M472" s="8"/>
      <c r="N472" s="8"/>
      <c r="O472" s="8"/>
      <c r="P472" s="8"/>
    </row>
    <row r="473" ht="12.75" spans="1:16">
      <c r="A473" s="4"/>
      <c r="B473" s="5"/>
      <c r="C473" s="5"/>
      <c r="D473" s="4"/>
      <c r="E473" s="5"/>
      <c r="F473" s="3"/>
      <c r="G473" s="3"/>
      <c r="K473" s="8"/>
      <c r="L473" s="8"/>
      <c r="M473" s="8"/>
      <c r="N473" s="8"/>
      <c r="O473" s="8"/>
      <c r="P473" s="8"/>
    </row>
    <row r="474" ht="12.75" spans="1:16">
      <c r="A474" s="4"/>
      <c r="B474" s="5"/>
      <c r="C474" s="5"/>
      <c r="D474" s="4"/>
      <c r="E474" s="5"/>
      <c r="F474" s="3"/>
      <c r="G474" s="3"/>
      <c r="K474" s="8"/>
      <c r="L474" s="8"/>
      <c r="M474" s="8"/>
      <c r="N474" s="8"/>
      <c r="O474" s="8"/>
      <c r="P474" s="8"/>
    </row>
    <row r="475" ht="12.75" spans="1:16">
      <c r="A475" s="4"/>
      <c r="B475" s="5"/>
      <c r="C475" s="5"/>
      <c r="D475" s="4"/>
      <c r="E475" s="5"/>
      <c r="F475" s="3"/>
      <c r="G475" s="3"/>
      <c r="K475" s="8"/>
      <c r="L475" s="8"/>
      <c r="M475" s="8"/>
      <c r="N475" s="8"/>
      <c r="O475" s="8"/>
      <c r="P475" s="8"/>
    </row>
    <row r="476" ht="12.75" spans="1:16">
      <c r="A476" s="4"/>
      <c r="B476" s="5"/>
      <c r="C476" s="5"/>
      <c r="D476" s="4"/>
      <c r="E476" s="5"/>
      <c r="F476" s="3"/>
      <c r="G476" s="3"/>
      <c r="K476" s="8"/>
      <c r="L476" s="8"/>
      <c r="M476" s="8"/>
      <c r="N476" s="8"/>
      <c r="O476" s="8"/>
      <c r="P476" s="8"/>
    </row>
    <row r="477" ht="12.75" spans="1:16">
      <c r="A477" s="4"/>
      <c r="B477" s="5"/>
      <c r="C477" s="5"/>
      <c r="D477" s="4"/>
      <c r="E477" s="5"/>
      <c r="F477" s="3"/>
      <c r="G477" s="3"/>
      <c r="K477" s="8"/>
      <c r="L477" s="8"/>
      <c r="M477" s="8"/>
      <c r="N477" s="8"/>
      <c r="O477" s="8"/>
      <c r="P477" s="8"/>
    </row>
    <row r="478" ht="12.75" spans="1:16">
      <c r="A478" s="4"/>
      <c r="B478" s="5"/>
      <c r="C478" s="5"/>
      <c r="D478" s="4"/>
      <c r="E478" s="5"/>
      <c r="F478" s="3"/>
      <c r="G478" s="3"/>
      <c r="K478" s="8"/>
      <c r="L478" s="8"/>
      <c r="M478" s="8"/>
      <c r="N478" s="8"/>
      <c r="O478" s="8"/>
      <c r="P478" s="8"/>
    </row>
    <row r="479" ht="12.75" spans="1:16">
      <c r="A479" s="4"/>
      <c r="B479" s="5"/>
      <c r="C479" s="5"/>
      <c r="D479" s="4"/>
      <c r="E479" s="5"/>
      <c r="F479" s="3"/>
      <c r="G479" s="3"/>
      <c r="K479" s="8"/>
      <c r="L479" s="8"/>
      <c r="M479" s="8"/>
      <c r="N479" s="8"/>
      <c r="O479" s="8"/>
      <c r="P479" s="8"/>
    </row>
    <row r="480" ht="12.75" spans="1:16">
      <c r="A480" s="4"/>
      <c r="B480" s="5"/>
      <c r="C480" s="5"/>
      <c r="D480" s="4"/>
      <c r="E480" s="5"/>
      <c r="F480" s="3"/>
      <c r="G480" s="3"/>
      <c r="K480" s="8"/>
      <c r="L480" s="8"/>
      <c r="M480" s="8"/>
      <c r="N480" s="8"/>
      <c r="O480" s="8"/>
      <c r="P480" s="8"/>
    </row>
    <row r="481" ht="12.75" spans="1:16">
      <c r="A481" s="4"/>
      <c r="B481" s="5"/>
      <c r="C481" s="5"/>
      <c r="D481" s="4"/>
      <c r="E481" s="5"/>
      <c r="F481" s="3"/>
      <c r="G481" s="3"/>
      <c r="K481" s="8"/>
      <c r="L481" s="8"/>
      <c r="M481" s="8"/>
      <c r="N481" s="8"/>
      <c r="O481" s="8"/>
      <c r="P481" s="8"/>
    </row>
    <row r="482" ht="12.75" spans="1:16">
      <c r="A482" s="4"/>
      <c r="B482" s="5"/>
      <c r="C482" s="5"/>
      <c r="D482" s="4"/>
      <c r="E482" s="5"/>
      <c r="F482" s="3"/>
      <c r="G482" s="3"/>
      <c r="K482" s="8"/>
      <c r="L482" s="8"/>
      <c r="M482" s="8"/>
      <c r="N482" s="8"/>
      <c r="O482" s="8"/>
      <c r="P482" s="8"/>
    </row>
    <row r="483" ht="12.75" spans="1:16">
      <c r="A483" s="4"/>
      <c r="B483" s="5"/>
      <c r="C483" s="5"/>
      <c r="D483" s="4"/>
      <c r="E483" s="5"/>
      <c r="F483" s="3"/>
      <c r="G483" s="3"/>
      <c r="K483" s="8"/>
      <c r="L483" s="8"/>
      <c r="M483" s="8"/>
      <c r="N483" s="8"/>
      <c r="O483" s="8"/>
      <c r="P483" s="8"/>
    </row>
    <row r="484" ht="12.75" spans="1:16">
      <c r="A484" s="4"/>
      <c r="B484" s="5"/>
      <c r="C484" s="5"/>
      <c r="D484" s="4"/>
      <c r="E484" s="5"/>
      <c r="F484" s="3"/>
      <c r="G484" s="3"/>
      <c r="K484" s="8"/>
      <c r="L484" s="8"/>
      <c r="M484" s="8"/>
      <c r="N484" s="8"/>
      <c r="O484" s="8"/>
      <c r="P484" s="8"/>
    </row>
    <row r="485" ht="12.75" spans="1:16">
      <c r="A485" s="4"/>
      <c r="B485" s="5"/>
      <c r="C485" s="5"/>
      <c r="D485" s="4"/>
      <c r="E485" s="5"/>
      <c r="F485" s="3"/>
      <c r="G485" s="3"/>
      <c r="K485" s="8"/>
      <c r="L485" s="8"/>
      <c r="M485" s="8"/>
      <c r="N485" s="8"/>
      <c r="O485" s="8"/>
      <c r="P485" s="8"/>
    </row>
    <row r="486" ht="12.75" spans="1:16">
      <c r="A486" s="4"/>
      <c r="B486" s="5"/>
      <c r="C486" s="5"/>
      <c r="D486" s="4"/>
      <c r="E486" s="5"/>
      <c r="F486" s="3"/>
      <c r="G486" s="3"/>
      <c r="K486" s="8"/>
      <c r="L486" s="8"/>
      <c r="M486" s="8"/>
      <c r="N486" s="8"/>
      <c r="O486" s="8"/>
      <c r="P486" s="8"/>
    </row>
    <row r="487" ht="12.75" spans="1:16">
      <c r="A487" s="4"/>
      <c r="B487" s="5"/>
      <c r="C487" s="5"/>
      <c r="D487" s="4"/>
      <c r="E487" s="5"/>
      <c r="F487" s="3"/>
      <c r="G487" s="3"/>
      <c r="K487" s="8"/>
      <c r="L487" s="8"/>
      <c r="M487" s="8"/>
      <c r="N487" s="8"/>
      <c r="O487" s="8"/>
      <c r="P487" s="8"/>
    </row>
    <row r="488" ht="12.75" spans="1:16">
      <c r="A488" s="4"/>
      <c r="B488" s="5"/>
      <c r="C488" s="5"/>
      <c r="D488" s="4"/>
      <c r="E488" s="5"/>
      <c r="F488" s="3"/>
      <c r="G488" s="3"/>
      <c r="K488" s="8"/>
      <c r="L488" s="8"/>
      <c r="M488" s="8"/>
      <c r="N488" s="8"/>
      <c r="O488" s="8"/>
      <c r="P488" s="8"/>
    </row>
    <row r="489" ht="12.75" spans="1:16">
      <c r="A489" s="4"/>
      <c r="B489" s="5"/>
      <c r="C489" s="5"/>
      <c r="D489" s="4"/>
      <c r="E489" s="5"/>
      <c r="F489" s="3"/>
      <c r="G489" s="3"/>
      <c r="K489" s="8"/>
      <c r="L489" s="8"/>
      <c r="M489" s="8"/>
      <c r="N489" s="8"/>
      <c r="O489" s="8"/>
      <c r="P489" s="8"/>
    </row>
    <row r="490" ht="12.75" spans="1:16">
      <c r="A490" s="4"/>
      <c r="B490" s="5"/>
      <c r="C490" s="5"/>
      <c r="D490" s="4"/>
      <c r="E490" s="5"/>
      <c r="F490" s="3"/>
      <c r="G490" s="3"/>
      <c r="K490" s="8"/>
      <c r="L490" s="8"/>
      <c r="M490" s="8"/>
      <c r="N490" s="8"/>
      <c r="O490" s="8"/>
      <c r="P490" s="8"/>
    </row>
    <row r="491" ht="12.75" spans="1:16">
      <c r="A491" s="4"/>
      <c r="B491" s="5"/>
      <c r="C491" s="5"/>
      <c r="D491" s="4"/>
      <c r="E491" s="5"/>
      <c r="F491" s="3"/>
      <c r="G491" s="3"/>
      <c r="K491" s="8"/>
      <c r="L491" s="8"/>
      <c r="M491" s="8"/>
      <c r="N491" s="8"/>
      <c r="O491" s="8"/>
      <c r="P491" s="8"/>
    </row>
    <row r="492" ht="12.75" spans="1:16">
      <c r="A492" s="4"/>
      <c r="B492" s="5"/>
      <c r="C492" s="5"/>
      <c r="D492" s="4"/>
      <c r="E492" s="5"/>
      <c r="F492" s="3"/>
      <c r="G492" s="3"/>
      <c r="K492" s="8"/>
      <c r="L492" s="8"/>
      <c r="M492" s="8"/>
      <c r="N492" s="8"/>
      <c r="O492" s="8"/>
      <c r="P492" s="8"/>
    </row>
    <row r="493" ht="12.75" spans="1:16">
      <c r="A493" s="4"/>
      <c r="B493" s="5"/>
      <c r="C493" s="5"/>
      <c r="D493" s="4"/>
      <c r="E493" s="5"/>
      <c r="F493" s="3"/>
      <c r="G493" s="3"/>
      <c r="K493" s="8"/>
      <c r="L493" s="8"/>
      <c r="M493" s="8"/>
      <c r="N493" s="8"/>
      <c r="O493" s="8"/>
      <c r="P493" s="8"/>
    </row>
    <row r="494" ht="12.75" spans="1:16">
      <c r="A494" s="4"/>
      <c r="B494" s="5"/>
      <c r="C494" s="5"/>
      <c r="D494" s="4"/>
      <c r="E494" s="5"/>
      <c r="F494" s="3"/>
      <c r="G494" s="3"/>
      <c r="K494" s="8"/>
      <c r="L494" s="8"/>
      <c r="M494" s="8"/>
      <c r="N494" s="8"/>
      <c r="O494" s="8"/>
      <c r="P494" s="8"/>
    </row>
    <row r="495" ht="12.75" spans="1:16">
      <c r="A495" s="4"/>
      <c r="B495" s="5"/>
      <c r="C495" s="5"/>
      <c r="D495" s="4"/>
      <c r="E495" s="5"/>
      <c r="F495" s="3"/>
      <c r="G495" s="3"/>
      <c r="K495" s="8"/>
      <c r="L495" s="8"/>
      <c r="M495" s="8"/>
      <c r="N495" s="8"/>
      <c r="O495" s="8"/>
      <c r="P495" s="8"/>
    </row>
    <row r="496" ht="12.75" spans="1:16">
      <c r="A496" s="4"/>
      <c r="B496" s="5"/>
      <c r="C496" s="5"/>
      <c r="D496" s="4"/>
      <c r="E496" s="5"/>
      <c r="F496" s="3"/>
      <c r="G496" s="3"/>
      <c r="K496" s="8"/>
      <c r="L496" s="8"/>
      <c r="M496" s="8"/>
      <c r="N496" s="8"/>
      <c r="O496" s="8"/>
      <c r="P496" s="8"/>
    </row>
    <row r="497" ht="12.75" spans="1:16">
      <c r="A497" s="4"/>
      <c r="B497" s="5"/>
      <c r="C497" s="5"/>
      <c r="D497" s="4"/>
      <c r="E497" s="5"/>
      <c r="F497" s="3"/>
      <c r="G497" s="3"/>
      <c r="K497" s="8"/>
      <c r="L497" s="8"/>
      <c r="M497" s="8"/>
      <c r="N497" s="8"/>
      <c r="O497" s="8"/>
      <c r="P497" s="8"/>
    </row>
    <row r="498" ht="12.75" spans="1:16">
      <c r="A498" s="4"/>
      <c r="B498" s="5"/>
      <c r="C498" s="5"/>
      <c r="D498" s="4"/>
      <c r="E498" s="5"/>
      <c r="F498" s="3"/>
      <c r="G498" s="3"/>
      <c r="K498" s="8"/>
      <c r="L498" s="8"/>
      <c r="M498" s="8"/>
      <c r="N498" s="8"/>
      <c r="O498" s="8"/>
      <c r="P498" s="8"/>
    </row>
    <row r="499" ht="12.75" spans="1:16">
      <c r="A499" s="4"/>
      <c r="B499" s="5"/>
      <c r="C499" s="5"/>
      <c r="D499" s="4"/>
      <c r="E499" s="5"/>
      <c r="F499" s="3"/>
      <c r="G499" s="3"/>
      <c r="K499" s="8"/>
      <c r="L499" s="8"/>
      <c r="M499" s="8"/>
      <c r="N499" s="8"/>
      <c r="O499" s="8"/>
      <c r="P499" s="8"/>
    </row>
    <row r="500" ht="12.75" spans="1:16">
      <c r="A500" s="4"/>
      <c r="B500" s="5"/>
      <c r="C500" s="5"/>
      <c r="D500" s="4"/>
      <c r="E500" s="5"/>
      <c r="F500" s="3"/>
      <c r="G500" s="3"/>
      <c r="K500" s="8"/>
      <c r="L500" s="8"/>
      <c r="M500" s="8"/>
      <c r="N500" s="8"/>
      <c r="O500" s="8"/>
      <c r="P500" s="8"/>
    </row>
    <row r="501" ht="12.75" spans="1:16">
      <c r="A501" s="4"/>
      <c r="B501" s="5"/>
      <c r="C501" s="5"/>
      <c r="D501" s="4"/>
      <c r="E501" s="5"/>
      <c r="F501" s="3"/>
      <c r="G501" s="3"/>
      <c r="K501" s="8"/>
      <c r="L501" s="8"/>
      <c r="M501" s="8"/>
      <c r="N501" s="8"/>
      <c r="O501" s="8"/>
      <c r="P501" s="8"/>
    </row>
    <row r="502" ht="12.75" spans="1:16">
      <c r="A502" s="4"/>
      <c r="B502" s="5"/>
      <c r="C502" s="5"/>
      <c r="D502" s="4"/>
      <c r="E502" s="5"/>
      <c r="F502" s="3"/>
      <c r="G502" s="3"/>
      <c r="K502" s="8"/>
      <c r="L502" s="8"/>
      <c r="M502" s="8"/>
      <c r="N502" s="8"/>
      <c r="O502" s="8"/>
      <c r="P502" s="8"/>
    </row>
    <row r="503" ht="12.75" spans="1:16">
      <c r="A503" s="4"/>
      <c r="B503" s="5"/>
      <c r="C503" s="5"/>
      <c r="D503" s="4"/>
      <c r="E503" s="5"/>
      <c r="F503" s="3"/>
      <c r="G503" s="3"/>
      <c r="K503" s="8"/>
      <c r="L503" s="8"/>
      <c r="M503" s="8"/>
      <c r="N503" s="8"/>
      <c r="O503" s="8"/>
      <c r="P503" s="8"/>
    </row>
    <row r="504" ht="12.75" spans="1:16">
      <c r="A504" s="4"/>
      <c r="B504" s="5"/>
      <c r="C504" s="5"/>
      <c r="D504" s="4"/>
      <c r="E504" s="5"/>
      <c r="F504" s="3"/>
      <c r="G504" s="3"/>
      <c r="K504" s="8"/>
      <c r="L504" s="8"/>
      <c r="M504" s="8"/>
      <c r="N504" s="8"/>
      <c r="O504" s="8"/>
      <c r="P504" s="8"/>
    </row>
    <row r="505" ht="12.75" spans="1:16">
      <c r="A505" s="4"/>
      <c r="B505" s="5"/>
      <c r="C505" s="5"/>
      <c r="D505" s="4"/>
      <c r="E505" s="5"/>
      <c r="F505" s="3"/>
      <c r="G505" s="3"/>
      <c r="K505" s="8"/>
      <c r="L505" s="8"/>
      <c r="M505" s="8"/>
      <c r="N505" s="8"/>
      <c r="O505" s="8"/>
      <c r="P505" s="8"/>
    </row>
    <row r="506" ht="12.75" spans="1:16">
      <c r="A506" s="4"/>
      <c r="B506" s="5"/>
      <c r="C506" s="5"/>
      <c r="D506" s="4"/>
      <c r="E506" s="5"/>
      <c r="F506" s="3"/>
      <c r="G506" s="3"/>
      <c r="K506" s="8"/>
      <c r="L506" s="8"/>
      <c r="M506" s="8"/>
      <c r="N506" s="8"/>
      <c r="O506" s="8"/>
      <c r="P506" s="8"/>
    </row>
    <row r="507" ht="12.75" spans="1:16">
      <c r="A507" s="4"/>
      <c r="B507" s="5"/>
      <c r="C507" s="5"/>
      <c r="D507" s="4"/>
      <c r="E507" s="5"/>
      <c r="F507" s="3"/>
      <c r="G507" s="3"/>
      <c r="K507" s="8"/>
      <c r="L507" s="8"/>
      <c r="M507" s="8"/>
      <c r="N507" s="8"/>
      <c r="O507" s="8"/>
      <c r="P507" s="8"/>
    </row>
    <row r="508" ht="12.75" spans="1:16">
      <c r="A508" s="4"/>
      <c r="B508" s="5"/>
      <c r="C508" s="5"/>
      <c r="D508" s="4"/>
      <c r="E508" s="5"/>
      <c r="F508" s="3"/>
      <c r="G508" s="3"/>
      <c r="K508" s="8"/>
      <c r="L508" s="8"/>
      <c r="M508" s="8"/>
      <c r="N508" s="8"/>
      <c r="O508" s="8"/>
      <c r="P508" s="8"/>
    </row>
    <row r="509" ht="12.75" spans="1:16">
      <c r="A509" s="4"/>
      <c r="B509" s="5"/>
      <c r="C509" s="5"/>
      <c r="D509" s="4"/>
      <c r="E509" s="5"/>
      <c r="F509" s="3"/>
      <c r="G509" s="3"/>
      <c r="K509" s="8"/>
      <c r="L509" s="8"/>
      <c r="M509" s="8"/>
      <c r="N509" s="8"/>
      <c r="O509" s="8"/>
      <c r="P509" s="8"/>
    </row>
    <row r="510" ht="12.75" spans="1:16">
      <c r="A510" s="4"/>
      <c r="B510" s="5"/>
      <c r="C510" s="5"/>
      <c r="D510" s="4"/>
      <c r="E510" s="5"/>
      <c r="F510" s="3"/>
      <c r="G510" s="3"/>
      <c r="K510" s="8"/>
      <c r="L510" s="8"/>
      <c r="M510" s="8"/>
      <c r="N510" s="8"/>
      <c r="O510" s="8"/>
      <c r="P510" s="8"/>
    </row>
    <row r="511" ht="12.75" spans="1:16">
      <c r="A511" s="4"/>
      <c r="B511" s="5"/>
      <c r="C511" s="5"/>
      <c r="D511" s="4"/>
      <c r="E511" s="5"/>
      <c r="F511" s="3"/>
      <c r="G511" s="3"/>
      <c r="K511" s="8"/>
      <c r="L511" s="8"/>
      <c r="M511" s="8"/>
      <c r="N511" s="8"/>
      <c r="O511" s="8"/>
      <c r="P511" s="8"/>
    </row>
    <row r="512" ht="12.75" spans="1:16">
      <c r="A512" s="4"/>
      <c r="B512" s="5"/>
      <c r="C512" s="5"/>
      <c r="D512" s="4"/>
      <c r="E512" s="5"/>
      <c r="F512" s="3"/>
      <c r="G512" s="3"/>
      <c r="K512" s="8"/>
      <c r="L512" s="8"/>
      <c r="M512" s="8"/>
      <c r="N512" s="8"/>
      <c r="O512" s="8"/>
      <c r="P512" s="8"/>
    </row>
    <row r="513" ht="12.75" spans="1:16">
      <c r="A513" s="4"/>
      <c r="B513" s="5"/>
      <c r="C513" s="5"/>
      <c r="D513" s="4"/>
      <c r="E513" s="5"/>
      <c r="F513" s="3"/>
      <c r="G513" s="3"/>
      <c r="K513" s="8"/>
      <c r="L513" s="8"/>
      <c r="M513" s="8"/>
      <c r="N513" s="8"/>
      <c r="O513" s="8"/>
      <c r="P513" s="8"/>
    </row>
    <row r="514" ht="12.75" spans="1:16">
      <c r="A514" s="4"/>
      <c r="B514" s="5"/>
      <c r="C514" s="5"/>
      <c r="D514" s="4"/>
      <c r="E514" s="5"/>
      <c r="F514" s="3"/>
      <c r="G514" s="3"/>
      <c r="K514" s="8"/>
      <c r="L514" s="8"/>
      <c r="M514" s="8"/>
      <c r="N514" s="8"/>
      <c r="O514" s="8"/>
      <c r="P514" s="8"/>
    </row>
    <row r="515" ht="12.75" spans="1:16">
      <c r="A515" s="4"/>
      <c r="B515" s="5"/>
      <c r="C515" s="5"/>
      <c r="D515" s="4"/>
      <c r="E515" s="5"/>
      <c r="F515" s="3"/>
      <c r="G515" s="3"/>
      <c r="K515" s="8"/>
      <c r="L515" s="8"/>
      <c r="M515" s="8"/>
      <c r="N515" s="8"/>
      <c r="O515" s="8"/>
      <c r="P515" s="8"/>
    </row>
    <row r="516" ht="12.75" spans="1:16">
      <c r="A516" s="4"/>
      <c r="B516" s="5"/>
      <c r="C516" s="5"/>
      <c r="D516" s="4"/>
      <c r="E516" s="5"/>
      <c r="F516" s="3"/>
      <c r="G516" s="3"/>
      <c r="K516" s="8"/>
      <c r="L516" s="8"/>
      <c r="M516" s="8"/>
      <c r="N516" s="8"/>
      <c r="O516" s="8"/>
      <c r="P516" s="8"/>
    </row>
    <row r="517" ht="12.75" spans="1:16">
      <c r="A517" s="4"/>
      <c r="B517" s="5"/>
      <c r="C517" s="5"/>
      <c r="D517" s="4"/>
      <c r="E517" s="5"/>
      <c r="F517" s="3"/>
      <c r="G517" s="3"/>
      <c r="K517" s="8"/>
      <c r="L517" s="8"/>
      <c r="M517" s="8"/>
      <c r="N517" s="8"/>
      <c r="O517" s="8"/>
      <c r="P517" s="8"/>
    </row>
    <row r="518" ht="12.75" spans="1:16">
      <c r="A518" s="4"/>
      <c r="B518" s="5"/>
      <c r="C518" s="5"/>
      <c r="D518" s="4"/>
      <c r="E518" s="5"/>
      <c r="F518" s="3"/>
      <c r="G518" s="3"/>
      <c r="K518" s="8"/>
      <c r="L518" s="8"/>
      <c r="M518" s="8"/>
      <c r="N518" s="8"/>
      <c r="O518" s="8"/>
      <c r="P518" s="8"/>
    </row>
    <row r="519" ht="12.75" spans="1:16">
      <c r="A519" s="4"/>
      <c r="B519" s="5"/>
      <c r="C519" s="5"/>
      <c r="D519" s="4"/>
      <c r="E519" s="5"/>
      <c r="F519" s="3"/>
      <c r="G519" s="3"/>
      <c r="K519" s="8"/>
      <c r="L519" s="8"/>
      <c r="M519" s="8"/>
      <c r="N519" s="8"/>
      <c r="O519" s="8"/>
      <c r="P519" s="8"/>
    </row>
    <row r="520" ht="12.75" spans="1:16">
      <c r="A520" s="4"/>
      <c r="B520" s="5"/>
      <c r="C520" s="5"/>
      <c r="D520" s="4"/>
      <c r="E520" s="5"/>
      <c r="F520" s="3"/>
      <c r="G520" s="3"/>
      <c r="K520" s="8"/>
      <c r="L520" s="8"/>
      <c r="M520" s="8"/>
      <c r="N520" s="8"/>
      <c r="O520" s="8"/>
      <c r="P520" s="8"/>
    </row>
    <row r="521" ht="12.75" spans="1:16">
      <c r="A521" s="4"/>
      <c r="B521" s="5"/>
      <c r="C521" s="5"/>
      <c r="D521" s="4"/>
      <c r="E521" s="5"/>
      <c r="F521" s="3"/>
      <c r="G521" s="3"/>
      <c r="K521" s="8"/>
      <c r="L521" s="8"/>
      <c r="M521" s="8"/>
      <c r="N521" s="8"/>
      <c r="O521" s="8"/>
      <c r="P521" s="8"/>
    </row>
    <row r="522" ht="12.75" spans="1:16">
      <c r="A522" s="4"/>
      <c r="B522" s="5"/>
      <c r="C522" s="5"/>
      <c r="D522" s="4"/>
      <c r="E522" s="5"/>
      <c r="F522" s="3"/>
      <c r="G522" s="3"/>
      <c r="K522" s="8"/>
      <c r="L522" s="8"/>
      <c r="M522" s="8"/>
      <c r="N522" s="8"/>
      <c r="O522" s="8"/>
      <c r="P522" s="8"/>
    </row>
    <row r="523" ht="12.75" spans="1:16">
      <c r="A523" s="4"/>
      <c r="B523" s="5"/>
      <c r="C523" s="5"/>
      <c r="D523" s="4"/>
      <c r="E523" s="5"/>
      <c r="F523" s="3"/>
      <c r="G523" s="3"/>
      <c r="K523" s="8"/>
      <c r="L523" s="8"/>
      <c r="M523" s="8"/>
      <c r="N523" s="8"/>
      <c r="O523" s="8"/>
      <c r="P523" s="8"/>
    </row>
    <row r="524" ht="12.75" spans="1:16">
      <c r="A524" s="4"/>
      <c r="B524" s="5"/>
      <c r="C524" s="5"/>
      <c r="D524" s="4"/>
      <c r="E524" s="5"/>
      <c r="F524" s="3"/>
      <c r="G524" s="3"/>
      <c r="K524" s="8"/>
      <c r="L524" s="8"/>
      <c r="M524" s="8"/>
      <c r="N524" s="8"/>
      <c r="O524" s="8"/>
      <c r="P524" s="8"/>
    </row>
    <row r="525" ht="12.75" spans="1:16">
      <c r="A525" s="4"/>
      <c r="B525" s="5"/>
      <c r="C525" s="5"/>
      <c r="D525" s="4"/>
      <c r="E525" s="5"/>
      <c r="F525" s="3"/>
      <c r="G525" s="3"/>
      <c r="K525" s="8"/>
      <c r="L525" s="8"/>
      <c r="M525" s="8"/>
      <c r="N525" s="8"/>
      <c r="O525" s="8"/>
      <c r="P525" s="8"/>
    </row>
    <row r="526" ht="12.75" spans="1:16">
      <c r="A526" s="4"/>
      <c r="B526" s="5"/>
      <c r="C526" s="5"/>
      <c r="D526" s="4"/>
      <c r="E526" s="5"/>
      <c r="F526" s="3"/>
      <c r="G526" s="3"/>
      <c r="K526" s="8"/>
      <c r="L526" s="8"/>
      <c r="M526" s="8"/>
      <c r="N526" s="8"/>
      <c r="O526" s="8"/>
      <c r="P526" s="8"/>
    </row>
    <row r="527" ht="12.75" spans="1:16">
      <c r="A527" s="4"/>
      <c r="B527" s="5"/>
      <c r="C527" s="5"/>
      <c r="D527" s="4"/>
      <c r="E527" s="5"/>
      <c r="F527" s="3"/>
      <c r="G527" s="3"/>
      <c r="K527" s="8"/>
      <c r="L527" s="8"/>
      <c r="M527" s="8"/>
      <c r="N527" s="8"/>
      <c r="O527" s="8"/>
      <c r="P527" s="8"/>
    </row>
    <row r="528" ht="12.75" spans="1:16">
      <c r="A528" s="4"/>
      <c r="B528" s="5"/>
      <c r="C528" s="5"/>
      <c r="D528" s="4"/>
      <c r="E528" s="5"/>
      <c r="F528" s="3"/>
      <c r="G528" s="3"/>
      <c r="K528" s="8"/>
      <c r="L528" s="8"/>
      <c r="M528" s="8"/>
      <c r="N528" s="8"/>
      <c r="O528" s="8"/>
      <c r="P528" s="8"/>
    </row>
    <row r="529" ht="12.75" spans="1:16">
      <c r="A529" s="4"/>
      <c r="B529" s="5"/>
      <c r="C529" s="5"/>
      <c r="D529" s="4"/>
      <c r="E529" s="5"/>
      <c r="F529" s="3"/>
      <c r="G529" s="3"/>
      <c r="K529" s="8"/>
      <c r="L529" s="8"/>
      <c r="M529" s="8"/>
      <c r="N529" s="8"/>
      <c r="O529" s="8"/>
      <c r="P529" s="8"/>
    </row>
    <row r="530" ht="12.75" spans="1:16">
      <c r="A530" s="4"/>
      <c r="B530" s="5"/>
      <c r="C530" s="5"/>
      <c r="D530" s="4"/>
      <c r="E530" s="5"/>
      <c r="F530" s="3"/>
      <c r="G530" s="3"/>
      <c r="K530" s="8"/>
      <c r="L530" s="8"/>
      <c r="M530" s="8"/>
      <c r="N530" s="8"/>
      <c r="O530" s="8"/>
      <c r="P530" s="8"/>
    </row>
    <row r="531" ht="12.75" spans="1:16">
      <c r="A531" s="4"/>
      <c r="B531" s="5"/>
      <c r="C531" s="5"/>
      <c r="D531" s="4"/>
      <c r="E531" s="5"/>
      <c r="F531" s="3"/>
      <c r="G531" s="3"/>
      <c r="K531" s="8"/>
      <c r="L531" s="8"/>
      <c r="M531" s="8"/>
      <c r="N531" s="8"/>
      <c r="O531" s="8"/>
      <c r="P531" s="8"/>
    </row>
    <row r="532" ht="12.75" spans="1:16">
      <c r="A532" s="4"/>
      <c r="B532" s="5"/>
      <c r="C532" s="5"/>
      <c r="D532" s="4"/>
      <c r="E532" s="5"/>
      <c r="F532" s="3"/>
      <c r="G532" s="3"/>
      <c r="K532" s="8"/>
      <c r="L532" s="8"/>
      <c r="M532" s="8"/>
      <c r="N532" s="8"/>
      <c r="O532" s="8"/>
      <c r="P532" s="8"/>
    </row>
    <row r="533" ht="12.75" spans="1:16">
      <c r="A533" s="4"/>
      <c r="B533" s="5"/>
      <c r="C533" s="5"/>
      <c r="D533" s="4"/>
      <c r="E533" s="5"/>
      <c r="F533" s="3"/>
      <c r="G533" s="3"/>
      <c r="K533" s="8"/>
      <c r="L533" s="8"/>
      <c r="M533" s="8"/>
      <c r="N533" s="8"/>
      <c r="O533" s="8"/>
      <c r="P533" s="8"/>
    </row>
    <row r="534" ht="12.75" spans="1:16">
      <c r="A534" s="4"/>
      <c r="B534" s="5"/>
      <c r="C534" s="5"/>
      <c r="D534" s="4"/>
      <c r="E534" s="5"/>
      <c r="F534" s="3"/>
      <c r="G534" s="3"/>
      <c r="K534" s="8"/>
      <c r="L534" s="8"/>
      <c r="M534" s="8"/>
      <c r="N534" s="8"/>
      <c r="O534" s="8"/>
      <c r="P534" s="8"/>
    </row>
    <row r="535" ht="12.75" spans="1:16">
      <c r="A535" s="4"/>
      <c r="B535" s="5"/>
      <c r="C535" s="5"/>
      <c r="D535" s="4"/>
      <c r="E535" s="5"/>
      <c r="F535" s="3"/>
      <c r="G535" s="3"/>
      <c r="K535" s="8"/>
      <c r="L535" s="8"/>
      <c r="M535" s="8"/>
      <c r="N535" s="8"/>
      <c r="O535" s="8"/>
      <c r="P535" s="8"/>
    </row>
    <row r="536" ht="12.75" spans="1:16">
      <c r="A536" s="4"/>
      <c r="B536" s="5"/>
      <c r="C536" s="5"/>
      <c r="D536" s="4"/>
      <c r="E536" s="5"/>
      <c r="F536" s="3"/>
      <c r="G536" s="3"/>
      <c r="K536" s="8"/>
      <c r="L536" s="8"/>
      <c r="M536" s="8"/>
      <c r="N536" s="8"/>
      <c r="O536" s="8"/>
      <c r="P536" s="8"/>
    </row>
    <row r="537" ht="12.75" spans="1:16">
      <c r="A537" s="4"/>
      <c r="B537" s="5"/>
      <c r="C537" s="5"/>
      <c r="D537" s="4"/>
      <c r="E537" s="5"/>
      <c r="F537" s="3"/>
      <c r="G537" s="3"/>
      <c r="K537" s="8"/>
      <c r="L537" s="8"/>
      <c r="M537" s="8"/>
      <c r="N537" s="8"/>
      <c r="O537" s="8"/>
      <c r="P537" s="8"/>
    </row>
    <row r="538" ht="12.75" spans="1:16">
      <c r="A538" s="4"/>
      <c r="B538" s="5"/>
      <c r="C538" s="5"/>
      <c r="D538" s="4"/>
      <c r="E538" s="5"/>
      <c r="F538" s="3"/>
      <c r="G538" s="3"/>
      <c r="K538" s="8"/>
      <c r="L538" s="8"/>
      <c r="M538" s="8"/>
      <c r="N538" s="8"/>
      <c r="O538" s="8"/>
      <c r="P538" s="8"/>
    </row>
    <row r="539" ht="12.75" spans="1:16">
      <c r="A539" s="4"/>
      <c r="B539" s="5"/>
      <c r="C539" s="5"/>
      <c r="D539" s="4"/>
      <c r="E539" s="5"/>
      <c r="F539" s="3"/>
      <c r="G539" s="3"/>
      <c r="K539" s="8"/>
      <c r="L539" s="8"/>
      <c r="M539" s="8"/>
      <c r="N539" s="8"/>
      <c r="O539" s="8"/>
      <c r="P539" s="8"/>
    </row>
    <row r="540" ht="12.75" spans="1:16">
      <c r="A540" s="4"/>
      <c r="B540" s="5"/>
      <c r="C540" s="5"/>
      <c r="D540" s="4"/>
      <c r="E540" s="5"/>
      <c r="F540" s="3"/>
      <c r="G540" s="3"/>
      <c r="K540" s="8"/>
      <c r="L540" s="8"/>
      <c r="M540" s="8"/>
      <c r="N540" s="8"/>
      <c r="O540" s="8"/>
      <c r="P540" s="8"/>
    </row>
    <row r="541" ht="12.75" spans="1:16">
      <c r="A541" s="4"/>
      <c r="B541" s="5"/>
      <c r="C541" s="5"/>
      <c r="D541" s="4"/>
      <c r="E541" s="5"/>
      <c r="F541" s="3"/>
      <c r="G541" s="3"/>
      <c r="K541" s="8"/>
      <c r="L541" s="8"/>
      <c r="M541" s="8"/>
      <c r="N541" s="8"/>
      <c r="O541" s="8"/>
      <c r="P541" s="8"/>
    </row>
    <row r="542" ht="12.75" spans="1:16">
      <c r="A542" s="4"/>
      <c r="B542" s="5"/>
      <c r="C542" s="5"/>
      <c r="D542" s="4"/>
      <c r="E542" s="5"/>
      <c r="F542" s="3"/>
      <c r="G542" s="3"/>
      <c r="K542" s="8"/>
      <c r="L542" s="8"/>
      <c r="M542" s="8"/>
      <c r="N542" s="8"/>
      <c r="O542" s="8"/>
      <c r="P542" s="8"/>
    </row>
    <row r="543" ht="12.75" spans="1:16">
      <c r="A543" s="4"/>
      <c r="B543" s="5"/>
      <c r="C543" s="5"/>
      <c r="D543" s="4"/>
      <c r="E543" s="5"/>
      <c r="F543" s="3"/>
      <c r="G543" s="3"/>
      <c r="K543" s="8"/>
      <c r="L543" s="8"/>
      <c r="M543" s="8"/>
      <c r="N543" s="8"/>
      <c r="O543" s="8"/>
      <c r="P543" s="8"/>
    </row>
    <row r="544" ht="12.75" spans="1:16">
      <c r="A544" s="4"/>
      <c r="B544" s="5"/>
      <c r="C544" s="5"/>
      <c r="D544" s="4"/>
      <c r="E544" s="5"/>
      <c r="F544" s="3"/>
      <c r="G544" s="3"/>
      <c r="K544" s="8"/>
      <c r="L544" s="8"/>
      <c r="M544" s="8"/>
      <c r="N544" s="8"/>
      <c r="O544" s="8"/>
      <c r="P544" s="8"/>
    </row>
    <row r="545" ht="12.75" spans="1:16">
      <c r="A545" s="4"/>
      <c r="B545" s="5"/>
      <c r="C545" s="5"/>
      <c r="D545" s="4"/>
      <c r="E545" s="5"/>
      <c r="F545" s="3"/>
      <c r="G545" s="3"/>
      <c r="K545" s="8"/>
      <c r="L545" s="8"/>
      <c r="M545" s="8"/>
      <c r="N545" s="8"/>
      <c r="O545" s="8"/>
      <c r="P545" s="8"/>
    </row>
    <row r="546" ht="12.75" spans="1:16">
      <c r="A546" s="4"/>
      <c r="B546" s="5"/>
      <c r="C546" s="5"/>
      <c r="D546" s="4"/>
      <c r="E546" s="5"/>
      <c r="F546" s="3"/>
      <c r="G546" s="3"/>
      <c r="K546" s="8"/>
      <c r="L546" s="8"/>
      <c r="M546" s="8"/>
      <c r="N546" s="8"/>
      <c r="O546" s="8"/>
      <c r="P546" s="8"/>
    </row>
    <row r="547" ht="12.75" spans="1:16">
      <c r="A547" s="4"/>
      <c r="B547" s="5"/>
      <c r="C547" s="5"/>
      <c r="D547" s="4"/>
      <c r="E547" s="5"/>
      <c r="F547" s="3"/>
      <c r="G547" s="3"/>
      <c r="K547" s="8"/>
      <c r="L547" s="8"/>
      <c r="M547" s="8"/>
      <c r="N547" s="8"/>
      <c r="O547" s="8"/>
      <c r="P547" s="8"/>
    </row>
    <row r="548" ht="12.75" spans="1:16">
      <c r="A548" s="4"/>
      <c r="B548" s="5"/>
      <c r="C548" s="5"/>
      <c r="D548" s="4"/>
      <c r="E548" s="5"/>
      <c r="F548" s="3"/>
      <c r="G548" s="3"/>
      <c r="K548" s="8"/>
      <c r="L548" s="8"/>
      <c r="M548" s="8"/>
      <c r="N548" s="8"/>
      <c r="O548" s="8"/>
      <c r="P548" s="8"/>
    </row>
    <row r="549" ht="12.75" spans="1:16">
      <c r="A549" s="4"/>
      <c r="B549" s="5"/>
      <c r="C549" s="5"/>
      <c r="D549" s="4"/>
      <c r="E549" s="5"/>
      <c r="F549" s="3"/>
      <c r="G549" s="3"/>
      <c r="K549" s="8"/>
      <c r="L549" s="8"/>
      <c r="M549" s="8"/>
      <c r="N549" s="8"/>
      <c r="O549" s="8"/>
      <c r="P549" s="8"/>
    </row>
    <row r="550" ht="12.75" spans="1:16">
      <c r="A550" s="4"/>
      <c r="B550" s="5"/>
      <c r="C550" s="5"/>
      <c r="D550" s="4"/>
      <c r="E550" s="5"/>
      <c r="F550" s="3"/>
      <c r="G550" s="3"/>
      <c r="K550" s="8"/>
      <c r="L550" s="8"/>
      <c r="M550" s="8"/>
      <c r="N550" s="8"/>
      <c r="O550" s="8"/>
      <c r="P550" s="8"/>
    </row>
    <row r="551" ht="12.75" spans="1:16">
      <c r="A551" s="4"/>
      <c r="B551" s="5"/>
      <c r="C551" s="5"/>
      <c r="D551" s="4"/>
      <c r="E551" s="5"/>
      <c r="F551" s="3"/>
      <c r="G551" s="3"/>
      <c r="K551" s="8"/>
      <c r="L551" s="8"/>
      <c r="M551" s="8"/>
      <c r="N551" s="8"/>
      <c r="O551" s="8"/>
      <c r="P551" s="8"/>
    </row>
    <row r="552" ht="12.75" spans="1:16">
      <c r="A552" s="4"/>
      <c r="B552" s="5"/>
      <c r="C552" s="5"/>
      <c r="D552" s="4"/>
      <c r="E552" s="5"/>
      <c r="F552" s="3"/>
      <c r="G552" s="3"/>
      <c r="K552" s="8"/>
      <c r="L552" s="8"/>
      <c r="M552" s="8"/>
      <c r="N552" s="8"/>
      <c r="O552" s="8"/>
      <c r="P552" s="8"/>
    </row>
    <row r="553" ht="12.75" spans="1:16">
      <c r="A553" s="4"/>
      <c r="B553" s="5"/>
      <c r="C553" s="5"/>
      <c r="D553" s="4"/>
      <c r="E553" s="5"/>
      <c r="F553" s="3"/>
      <c r="G553" s="3"/>
      <c r="K553" s="8"/>
      <c r="L553" s="8"/>
      <c r="M553" s="8"/>
      <c r="N553" s="8"/>
      <c r="O553" s="8"/>
      <c r="P553" s="8"/>
    </row>
    <row r="554" ht="12.75" spans="1:16">
      <c r="A554" s="4"/>
      <c r="B554" s="5"/>
      <c r="C554" s="5"/>
      <c r="D554" s="4"/>
      <c r="E554" s="5"/>
      <c r="F554" s="3"/>
      <c r="G554" s="3"/>
      <c r="K554" s="8"/>
      <c r="L554" s="8"/>
      <c r="M554" s="8"/>
      <c r="N554" s="8"/>
      <c r="O554" s="8"/>
      <c r="P554" s="8"/>
    </row>
    <row r="555" ht="12.75" spans="1:16">
      <c r="A555" s="4"/>
      <c r="B555" s="5"/>
      <c r="C555" s="5"/>
      <c r="D555" s="4"/>
      <c r="E555" s="5"/>
      <c r="F555" s="3"/>
      <c r="G555" s="3"/>
      <c r="K555" s="8"/>
      <c r="L555" s="8"/>
      <c r="M555" s="8"/>
      <c r="N555" s="8"/>
      <c r="O555" s="8"/>
      <c r="P555" s="8"/>
    </row>
    <row r="556" ht="12.75" spans="1:16">
      <c r="A556" s="4"/>
      <c r="B556" s="5"/>
      <c r="C556" s="5"/>
      <c r="D556" s="4"/>
      <c r="E556" s="5"/>
      <c r="F556" s="3"/>
      <c r="G556" s="3"/>
      <c r="K556" s="8"/>
      <c r="L556" s="8"/>
      <c r="M556" s="8"/>
      <c r="N556" s="8"/>
      <c r="O556" s="8"/>
      <c r="P556" s="8"/>
    </row>
    <row r="557" ht="12.75" spans="1:16">
      <c r="A557" s="4"/>
      <c r="B557" s="5"/>
      <c r="C557" s="5"/>
      <c r="D557" s="4"/>
      <c r="E557" s="5"/>
      <c r="F557" s="3"/>
      <c r="G557" s="3"/>
      <c r="K557" s="8"/>
      <c r="L557" s="8"/>
      <c r="M557" s="8"/>
      <c r="N557" s="8"/>
      <c r="O557" s="8"/>
      <c r="P557" s="8"/>
    </row>
    <row r="558" ht="12.75" spans="1:16">
      <c r="A558" s="4"/>
      <c r="B558" s="5"/>
      <c r="C558" s="5"/>
      <c r="D558" s="4"/>
      <c r="E558" s="5"/>
      <c r="F558" s="3"/>
      <c r="G558" s="3"/>
      <c r="K558" s="8"/>
      <c r="L558" s="8"/>
      <c r="M558" s="8"/>
      <c r="N558" s="8"/>
      <c r="O558" s="8"/>
      <c r="P558" s="8"/>
    </row>
    <row r="559" ht="12.75" spans="1:16">
      <c r="A559" s="4"/>
      <c r="B559" s="5"/>
      <c r="C559" s="5"/>
      <c r="D559" s="4"/>
      <c r="E559" s="5"/>
      <c r="F559" s="3"/>
      <c r="G559" s="3"/>
      <c r="K559" s="8"/>
      <c r="L559" s="8"/>
      <c r="M559" s="8"/>
      <c r="N559" s="8"/>
      <c r="O559" s="8"/>
      <c r="P559" s="8"/>
    </row>
    <row r="560" ht="12.75" spans="1:16">
      <c r="A560" s="4"/>
      <c r="B560" s="5"/>
      <c r="C560" s="5"/>
      <c r="D560" s="4"/>
      <c r="E560" s="5"/>
      <c r="F560" s="3"/>
      <c r="G560" s="3"/>
      <c r="K560" s="8"/>
      <c r="L560" s="8"/>
      <c r="M560" s="8"/>
      <c r="N560" s="8"/>
      <c r="O560" s="8"/>
      <c r="P560" s="8"/>
    </row>
    <row r="561" ht="12.75" spans="1:16">
      <c r="A561" s="4"/>
      <c r="B561" s="5"/>
      <c r="C561" s="5"/>
      <c r="D561" s="4"/>
      <c r="E561" s="5"/>
      <c r="F561" s="3"/>
      <c r="G561" s="3"/>
      <c r="K561" s="8"/>
      <c r="L561" s="8"/>
      <c r="M561" s="8"/>
      <c r="N561" s="8"/>
      <c r="O561" s="8"/>
      <c r="P561" s="8"/>
    </row>
    <row r="562" ht="12.75" spans="1:16">
      <c r="A562" s="4"/>
      <c r="B562" s="5"/>
      <c r="C562" s="5"/>
      <c r="D562" s="4"/>
      <c r="E562" s="5"/>
      <c r="F562" s="3"/>
      <c r="G562" s="3"/>
      <c r="K562" s="8"/>
      <c r="L562" s="8"/>
      <c r="M562" s="8"/>
      <c r="N562" s="8"/>
      <c r="O562" s="8"/>
      <c r="P562" s="8"/>
    </row>
    <row r="563" ht="12.75" spans="1:16">
      <c r="A563" s="4"/>
      <c r="B563" s="5"/>
      <c r="C563" s="5"/>
      <c r="D563" s="4"/>
      <c r="E563" s="5"/>
      <c r="F563" s="3"/>
      <c r="G563" s="3"/>
      <c r="K563" s="8"/>
      <c r="L563" s="8"/>
      <c r="M563" s="8"/>
      <c r="N563" s="8"/>
      <c r="O563" s="8"/>
      <c r="P563" s="8"/>
    </row>
    <row r="564" ht="12.75" spans="1:16">
      <c r="A564" s="4"/>
      <c r="B564" s="5"/>
      <c r="C564" s="5"/>
      <c r="D564" s="4"/>
      <c r="E564" s="5"/>
      <c r="F564" s="3"/>
      <c r="G564" s="3"/>
      <c r="K564" s="8"/>
      <c r="L564" s="8"/>
      <c r="M564" s="8"/>
      <c r="N564" s="8"/>
      <c r="O564" s="8"/>
      <c r="P564" s="8"/>
    </row>
    <row r="565" ht="12.75" spans="1:16">
      <c r="A565" s="4"/>
      <c r="B565" s="5"/>
      <c r="C565" s="5"/>
      <c r="D565" s="4"/>
      <c r="E565" s="5"/>
      <c r="F565" s="3"/>
      <c r="G565" s="3"/>
      <c r="K565" s="8"/>
      <c r="L565" s="8"/>
      <c r="M565" s="8"/>
      <c r="N565" s="8"/>
      <c r="O565" s="8"/>
      <c r="P565" s="8"/>
    </row>
    <row r="566" ht="12.75" spans="1:16">
      <c r="A566" s="4"/>
      <c r="B566" s="5"/>
      <c r="C566" s="5"/>
      <c r="D566" s="4"/>
      <c r="E566" s="5"/>
      <c r="F566" s="3"/>
      <c r="G566" s="3"/>
      <c r="K566" s="8"/>
      <c r="L566" s="8"/>
      <c r="M566" s="8"/>
      <c r="N566" s="8"/>
      <c r="O566" s="8"/>
      <c r="P566" s="8"/>
    </row>
    <row r="567" ht="12.75" spans="1:16">
      <c r="A567" s="4"/>
      <c r="B567" s="5"/>
      <c r="C567" s="5"/>
      <c r="D567" s="4"/>
      <c r="E567" s="5"/>
      <c r="F567" s="3"/>
      <c r="G567" s="3"/>
      <c r="K567" s="8"/>
      <c r="L567" s="8"/>
      <c r="M567" s="8"/>
      <c r="N567" s="8"/>
      <c r="O567" s="8"/>
      <c r="P567" s="8"/>
    </row>
    <row r="568" ht="12.75" spans="1:16">
      <c r="A568" s="4"/>
      <c r="B568" s="5"/>
      <c r="C568" s="5"/>
      <c r="D568" s="4"/>
      <c r="E568" s="5"/>
      <c r="F568" s="3"/>
      <c r="G568" s="3"/>
      <c r="K568" s="8"/>
      <c r="L568" s="8"/>
      <c r="M568" s="8"/>
      <c r="N568" s="8"/>
      <c r="O568" s="8"/>
      <c r="P568" s="8"/>
    </row>
    <row r="569" ht="12.75" spans="1:16">
      <c r="A569" s="4"/>
      <c r="B569" s="5"/>
      <c r="C569" s="5"/>
      <c r="D569" s="4"/>
      <c r="E569" s="5"/>
      <c r="F569" s="3"/>
      <c r="G569" s="3"/>
      <c r="K569" s="8"/>
      <c r="L569" s="8"/>
      <c r="M569" s="8"/>
      <c r="N569" s="8"/>
      <c r="O569" s="8"/>
      <c r="P569" s="8"/>
    </row>
    <row r="570" ht="12.75" spans="1:16">
      <c r="A570" s="4"/>
      <c r="B570" s="5"/>
      <c r="C570" s="5"/>
      <c r="D570" s="4"/>
      <c r="E570" s="5"/>
      <c r="F570" s="3"/>
      <c r="G570" s="3"/>
      <c r="K570" s="8"/>
      <c r="L570" s="8"/>
      <c r="M570" s="8"/>
      <c r="N570" s="8"/>
      <c r="O570" s="8"/>
      <c r="P570" s="8"/>
    </row>
    <row r="571" ht="12.75" spans="1:16">
      <c r="A571" s="4"/>
      <c r="B571" s="5"/>
      <c r="C571" s="5"/>
      <c r="D571" s="4"/>
      <c r="E571" s="5"/>
      <c r="F571" s="3"/>
      <c r="G571" s="3"/>
      <c r="K571" s="8"/>
      <c r="L571" s="8"/>
      <c r="M571" s="8"/>
      <c r="N571" s="8"/>
      <c r="O571" s="8"/>
      <c r="P571" s="8"/>
    </row>
    <row r="572" ht="12.75" spans="1:16">
      <c r="A572" s="4"/>
      <c r="B572" s="5"/>
      <c r="C572" s="5"/>
      <c r="D572" s="4"/>
      <c r="E572" s="5"/>
      <c r="F572" s="3"/>
      <c r="G572" s="3"/>
      <c r="K572" s="8"/>
      <c r="L572" s="8"/>
      <c r="M572" s="8"/>
      <c r="N572" s="8"/>
      <c r="O572" s="8"/>
      <c r="P572" s="8"/>
    </row>
    <row r="573" ht="12.75" spans="1:16">
      <c r="A573" s="4"/>
      <c r="B573" s="5"/>
      <c r="C573" s="5"/>
      <c r="D573" s="4"/>
      <c r="E573" s="5"/>
      <c r="F573" s="3"/>
      <c r="G573" s="3"/>
      <c r="K573" s="8"/>
      <c r="L573" s="8"/>
      <c r="M573" s="8"/>
      <c r="N573" s="8"/>
      <c r="O573" s="8"/>
      <c r="P573" s="8"/>
    </row>
    <row r="574" ht="12.75" spans="1:16">
      <c r="A574" s="4"/>
      <c r="B574" s="5"/>
      <c r="C574" s="5"/>
      <c r="D574" s="4"/>
      <c r="E574" s="5"/>
      <c r="F574" s="3"/>
      <c r="G574" s="3"/>
      <c r="K574" s="8"/>
      <c r="L574" s="8"/>
      <c r="M574" s="8"/>
      <c r="N574" s="8"/>
      <c r="O574" s="8"/>
      <c r="P574" s="8"/>
    </row>
    <row r="575" ht="12.75" spans="1:16">
      <c r="A575" s="4"/>
      <c r="B575" s="5"/>
      <c r="C575" s="5"/>
      <c r="D575" s="4"/>
      <c r="E575" s="5"/>
      <c r="F575" s="3"/>
      <c r="G575" s="3"/>
      <c r="K575" s="8"/>
      <c r="L575" s="8"/>
      <c r="M575" s="8"/>
      <c r="N575" s="8"/>
      <c r="O575" s="8"/>
      <c r="P575" s="8"/>
    </row>
    <row r="576" ht="12.75" spans="1:16">
      <c r="A576" s="4"/>
      <c r="B576" s="5"/>
      <c r="C576" s="5"/>
      <c r="D576" s="4"/>
      <c r="E576" s="5"/>
      <c r="F576" s="3"/>
      <c r="G576" s="3"/>
      <c r="K576" s="8"/>
      <c r="L576" s="8"/>
      <c r="M576" s="8"/>
      <c r="N576" s="8"/>
      <c r="O576" s="8"/>
      <c r="P576" s="8"/>
    </row>
    <row r="577" ht="12.75" spans="1:16">
      <c r="A577" s="4"/>
      <c r="B577" s="5"/>
      <c r="C577" s="5"/>
      <c r="D577" s="4"/>
      <c r="E577" s="5"/>
      <c r="F577" s="3"/>
      <c r="G577" s="3"/>
      <c r="K577" s="8"/>
      <c r="L577" s="8"/>
      <c r="M577" s="8"/>
      <c r="N577" s="8"/>
      <c r="O577" s="8"/>
      <c r="P577" s="8"/>
    </row>
    <row r="578" ht="12.75" spans="1:16">
      <c r="A578" s="4"/>
      <c r="B578" s="5"/>
      <c r="C578" s="5"/>
      <c r="D578" s="4"/>
      <c r="E578" s="5"/>
      <c r="F578" s="3"/>
      <c r="G578" s="3"/>
      <c r="K578" s="8"/>
      <c r="L578" s="8"/>
      <c r="M578" s="8"/>
      <c r="N578" s="8"/>
      <c r="O578" s="8"/>
      <c r="P578" s="8"/>
    </row>
    <row r="579" ht="12.75" spans="1:16">
      <c r="A579" s="4"/>
      <c r="B579" s="5"/>
      <c r="C579" s="5"/>
      <c r="D579" s="4"/>
      <c r="E579" s="5"/>
      <c r="F579" s="3"/>
      <c r="G579" s="3"/>
      <c r="K579" s="8"/>
      <c r="L579" s="8"/>
      <c r="M579" s="8"/>
      <c r="N579" s="8"/>
      <c r="O579" s="8"/>
      <c r="P579" s="8"/>
    </row>
    <row r="580" ht="12.75" spans="1:16">
      <c r="A580" s="4"/>
      <c r="B580" s="5"/>
      <c r="C580" s="5"/>
      <c r="D580" s="4"/>
      <c r="E580" s="5"/>
      <c r="F580" s="3"/>
      <c r="G580" s="3"/>
      <c r="K580" s="8"/>
      <c r="L580" s="8"/>
      <c r="M580" s="8"/>
      <c r="N580" s="8"/>
      <c r="O580" s="8"/>
      <c r="P580" s="8"/>
    </row>
    <row r="581" ht="12.75" spans="1:16">
      <c r="A581" s="4"/>
      <c r="B581" s="5"/>
      <c r="C581" s="5"/>
      <c r="D581" s="4"/>
      <c r="E581" s="5"/>
      <c r="F581" s="3"/>
      <c r="G581" s="3"/>
      <c r="K581" s="8"/>
      <c r="L581" s="8"/>
      <c r="M581" s="8"/>
      <c r="N581" s="8"/>
      <c r="O581" s="8"/>
      <c r="P581" s="8"/>
    </row>
    <row r="582" ht="12.75" spans="1:16">
      <c r="A582" s="4"/>
      <c r="B582" s="5"/>
      <c r="C582" s="5"/>
      <c r="D582" s="4"/>
      <c r="E582" s="5"/>
      <c r="F582" s="3"/>
      <c r="G582" s="3"/>
      <c r="K582" s="8"/>
      <c r="L582" s="8"/>
      <c r="M582" s="8"/>
      <c r="N582" s="8"/>
      <c r="O582" s="8"/>
      <c r="P582" s="8"/>
    </row>
    <row r="583" ht="12.75" spans="1:16">
      <c r="A583" s="4"/>
      <c r="B583" s="5"/>
      <c r="C583" s="5"/>
      <c r="D583" s="4"/>
      <c r="E583" s="5"/>
      <c r="F583" s="3"/>
      <c r="G583" s="3"/>
      <c r="K583" s="8"/>
      <c r="L583" s="8"/>
      <c r="M583" s="8"/>
      <c r="N583" s="8"/>
      <c r="O583" s="8"/>
      <c r="P583" s="8"/>
    </row>
    <row r="584" ht="12.75" spans="1:16">
      <c r="A584" s="4"/>
      <c r="B584" s="5"/>
      <c r="C584" s="5"/>
      <c r="D584" s="4"/>
      <c r="E584" s="5"/>
      <c r="F584" s="3"/>
      <c r="G584" s="3"/>
      <c r="K584" s="8"/>
      <c r="L584" s="8"/>
      <c r="M584" s="8"/>
      <c r="N584" s="8"/>
      <c r="O584" s="8"/>
      <c r="P584" s="8"/>
    </row>
    <row r="585" ht="12.75" spans="1:16">
      <c r="A585" s="4"/>
      <c r="B585" s="5"/>
      <c r="C585" s="5"/>
      <c r="D585" s="4"/>
      <c r="E585" s="5"/>
      <c r="F585" s="3"/>
      <c r="G585" s="3"/>
      <c r="K585" s="8"/>
      <c r="L585" s="8"/>
      <c r="M585" s="8"/>
      <c r="N585" s="8"/>
      <c r="O585" s="8"/>
      <c r="P585" s="8"/>
    </row>
    <row r="586" ht="12.75" spans="1:16">
      <c r="A586" s="4"/>
      <c r="B586" s="5"/>
      <c r="C586" s="5"/>
      <c r="D586" s="4"/>
      <c r="E586" s="5"/>
      <c r="F586" s="3"/>
      <c r="G586" s="3"/>
      <c r="K586" s="8"/>
      <c r="L586" s="8"/>
      <c r="M586" s="8"/>
      <c r="N586" s="8"/>
      <c r="O586" s="8"/>
      <c r="P586" s="8"/>
    </row>
    <row r="587" ht="12.75" spans="1:16">
      <c r="A587" s="4"/>
      <c r="B587" s="5"/>
      <c r="C587" s="5"/>
      <c r="D587" s="4"/>
      <c r="E587" s="5"/>
      <c r="F587" s="3"/>
      <c r="G587" s="3"/>
      <c r="K587" s="8"/>
      <c r="L587" s="8"/>
      <c r="M587" s="8"/>
      <c r="N587" s="8"/>
      <c r="O587" s="8"/>
      <c r="P587" s="8"/>
    </row>
    <row r="588" ht="12.75" spans="1:16">
      <c r="A588" s="4"/>
      <c r="B588" s="5"/>
      <c r="C588" s="5"/>
      <c r="D588" s="4"/>
      <c r="E588" s="5"/>
      <c r="F588" s="3"/>
      <c r="G588" s="3"/>
      <c r="K588" s="8"/>
      <c r="L588" s="8"/>
      <c r="M588" s="8"/>
      <c r="N588" s="8"/>
      <c r="O588" s="8"/>
      <c r="P588" s="8"/>
    </row>
    <row r="589" ht="12.75" spans="1:16">
      <c r="A589" s="4"/>
      <c r="B589" s="5"/>
      <c r="C589" s="5"/>
      <c r="D589" s="4"/>
      <c r="E589" s="5"/>
      <c r="F589" s="3"/>
      <c r="G589" s="3"/>
      <c r="K589" s="8"/>
      <c r="L589" s="8"/>
      <c r="M589" s="8"/>
      <c r="N589" s="8"/>
      <c r="O589" s="8"/>
      <c r="P589" s="8"/>
    </row>
    <row r="590" ht="12.75" spans="1:16">
      <c r="A590" s="4"/>
      <c r="B590" s="5"/>
      <c r="C590" s="5"/>
      <c r="D590" s="4"/>
      <c r="E590" s="5"/>
      <c r="F590" s="3"/>
      <c r="G590" s="3"/>
      <c r="K590" s="8"/>
      <c r="L590" s="8"/>
      <c r="M590" s="8"/>
      <c r="N590" s="8"/>
      <c r="O590" s="8"/>
      <c r="P590" s="8"/>
    </row>
    <row r="591" ht="12.75" spans="1:16">
      <c r="A591" s="4"/>
      <c r="B591" s="5"/>
      <c r="C591" s="5"/>
      <c r="D591" s="4"/>
      <c r="E591" s="5"/>
      <c r="F591" s="3"/>
      <c r="G591" s="3"/>
      <c r="K591" s="8"/>
      <c r="L591" s="8"/>
      <c r="M591" s="8"/>
      <c r="N591" s="8"/>
      <c r="O591" s="8"/>
      <c r="P591" s="8"/>
    </row>
    <row r="592" ht="12.75" spans="1:16">
      <c r="A592" s="4"/>
      <c r="B592" s="5"/>
      <c r="C592" s="5"/>
      <c r="D592" s="4"/>
      <c r="E592" s="5"/>
      <c r="F592" s="3"/>
      <c r="G592" s="3"/>
      <c r="K592" s="8"/>
      <c r="L592" s="8"/>
      <c r="M592" s="8"/>
      <c r="N592" s="8"/>
      <c r="O592" s="8"/>
      <c r="P592" s="8"/>
    </row>
    <row r="593" ht="12.75" spans="1:16">
      <c r="A593" s="4"/>
      <c r="B593" s="5"/>
      <c r="C593" s="5"/>
      <c r="D593" s="4"/>
      <c r="E593" s="5"/>
      <c r="F593" s="3"/>
      <c r="G593" s="3"/>
      <c r="K593" s="8"/>
      <c r="L593" s="8"/>
      <c r="M593" s="8"/>
      <c r="N593" s="8"/>
      <c r="O593" s="8"/>
      <c r="P593" s="8"/>
    </row>
    <row r="594" ht="12.75" spans="1:16">
      <c r="A594" s="4"/>
      <c r="B594" s="5"/>
      <c r="C594" s="5"/>
      <c r="D594" s="4"/>
      <c r="E594" s="5"/>
      <c r="F594" s="3"/>
      <c r="G594" s="3"/>
      <c r="K594" s="8"/>
      <c r="L594" s="8"/>
      <c r="M594" s="8"/>
      <c r="N594" s="8"/>
      <c r="O594" s="8"/>
      <c r="P594" s="8"/>
    </row>
    <row r="595" ht="12.75" spans="1:16">
      <c r="A595" s="4"/>
      <c r="B595" s="5"/>
      <c r="C595" s="5"/>
      <c r="D595" s="4"/>
      <c r="E595" s="5"/>
      <c r="F595" s="3"/>
      <c r="G595" s="3"/>
      <c r="K595" s="8"/>
      <c r="L595" s="8"/>
      <c r="M595" s="8"/>
      <c r="N595" s="8"/>
      <c r="O595" s="8"/>
      <c r="P595" s="8"/>
    </row>
    <row r="596" ht="12.75" spans="1:16">
      <c r="A596" s="4"/>
      <c r="B596" s="5"/>
      <c r="C596" s="5"/>
      <c r="D596" s="4"/>
      <c r="E596" s="5"/>
      <c r="F596" s="3"/>
      <c r="G596" s="3"/>
      <c r="K596" s="8"/>
      <c r="L596" s="8"/>
      <c r="M596" s="8"/>
      <c r="N596" s="8"/>
      <c r="O596" s="8"/>
      <c r="P596" s="8"/>
    </row>
    <row r="597" ht="12.75" spans="1:16">
      <c r="A597" s="4"/>
      <c r="B597" s="5"/>
      <c r="C597" s="5"/>
      <c r="D597" s="4"/>
      <c r="E597" s="5"/>
      <c r="F597" s="3"/>
      <c r="G597" s="3"/>
      <c r="K597" s="8"/>
      <c r="L597" s="8"/>
      <c r="M597" s="8"/>
      <c r="N597" s="8"/>
      <c r="O597" s="8"/>
      <c r="P597" s="8"/>
    </row>
    <row r="598" ht="12.75" spans="1:16">
      <c r="A598" s="4"/>
      <c r="B598" s="5"/>
      <c r="C598" s="5"/>
      <c r="D598" s="4"/>
      <c r="E598" s="5"/>
      <c r="F598" s="3"/>
      <c r="G598" s="3"/>
      <c r="K598" s="8"/>
      <c r="L598" s="8"/>
      <c r="M598" s="8"/>
      <c r="N598" s="8"/>
      <c r="O598" s="8"/>
      <c r="P598" s="8"/>
    </row>
    <row r="599" ht="12.75" spans="1:16">
      <c r="A599" s="4"/>
      <c r="B599" s="5"/>
      <c r="C599" s="5"/>
      <c r="D599" s="4"/>
      <c r="E599" s="5"/>
      <c r="F599" s="3"/>
      <c r="G599" s="3"/>
      <c r="K599" s="8"/>
      <c r="L599" s="8"/>
      <c r="M599" s="8"/>
      <c r="N599" s="8"/>
      <c r="O599" s="8"/>
      <c r="P599" s="8"/>
    </row>
    <row r="600" ht="12.75" spans="1:16">
      <c r="A600" s="4"/>
      <c r="B600" s="5"/>
      <c r="C600" s="5"/>
      <c r="D600" s="4"/>
      <c r="E600" s="5"/>
      <c r="F600" s="3"/>
      <c r="G600" s="3"/>
      <c r="K600" s="8"/>
      <c r="L600" s="8"/>
      <c r="M600" s="8"/>
      <c r="N600" s="8"/>
      <c r="O600" s="8"/>
      <c r="P600" s="8"/>
    </row>
    <row r="601" ht="12.75" spans="1:16">
      <c r="A601" s="4"/>
      <c r="B601" s="5"/>
      <c r="C601" s="5"/>
      <c r="D601" s="4"/>
      <c r="E601" s="5"/>
      <c r="F601" s="3"/>
      <c r="G601" s="3"/>
      <c r="K601" s="8"/>
      <c r="L601" s="8"/>
      <c r="M601" s="8"/>
      <c r="N601" s="8"/>
      <c r="O601" s="8"/>
      <c r="P601" s="8"/>
    </row>
    <row r="602" ht="12.75" spans="1:16">
      <c r="A602" s="4"/>
      <c r="B602" s="5"/>
      <c r="C602" s="5"/>
      <c r="D602" s="4"/>
      <c r="E602" s="5"/>
      <c r="F602" s="3"/>
      <c r="G602" s="3"/>
      <c r="K602" s="8"/>
      <c r="L602" s="8"/>
      <c r="M602" s="8"/>
      <c r="N602" s="8"/>
      <c r="O602" s="8"/>
      <c r="P602" s="8"/>
    </row>
    <row r="603" ht="12.75" spans="1:16">
      <c r="A603" s="4"/>
      <c r="B603" s="5"/>
      <c r="C603" s="5"/>
      <c r="D603" s="4"/>
      <c r="E603" s="5"/>
      <c r="F603" s="3"/>
      <c r="G603" s="3"/>
      <c r="K603" s="8"/>
      <c r="L603" s="8"/>
      <c r="M603" s="8"/>
      <c r="N603" s="8"/>
      <c r="O603" s="8"/>
      <c r="P603" s="8"/>
    </row>
    <row r="604" ht="12.75" spans="1:16">
      <c r="A604" s="4"/>
      <c r="B604" s="5"/>
      <c r="C604" s="5"/>
      <c r="D604" s="4"/>
      <c r="E604" s="5"/>
      <c r="F604" s="3"/>
      <c r="G604" s="3"/>
      <c r="K604" s="8"/>
      <c r="L604" s="8"/>
      <c r="M604" s="8"/>
      <c r="N604" s="8"/>
      <c r="O604" s="8"/>
      <c r="P604" s="8"/>
    </row>
    <row r="605" ht="12.75" spans="1:16">
      <c r="A605" s="4"/>
      <c r="B605" s="5"/>
      <c r="C605" s="5"/>
      <c r="D605" s="4"/>
      <c r="E605" s="5"/>
      <c r="F605" s="3"/>
      <c r="G605" s="3"/>
      <c r="K605" s="8"/>
      <c r="L605" s="8"/>
      <c r="M605" s="8"/>
      <c r="N605" s="8"/>
      <c r="O605" s="8"/>
      <c r="P605" s="8"/>
    </row>
    <row r="606" ht="12.75" spans="1:16">
      <c r="A606" s="4"/>
      <c r="B606" s="5"/>
      <c r="C606" s="5"/>
      <c r="D606" s="4"/>
      <c r="E606" s="5"/>
      <c r="F606" s="3"/>
      <c r="G606" s="3"/>
      <c r="K606" s="8"/>
      <c r="L606" s="8"/>
      <c r="M606" s="8"/>
      <c r="N606" s="8"/>
      <c r="O606" s="8"/>
      <c r="P606" s="8"/>
    </row>
    <row r="607" ht="12.75" spans="1:16">
      <c r="A607" s="4"/>
      <c r="B607" s="5"/>
      <c r="C607" s="5"/>
      <c r="D607" s="4"/>
      <c r="E607" s="5"/>
      <c r="F607" s="3"/>
      <c r="G607" s="3"/>
      <c r="K607" s="8"/>
      <c r="L607" s="8"/>
      <c r="M607" s="8"/>
      <c r="N607" s="8"/>
      <c r="O607" s="8"/>
      <c r="P607" s="8"/>
    </row>
    <row r="608" ht="12.75" spans="1:16">
      <c r="A608" s="4"/>
      <c r="B608" s="5"/>
      <c r="C608" s="5"/>
      <c r="D608" s="4"/>
      <c r="E608" s="5"/>
      <c r="F608" s="3"/>
      <c r="G608" s="3"/>
      <c r="K608" s="8"/>
      <c r="L608" s="8"/>
      <c r="M608" s="8"/>
      <c r="N608" s="8"/>
      <c r="O608" s="8"/>
      <c r="P608" s="8"/>
    </row>
    <row r="609" ht="12.75" spans="1:16">
      <c r="A609" s="4"/>
      <c r="B609" s="5"/>
      <c r="C609" s="5"/>
      <c r="D609" s="4"/>
      <c r="E609" s="5"/>
      <c r="F609" s="3"/>
      <c r="G609" s="3"/>
      <c r="K609" s="8"/>
      <c r="L609" s="8"/>
      <c r="M609" s="8"/>
      <c r="N609" s="8"/>
      <c r="O609" s="8"/>
      <c r="P609" s="8"/>
    </row>
    <row r="610" ht="12.75" spans="1:16">
      <c r="A610" s="4"/>
      <c r="B610" s="5"/>
      <c r="C610" s="5"/>
      <c r="D610" s="4"/>
      <c r="E610" s="5"/>
      <c r="F610" s="3"/>
      <c r="G610" s="3"/>
      <c r="K610" s="8"/>
      <c r="L610" s="8"/>
      <c r="M610" s="8"/>
      <c r="N610" s="8"/>
      <c r="O610" s="8"/>
      <c r="P610" s="8"/>
    </row>
    <row r="611" ht="12.75" spans="1:16">
      <c r="A611" s="4"/>
      <c r="B611" s="5"/>
      <c r="C611" s="5"/>
      <c r="D611" s="4"/>
      <c r="E611" s="5"/>
      <c r="F611" s="3"/>
      <c r="G611" s="3"/>
      <c r="K611" s="8"/>
      <c r="L611" s="8"/>
      <c r="M611" s="8"/>
      <c r="N611" s="8"/>
      <c r="O611" s="8"/>
      <c r="P611" s="8"/>
    </row>
    <row r="612" ht="12.75" spans="1:16">
      <c r="A612" s="4"/>
      <c r="B612" s="5"/>
      <c r="C612" s="5"/>
      <c r="D612" s="4"/>
      <c r="E612" s="5"/>
      <c r="F612" s="3"/>
      <c r="G612" s="3"/>
      <c r="K612" s="8"/>
      <c r="L612" s="8"/>
      <c r="M612" s="8"/>
      <c r="N612" s="8"/>
      <c r="O612" s="8"/>
      <c r="P612" s="8"/>
    </row>
    <row r="613" ht="12.75" spans="1:16">
      <c r="A613" s="4"/>
      <c r="B613" s="5"/>
      <c r="C613" s="5"/>
      <c r="D613" s="4"/>
      <c r="E613" s="5"/>
      <c r="F613" s="3"/>
      <c r="G613" s="3"/>
      <c r="K613" s="8"/>
      <c r="L613" s="8"/>
      <c r="M613" s="8"/>
      <c r="N613" s="8"/>
      <c r="O613" s="8"/>
      <c r="P613" s="8"/>
    </row>
    <row r="614" ht="12.75" spans="1:16">
      <c r="A614" s="4"/>
      <c r="B614" s="5"/>
      <c r="C614" s="5"/>
      <c r="D614" s="4"/>
      <c r="E614" s="5"/>
      <c r="F614" s="3"/>
      <c r="G614" s="3"/>
      <c r="K614" s="8"/>
      <c r="L614" s="8"/>
      <c r="M614" s="8"/>
      <c r="N614" s="8"/>
      <c r="O614" s="8"/>
      <c r="P614" s="8"/>
    </row>
    <row r="615" ht="12.75" spans="1:16">
      <c r="A615" s="4"/>
      <c r="B615" s="5"/>
      <c r="C615" s="5"/>
      <c r="D615" s="4"/>
      <c r="E615" s="5"/>
      <c r="F615" s="3"/>
      <c r="G615" s="3"/>
      <c r="K615" s="8"/>
      <c r="L615" s="8"/>
      <c r="M615" s="8"/>
      <c r="N615" s="8"/>
      <c r="O615" s="8"/>
      <c r="P615" s="8"/>
    </row>
    <row r="616" ht="12.75" spans="1:16">
      <c r="A616" s="4"/>
      <c r="B616" s="5"/>
      <c r="C616" s="5"/>
      <c r="D616" s="4"/>
      <c r="E616" s="5"/>
      <c r="F616" s="3"/>
      <c r="G616" s="3"/>
      <c r="K616" s="8"/>
      <c r="L616" s="8"/>
      <c r="M616" s="8"/>
      <c r="N616" s="8"/>
      <c r="O616" s="8"/>
      <c r="P616" s="8"/>
    </row>
    <row r="617" ht="12.75" spans="1:16">
      <c r="A617" s="4"/>
      <c r="B617" s="5"/>
      <c r="C617" s="5"/>
      <c r="D617" s="4"/>
      <c r="E617" s="5"/>
      <c r="F617" s="3"/>
      <c r="G617" s="3"/>
      <c r="K617" s="8"/>
      <c r="L617" s="8"/>
      <c r="M617" s="8"/>
      <c r="N617" s="8"/>
      <c r="O617" s="8"/>
      <c r="P617" s="8"/>
    </row>
    <row r="618" ht="12.75" spans="1:16">
      <c r="A618" s="4"/>
      <c r="B618" s="5"/>
      <c r="C618" s="5"/>
      <c r="D618" s="4"/>
      <c r="E618" s="5"/>
      <c r="F618" s="3"/>
      <c r="G618" s="3"/>
      <c r="K618" s="8"/>
      <c r="L618" s="8"/>
      <c r="M618" s="8"/>
      <c r="N618" s="8"/>
      <c r="O618" s="8"/>
      <c r="P618" s="8"/>
    </row>
    <row r="619" ht="12.75" spans="1:16">
      <c r="A619" s="4"/>
      <c r="B619" s="5"/>
      <c r="C619" s="5"/>
      <c r="D619" s="4"/>
      <c r="E619" s="5"/>
      <c r="F619" s="3"/>
      <c r="G619" s="3"/>
      <c r="K619" s="8"/>
      <c r="L619" s="8"/>
      <c r="M619" s="8"/>
      <c r="N619" s="8"/>
      <c r="O619" s="8"/>
      <c r="P619" s="8"/>
    </row>
    <row r="620" ht="12.75" spans="1:16">
      <c r="A620" s="4"/>
      <c r="B620" s="5"/>
      <c r="C620" s="5"/>
      <c r="D620" s="4"/>
      <c r="E620" s="5"/>
      <c r="F620" s="3"/>
      <c r="G620" s="3"/>
      <c r="K620" s="8"/>
      <c r="L620" s="8"/>
      <c r="M620" s="8"/>
      <c r="N620" s="8"/>
      <c r="O620" s="8"/>
      <c r="P620" s="8"/>
    </row>
    <row r="621" ht="12.75" spans="1:16">
      <c r="A621" s="4"/>
      <c r="B621" s="5"/>
      <c r="C621" s="5"/>
      <c r="D621" s="4"/>
      <c r="E621" s="5"/>
      <c r="F621" s="3"/>
      <c r="G621" s="3"/>
      <c r="K621" s="8"/>
      <c r="L621" s="8"/>
      <c r="M621" s="8"/>
      <c r="N621" s="8"/>
      <c r="O621" s="8"/>
      <c r="P621" s="8"/>
    </row>
    <row r="622" ht="12.75" spans="1:16">
      <c r="A622" s="4"/>
      <c r="B622" s="5"/>
      <c r="C622" s="5"/>
      <c r="D622" s="4"/>
      <c r="E622" s="5"/>
      <c r="F622" s="3"/>
      <c r="G622" s="3"/>
      <c r="K622" s="8"/>
      <c r="L622" s="8"/>
      <c r="M622" s="8"/>
      <c r="N622" s="8"/>
      <c r="O622" s="8"/>
      <c r="P622" s="8"/>
    </row>
    <row r="623" ht="12.75" spans="1:16">
      <c r="A623" s="4"/>
      <c r="B623" s="5"/>
      <c r="C623" s="5"/>
      <c r="D623" s="4"/>
      <c r="E623" s="5"/>
      <c r="F623" s="3"/>
      <c r="G623" s="3"/>
      <c r="K623" s="8"/>
      <c r="L623" s="8"/>
      <c r="M623" s="8"/>
      <c r="N623" s="8"/>
      <c r="O623" s="8"/>
      <c r="P623" s="8"/>
    </row>
    <row r="624" ht="12.75" spans="1:16">
      <c r="A624" s="4"/>
      <c r="B624" s="5"/>
      <c r="C624" s="5"/>
      <c r="D624" s="4"/>
      <c r="E624" s="5"/>
      <c r="F624" s="3"/>
      <c r="G624" s="3"/>
      <c r="K624" s="8"/>
      <c r="L624" s="8"/>
      <c r="M624" s="8"/>
      <c r="N624" s="8"/>
      <c r="O624" s="8"/>
      <c r="P624" s="8"/>
    </row>
    <row r="625" ht="12.75" spans="1:16">
      <c r="A625" s="4"/>
      <c r="B625" s="5"/>
      <c r="C625" s="5"/>
      <c r="D625" s="4"/>
      <c r="E625" s="5"/>
      <c r="F625" s="3"/>
      <c r="G625" s="3"/>
      <c r="K625" s="8"/>
      <c r="L625" s="8"/>
      <c r="M625" s="8"/>
      <c r="N625" s="8"/>
      <c r="O625" s="8"/>
      <c r="P625" s="8"/>
    </row>
    <row r="626" ht="12.75" spans="1:16">
      <c r="A626" s="4"/>
      <c r="B626" s="5"/>
      <c r="C626" s="5"/>
      <c r="D626" s="4"/>
      <c r="E626" s="5"/>
      <c r="F626" s="3"/>
      <c r="G626" s="3"/>
      <c r="K626" s="8"/>
      <c r="L626" s="8"/>
      <c r="M626" s="8"/>
      <c r="N626" s="8"/>
      <c r="O626" s="8"/>
      <c r="P626" s="8"/>
    </row>
    <row r="627" ht="12.75" spans="1:16">
      <c r="A627" s="4"/>
      <c r="B627" s="5"/>
      <c r="C627" s="5"/>
      <c r="D627" s="4"/>
      <c r="E627" s="5"/>
      <c r="F627" s="3"/>
      <c r="G627" s="3"/>
      <c r="K627" s="8"/>
      <c r="L627" s="8"/>
      <c r="M627" s="8"/>
      <c r="N627" s="8"/>
      <c r="O627" s="8"/>
      <c r="P627" s="8"/>
    </row>
    <row r="628" ht="12.75" spans="1:16">
      <c r="A628" s="4"/>
      <c r="B628" s="5"/>
      <c r="C628" s="5"/>
      <c r="D628" s="4"/>
      <c r="E628" s="5"/>
      <c r="F628" s="3"/>
      <c r="G628" s="3"/>
      <c r="K628" s="8"/>
      <c r="L628" s="8"/>
      <c r="M628" s="8"/>
      <c r="N628" s="8"/>
      <c r="O628" s="8"/>
      <c r="P628" s="8"/>
    </row>
    <row r="629" ht="12.75" spans="1:16">
      <c r="A629" s="4"/>
      <c r="B629" s="5"/>
      <c r="C629" s="5"/>
      <c r="D629" s="4"/>
      <c r="E629" s="5"/>
      <c r="F629" s="3"/>
      <c r="G629" s="3"/>
      <c r="K629" s="8"/>
      <c r="L629" s="8"/>
      <c r="M629" s="8"/>
      <c r="N629" s="8"/>
      <c r="O629" s="8"/>
      <c r="P629" s="8"/>
    </row>
    <row r="630" ht="12.75" spans="1:16">
      <c r="A630" s="4"/>
      <c r="B630" s="5"/>
      <c r="C630" s="5"/>
      <c r="D630" s="4"/>
      <c r="E630" s="5"/>
      <c r="F630" s="3"/>
      <c r="G630" s="3"/>
      <c r="K630" s="8"/>
      <c r="L630" s="8"/>
      <c r="M630" s="8"/>
      <c r="N630" s="8"/>
      <c r="O630" s="8"/>
      <c r="P630" s="8"/>
    </row>
    <row r="631" ht="12.75" spans="1:16">
      <c r="A631" s="4"/>
      <c r="B631" s="5"/>
      <c r="C631" s="5"/>
      <c r="D631" s="4"/>
      <c r="E631" s="5"/>
      <c r="F631" s="3"/>
      <c r="G631" s="3"/>
      <c r="K631" s="8"/>
      <c r="L631" s="8"/>
      <c r="M631" s="8"/>
      <c r="N631" s="8"/>
      <c r="O631" s="8"/>
      <c r="P631" s="8"/>
    </row>
    <row r="632" ht="12.75" spans="1:16">
      <c r="A632" s="4"/>
      <c r="B632" s="5"/>
      <c r="C632" s="5"/>
      <c r="D632" s="4"/>
      <c r="E632" s="5"/>
      <c r="F632" s="3"/>
      <c r="G632" s="3"/>
      <c r="K632" s="8"/>
      <c r="L632" s="8"/>
      <c r="M632" s="8"/>
      <c r="N632" s="8"/>
      <c r="O632" s="8"/>
      <c r="P632" s="8"/>
    </row>
    <row r="633" ht="12.75" spans="1:16">
      <c r="A633" s="4"/>
      <c r="B633" s="5"/>
      <c r="C633" s="5"/>
      <c r="D633" s="4"/>
      <c r="E633" s="5"/>
      <c r="F633" s="3"/>
      <c r="G633" s="3"/>
      <c r="K633" s="8"/>
      <c r="L633" s="8"/>
      <c r="M633" s="8"/>
      <c r="N633" s="8"/>
      <c r="O633" s="8"/>
      <c r="P633" s="8"/>
    </row>
    <row r="634" ht="12.75" spans="1:16">
      <c r="A634" s="4"/>
      <c r="B634" s="5"/>
      <c r="C634" s="5"/>
      <c r="D634" s="4"/>
      <c r="E634" s="5"/>
      <c r="F634" s="3"/>
      <c r="G634" s="3"/>
      <c r="K634" s="8"/>
      <c r="L634" s="8"/>
      <c r="M634" s="8"/>
      <c r="N634" s="8"/>
      <c r="O634" s="8"/>
      <c r="P634" s="8"/>
    </row>
    <row r="635" ht="12.75" spans="1:16">
      <c r="A635" s="4"/>
      <c r="B635" s="5"/>
      <c r="C635" s="5"/>
      <c r="D635" s="4"/>
      <c r="E635" s="5"/>
      <c r="F635" s="3"/>
      <c r="G635" s="3"/>
      <c r="K635" s="8"/>
      <c r="L635" s="8"/>
      <c r="M635" s="8"/>
      <c r="N635" s="8"/>
      <c r="O635" s="8"/>
      <c r="P635" s="8"/>
    </row>
    <row r="636" ht="12.75" spans="1:16">
      <c r="A636" s="4"/>
      <c r="B636" s="5"/>
      <c r="C636" s="5"/>
      <c r="D636" s="4"/>
      <c r="E636" s="5"/>
      <c r="F636" s="3"/>
      <c r="G636" s="3"/>
      <c r="K636" s="8"/>
      <c r="L636" s="8"/>
      <c r="M636" s="8"/>
      <c r="N636" s="8"/>
      <c r="O636" s="8"/>
      <c r="P636" s="8"/>
    </row>
    <row r="637" ht="12.75" spans="1:16">
      <c r="A637" s="4"/>
      <c r="B637" s="5"/>
      <c r="C637" s="5"/>
      <c r="D637" s="4"/>
      <c r="E637" s="5"/>
      <c r="F637" s="3"/>
      <c r="G637" s="3"/>
      <c r="K637" s="8"/>
      <c r="L637" s="8"/>
      <c r="M637" s="8"/>
      <c r="N637" s="8"/>
      <c r="O637" s="8"/>
      <c r="P637" s="8"/>
    </row>
    <row r="638" ht="12.75" spans="1:16">
      <c r="A638" s="4"/>
      <c r="B638" s="5"/>
      <c r="C638" s="5"/>
      <c r="D638" s="4"/>
      <c r="E638" s="5"/>
      <c r="F638" s="3"/>
      <c r="G638" s="3"/>
      <c r="K638" s="8"/>
      <c r="L638" s="8"/>
      <c r="M638" s="8"/>
      <c r="N638" s="8"/>
      <c r="O638" s="8"/>
      <c r="P638" s="8"/>
    </row>
    <row r="639" ht="12.75" spans="1:16">
      <c r="A639" s="4"/>
      <c r="B639" s="5"/>
      <c r="C639" s="5"/>
      <c r="D639" s="4"/>
      <c r="E639" s="5"/>
      <c r="F639" s="3"/>
      <c r="G639" s="3"/>
      <c r="K639" s="8"/>
      <c r="L639" s="8"/>
      <c r="M639" s="8"/>
      <c r="N639" s="8"/>
      <c r="O639" s="8"/>
      <c r="P639" s="8"/>
    </row>
    <row r="640" ht="12.75" spans="1:16">
      <c r="A640" s="4"/>
      <c r="B640" s="5"/>
      <c r="C640" s="5"/>
      <c r="D640" s="4"/>
      <c r="E640" s="5"/>
      <c r="F640" s="3"/>
      <c r="G640" s="3"/>
      <c r="K640" s="8"/>
      <c r="L640" s="8"/>
      <c r="M640" s="8"/>
      <c r="N640" s="8"/>
      <c r="O640" s="8"/>
      <c r="P640" s="8"/>
    </row>
    <row r="641" ht="12.75" spans="1:16">
      <c r="A641" s="4"/>
      <c r="B641" s="5"/>
      <c r="C641" s="5"/>
      <c r="D641" s="4"/>
      <c r="E641" s="5"/>
      <c r="F641" s="3"/>
      <c r="G641" s="3"/>
      <c r="K641" s="8"/>
      <c r="L641" s="8"/>
      <c r="M641" s="8"/>
      <c r="N641" s="8"/>
      <c r="O641" s="8"/>
      <c r="P641" s="8"/>
    </row>
    <row r="642" ht="12.75" spans="1:16">
      <c r="A642" s="4"/>
      <c r="B642" s="5"/>
      <c r="C642" s="5"/>
      <c r="D642" s="4"/>
      <c r="E642" s="5"/>
      <c r="F642" s="3"/>
      <c r="G642" s="3"/>
      <c r="K642" s="8"/>
      <c r="L642" s="8"/>
      <c r="M642" s="8"/>
      <c r="N642" s="8"/>
      <c r="O642" s="8"/>
      <c r="P642" s="8"/>
    </row>
    <row r="643" ht="12.75" spans="1:16">
      <c r="A643" s="4"/>
      <c r="B643" s="5"/>
      <c r="C643" s="5"/>
      <c r="D643" s="4"/>
      <c r="E643" s="5"/>
      <c r="F643" s="3"/>
      <c r="G643" s="3"/>
      <c r="K643" s="8"/>
      <c r="L643" s="8"/>
      <c r="M643" s="8"/>
      <c r="N643" s="8"/>
      <c r="O643" s="8"/>
      <c r="P643" s="8"/>
    </row>
    <row r="644" ht="12.75" spans="1:16">
      <c r="A644" s="4"/>
      <c r="B644" s="5"/>
      <c r="C644" s="5"/>
      <c r="D644" s="4"/>
      <c r="E644" s="5"/>
      <c r="F644" s="3"/>
      <c r="G644" s="3"/>
      <c r="K644" s="8"/>
      <c r="L644" s="8"/>
      <c r="M644" s="8"/>
      <c r="N644" s="8"/>
      <c r="O644" s="8"/>
      <c r="P644" s="8"/>
    </row>
    <row r="645" ht="12.75" spans="1:16">
      <c r="A645" s="4"/>
      <c r="B645" s="5"/>
      <c r="C645" s="5"/>
      <c r="D645" s="4"/>
      <c r="E645" s="5"/>
      <c r="F645" s="3"/>
      <c r="G645" s="3"/>
      <c r="K645" s="8"/>
      <c r="L645" s="8"/>
      <c r="M645" s="8"/>
      <c r="N645" s="8"/>
      <c r="O645" s="8"/>
      <c r="P645" s="8"/>
    </row>
    <row r="646" ht="12.75" spans="1:16">
      <c r="A646" s="4"/>
      <c r="B646" s="5"/>
      <c r="C646" s="5"/>
      <c r="D646" s="4"/>
      <c r="E646" s="5"/>
      <c r="F646" s="3"/>
      <c r="G646" s="3"/>
      <c r="K646" s="8"/>
      <c r="L646" s="8"/>
      <c r="M646" s="8"/>
      <c r="N646" s="8"/>
      <c r="O646" s="8"/>
      <c r="P646" s="8"/>
    </row>
    <row r="647" ht="12.75" spans="1:16">
      <c r="A647" s="4"/>
      <c r="B647" s="5"/>
      <c r="C647" s="5"/>
      <c r="D647" s="4"/>
      <c r="E647" s="5"/>
      <c r="F647" s="3"/>
      <c r="G647" s="3"/>
      <c r="K647" s="8"/>
      <c r="L647" s="8"/>
      <c r="M647" s="8"/>
      <c r="N647" s="8"/>
      <c r="O647" s="8"/>
      <c r="P647" s="8"/>
    </row>
    <row r="648" ht="12.75" spans="1:16">
      <c r="A648" s="4"/>
      <c r="B648" s="5"/>
      <c r="C648" s="5"/>
      <c r="D648" s="4"/>
      <c r="E648" s="5"/>
      <c r="F648" s="3"/>
      <c r="G648" s="3"/>
      <c r="K648" s="8"/>
      <c r="L648" s="8"/>
      <c r="M648" s="8"/>
      <c r="N648" s="8"/>
      <c r="O648" s="8"/>
      <c r="P648" s="8"/>
    </row>
    <row r="649" ht="12.75" spans="1:16">
      <c r="A649" s="4"/>
      <c r="B649" s="5"/>
      <c r="C649" s="5"/>
      <c r="D649" s="4"/>
      <c r="E649" s="5"/>
      <c r="F649" s="3"/>
      <c r="G649" s="3"/>
      <c r="K649" s="8"/>
      <c r="L649" s="8"/>
      <c r="M649" s="8"/>
      <c r="N649" s="8"/>
      <c r="O649" s="8"/>
      <c r="P649" s="8"/>
    </row>
    <row r="650" ht="12.75" spans="1:16">
      <c r="A650" s="4"/>
      <c r="B650" s="5"/>
      <c r="C650" s="5"/>
      <c r="D650" s="4"/>
      <c r="E650" s="5"/>
      <c r="F650" s="3"/>
      <c r="G650" s="3"/>
      <c r="K650" s="8"/>
      <c r="L650" s="8"/>
      <c r="M650" s="8"/>
      <c r="N650" s="8"/>
      <c r="O650" s="8"/>
      <c r="P650" s="8"/>
    </row>
    <row r="651" ht="12.75" spans="1:16">
      <c r="A651" s="4"/>
      <c r="B651" s="5"/>
      <c r="C651" s="5"/>
      <c r="D651" s="4"/>
      <c r="E651" s="5"/>
      <c r="F651" s="3"/>
      <c r="G651" s="3"/>
      <c r="K651" s="8"/>
      <c r="L651" s="8"/>
      <c r="M651" s="8"/>
      <c r="N651" s="8"/>
      <c r="O651" s="8"/>
      <c r="P651" s="8"/>
    </row>
    <row r="652" ht="12.75" spans="1:16">
      <c r="A652" s="4"/>
      <c r="B652" s="5"/>
      <c r="C652" s="5"/>
      <c r="D652" s="4"/>
      <c r="E652" s="5"/>
      <c r="F652" s="3"/>
      <c r="G652" s="3"/>
      <c r="K652" s="8"/>
      <c r="L652" s="8"/>
      <c r="M652" s="8"/>
      <c r="N652" s="8"/>
      <c r="O652" s="8"/>
      <c r="P652" s="8"/>
    </row>
    <row r="653" ht="12.75" spans="1:16">
      <c r="A653" s="4"/>
      <c r="B653" s="5"/>
      <c r="C653" s="5"/>
      <c r="D653" s="4"/>
      <c r="E653" s="5"/>
      <c r="F653" s="3"/>
      <c r="G653" s="3"/>
      <c r="K653" s="8"/>
      <c r="L653" s="8"/>
      <c r="M653" s="8"/>
      <c r="N653" s="8"/>
      <c r="O653" s="8"/>
      <c r="P653" s="8"/>
    </row>
    <row r="654" ht="12.75" spans="1:16">
      <c r="A654" s="4"/>
      <c r="B654" s="5"/>
      <c r="C654" s="5"/>
      <c r="D654" s="4"/>
      <c r="E654" s="5"/>
      <c r="F654" s="3"/>
      <c r="G654" s="3"/>
      <c r="K654" s="8"/>
      <c r="L654" s="8"/>
      <c r="M654" s="8"/>
      <c r="N654" s="8"/>
      <c r="O654" s="8"/>
      <c r="P654" s="8"/>
    </row>
    <row r="655" ht="12.75" spans="1:16">
      <c r="A655" s="4"/>
      <c r="B655" s="5"/>
      <c r="C655" s="5"/>
      <c r="D655" s="4"/>
      <c r="E655" s="5"/>
      <c r="F655" s="3"/>
      <c r="G655" s="3"/>
      <c r="K655" s="8"/>
      <c r="L655" s="8"/>
      <c r="M655" s="8"/>
      <c r="N655" s="8"/>
      <c r="O655" s="8"/>
      <c r="P655" s="8"/>
    </row>
    <row r="656" ht="12.75" spans="1:16">
      <c r="A656" s="4"/>
      <c r="B656" s="5"/>
      <c r="C656" s="5"/>
      <c r="D656" s="4"/>
      <c r="E656" s="5"/>
      <c r="F656" s="3"/>
      <c r="G656" s="3"/>
      <c r="K656" s="8"/>
      <c r="L656" s="8"/>
      <c r="M656" s="8"/>
      <c r="N656" s="8"/>
      <c r="O656" s="8"/>
      <c r="P656" s="8"/>
    </row>
    <row r="657" ht="12.75" spans="1:16">
      <c r="A657" s="4"/>
      <c r="B657" s="5"/>
      <c r="C657" s="5"/>
      <c r="D657" s="4"/>
      <c r="E657" s="5"/>
      <c r="F657" s="3"/>
      <c r="G657" s="3"/>
      <c r="K657" s="8"/>
      <c r="L657" s="8"/>
      <c r="M657" s="8"/>
      <c r="N657" s="8"/>
      <c r="O657" s="8"/>
      <c r="P657" s="8"/>
    </row>
    <row r="658" ht="12.75" spans="1:16">
      <c r="A658" s="4"/>
      <c r="B658" s="5"/>
      <c r="C658" s="5"/>
      <c r="D658" s="4"/>
      <c r="E658" s="5"/>
      <c r="F658" s="3"/>
      <c r="G658" s="3"/>
      <c r="K658" s="8"/>
      <c r="L658" s="8"/>
      <c r="M658" s="8"/>
      <c r="N658" s="8"/>
      <c r="O658" s="8"/>
      <c r="P658" s="8"/>
    </row>
    <row r="659" ht="12.75" spans="1:16">
      <c r="A659" s="4"/>
      <c r="B659" s="5"/>
      <c r="C659" s="5"/>
      <c r="D659" s="4"/>
      <c r="E659" s="5"/>
      <c r="F659" s="3"/>
      <c r="G659" s="3"/>
      <c r="K659" s="8"/>
      <c r="L659" s="8"/>
      <c r="M659" s="8"/>
      <c r="N659" s="8"/>
      <c r="O659" s="8"/>
      <c r="P659" s="8"/>
    </row>
    <row r="660" ht="12.75" spans="1:16">
      <c r="A660" s="4"/>
      <c r="B660" s="5"/>
      <c r="C660" s="5"/>
      <c r="D660" s="4"/>
      <c r="E660" s="5"/>
      <c r="F660" s="3"/>
      <c r="G660" s="3"/>
      <c r="K660" s="8"/>
      <c r="L660" s="8"/>
      <c r="M660" s="8"/>
      <c r="N660" s="8"/>
      <c r="O660" s="8"/>
      <c r="P660" s="8"/>
    </row>
    <row r="661" ht="12.75" spans="1:16">
      <c r="A661" s="4"/>
      <c r="B661" s="5"/>
      <c r="C661" s="5"/>
      <c r="D661" s="4"/>
      <c r="E661" s="5"/>
      <c r="F661" s="3"/>
      <c r="G661" s="3"/>
      <c r="K661" s="8"/>
      <c r="L661" s="8"/>
      <c r="M661" s="8"/>
      <c r="N661" s="8"/>
      <c r="O661" s="8"/>
      <c r="P661" s="8"/>
    </row>
    <row r="662" ht="12.75" spans="1:16">
      <c r="A662" s="4"/>
      <c r="B662" s="5"/>
      <c r="C662" s="5"/>
      <c r="D662" s="4"/>
      <c r="E662" s="5"/>
      <c r="F662" s="3"/>
      <c r="G662" s="3"/>
      <c r="K662" s="8"/>
      <c r="L662" s="8"/>
      <c r="M662" s="8"/>
      <c r="N662" s="8"/>
      <c r="O662" s="8"/>
      <c r="P662" s="8"/>
    </row>
    <row r="663" ht="12.75" spans="1:16">
      <c r="A663" s="4"/>
      <c r="B663" s="5"/>
      <c r="C663" s="5"/>
      <c r="D663" s="4"/>
      <c r="E663" s="5"/>
      <c r="F663" s="3"/>
      <c r="G663" s="3"/>
      <c r="K663" s="8"/>
      <c r="L663" s="8"/>
      <c r="M663" s="8"/>
      <c r="N663" s="8"/>
      <c r="O663" s="8"/>
      <c r="P663" s="8"/>
    </row>
    <row r="664" ht="12.75" spans="1:16">
      <c r="A664" s="4"/>
      <c r="B664" s="5"/>
      <c r="C664" s="5"/>
      <c r="D664" s="4"/>
      <c r="E664" s="5"/>
      <c r="F664" s="3"/>
      <c r="G664" s="3"/>
      <c r="K664" s="8"/>
      <c r="L664" s="8"/>
      <c r="M664" s="8"/>
      <c r="N664" s="8"/>
      <c r="O664" s="8"/>
      <c r="P664" s="8"/>
    </row>
    <row r="665" ht="12.75" spans="1:16">
      <c r="A665" s="4"/>
      <c r="B665" s="5"/>
      <c r="C665" s="5"/>
      <c r="D665" s="4"/>
      <c r="E665" s="5"/>
      <c r="F665" s="3"/>
      <c r="G665" s="3"/>
      <c r="K665" s="8"/>
      <c r="L665" s="8"/>
      <c r="M665" s="8"/>
      <c r="N665" s="8"/>
      <c r="O665" s="8"/>
      <c r="P665" s="8"/>
    </row>
    <row r="666" ht="12.75" spans="1:16">
      <c r="A666" s="4"/>
      <c r="B666" s="5"/>
      <c r="C666" s="5"/>
      <c r="D666" s="4"/>
      <c r="E666" s="5"/>
      <c r="F666" s="3"/>
      <c r="G666" s="3"/>
      <c r="K666" s="8"/>
      <c r="L666" s="8"/>
      <c r="M666" s="8"/>
      <c r="N666" s="8"/>
      <c r="O666" s="8"/>
      <c r="P666" s="8"/>
    </row>
    <row r="667" ht="12.75" spans="1:16">
      <c r="A667" s="4"/>
      <c r="B667" s="5"/>
      <c r="C667" s="5"/>
      <c r="D667" s="4"/>
      <c r="E667" s="5"/>
      <c r="F667" s="3"/>
      <c r="G667" s="3"/>
      <c r="K667" s="8"/>
      <c r="L667" s="8"/>
      <c r="M667" s="8"/>
      <c r="N667" s="8"/>
      <c r="O667" s="8"/>
      <c r="P667" s="8"/>
    </row>
    <row r="668" ht="12.75" spans="1:16">
      <c r="A668" s="4"/>
      <c r="B668" s="5"/>
      <c r="C668" s="5"/>
      <c r="D668" s="4"/>
      <c r="E668" s="5"/>
      <c r="F668" s="3"/>
      <c r="G668" s="3"/>
      <c r="K668" s="8"/>
      <c r="L668" s="8"/>
      <c r="M668" s="8"/>
      <c r="N668" s="8"/>
      <c r="O668" s="8"/>
      <c r="P668" s="8"/>
    </row>
    <row r="669" ht="12.75" spans="1:16">
      <c r="A669" s="4"/>
      <c r="B669" s="5"/>
      <c r="C669" s="5"/>
      <c r="D669" s="4"/>
      <c r="E669" s="5"/>
      <c r="F669" s="3"/>
      <c r="G669" s="3"/>
      <c r="K669" s="8"/>
      <c r="L669" s="8"/>
      <c r="M669" s="8"/>
      <c r="N669" s="8"/>
      <c r="O669" s="8"/>
      <c r="P669" s="8"/>
    </row>
    <row r="670" ht="12.75" spans="1:16">
      <c r="A670" s="4"/>
      <c r="B670" s="5"/>
      <c r="C670" s="5"/>
      <c r="D670" s="4"/>
      <c r="E670" s="5"/>
      <c r="F670" s="3"/>
      <c r="G670" s="3"/>
      <c r="K670" s="8"/>
      <c r="L670" s="8"/>
      <c r="M670" s="8"/>
      <c r="N670" s="8"/>
      <c r="O670" s="8"/>
      <c r="P670" s="8"/>
    </row>
    <row r="671" ht="12.75" spans="1:16">
      <c r="A671" s="4"/>
      <c r="B671" s="5"/>
      <c r="C671" s="5"/>
      <c r="D671" s="4"/>
      <c r="E671" s="5"/>
      <c r="F671" s="3"/>
      <c r="G671" s="3"/>
      <c r="K671" s="8"/>
      <c r="L671" s="8"/>
      <c r="M671" s="8"/>
      <c r="N671" s="8"/>
      <c r="O671" s="8"/>
      <c r="P671" s="8"/>
    </row>
    <row r="672" ht="12.75" spans="1:16">
      <c r="A672" s="4"/>
      <c r="B672" s="5"/>
      <c r="C672" s="5"/>
      <c r="D672" s="4"/>
      <c r="E672" s="5"/>
      <c r="F672" s="3"/>
      <c r="G672" s="3"/>
      <c r="K672" s="8"/>
      <c r="L672" s="8"/>
      <c r="M672" s="8"/>
      <c r="N672" s="8"/>
      <c r="O672" s="8"/>
      <c r="P672" s="8"/>
    </row>
    <row r="673" ht="12.75" spans="1:16">
      <c r="A673" s="4"/>
      <c r="B673" s="5"/>
      <c r="C673" s="5"/>
      <c r="D673" s="4"/>
      <c r="E673" s="5"/>
      <c r="F673" s="3"/>
      <c r="G673" s="3"/>
      <c r="K673" s="8"/>
      <c r="L673" s="8"/>
      <c r="M673" s="8"/>
      <c r="N673" s="8"/>
      <c r="O673" s="8"/>
      <c r="P673" s="8"/>
    </row>
    <row r="674" ht="12.75" spans="1:16">
      <c r="A674" s="4"/>
      <c r="B674" s="5"/>
      <c r="C674" s="5"/>
      <c r="D674" s="4"/>
      <c r="E674" s="5"/>
      <c r="F674" s="3"/>
      <c r="G674" s="3"/>
      <c r="K674" s="8"/>
      <c r="L674" s="8"/>
      <c r="M674" s="8"/>
      <c r="N674" s="8"/>
      <c r="O674" s="8"/>
      <c r="P674" s="8"/>
    </row>
    <row r="675" ht="12.75" spans="1:16">
      <c r="A675" s="4"/>
      <c r="B675" s="5"/>
      <c r="C675" s="5"/>
      <c r="D675" s="4"/>
      <c r="E675" s="5"/>
      <c r="F675" s="3"/>
      <c r="G675" s="3"/>
      <c r="K675" s="8"/>
      <c r="L675" s="8"/>
      <c r="M675" s="8"/>
      <c r="N675" s="8"/>
      <c r="O675" s="8"/>
      <c r="P675" s="8"/>
    </row>
    <row r="676" ht="12.75" spans="1:16">
      <c r="A676" s="4"/>
      <c r="B676" s="5"/>
      <c r="C676" s="5"/>
      <c r="D676" s="4"/>
      <c r="E676" s="5"/>
      <c r="F676" s="3"/>
      <c r="G676" s="3"/>
      <c r="K676" s="8"/>
      <c r="L676" s="8"/>
      <c r="M676" s="8"/>
      <c r="N676" s="8"/>
      <c r="O676" s="8"/>
      <c r="P676" s="8"/>
    </row>
    <row r="677" ht="12.75" spans="1:16">
      <c r="A677" s="4"/>
      <c r="B677" s="5"/>
      <c r="C677" s="5"/>
      <c r="D677" s="4"/>
      <c r="E677" s="5"/>
      <c r="F677" s="3"/>
      <c r="G677" s="3"/>
      <c r="K677" s="8"/>
      <c r="L677" s="8"/>
      <c r="M677" s="8"/>
      <c r="N677" s="8"/>
      <c r="O677" s="8"/>
      <c r="P677" s="8"/>
    </row>
    <row r="678" ht="12.75" spans="1:16">
      <c r="A678" s="4"/>
      <c r="B678" s="5"/>
      <c r="C678" s="5"/>
      <c r="D678" s="4"/>
      <c r="E678" s="5"/>
      <c r="F678" s="3"/>
      <c r="G678" s="3"/>
      <c r="K678" s="8"/>
      <c r="L678" s="8"/>
      <c r="M678" s="8"/>
      <c r="N678" s="8"/>
      <c r="O678" s="8"/>
      <c r="P678" s="8"/>
    </row>
    <row r="679" ht="12.75" spans="1:16">
      <c r="A679" s="4"/>
      <c r="B679" s="5"/>
      <c r="C679" s="5"/>
      <c r="D679" s="4"/>
      <c r="E679" s="5"/>
      <c r="F679" s="3"/>
      <c r="G679" s="3"/>
      <c r="K679" s="8"/>
      <c r="L679" s="8"/>
      <c r="M679" s="8"/>
      <c r="N679" s="8"/>
      <c r="O679" s="8"/>
      <c r="P679" s="8"/>
    </row>
    <row r="680" ht="12.75" spans="1:16">
      <c r="A680" s="4"/>
      <c r="B680" s="5"/>
      <c r="C680" s="5"/>
      <c r="D680" s="4"/>
      <c r="E680" s="5"/>
      <c r="F680" s="3"/>
      <c r="G680" s="3"/>
      <c r="K680" s="8"/>
      <c r="L680" s="8"/>
      <c r="M680" s="8"/>
      <c r="N680" s="8"/>
      <c r="O680" s="8"/>
      <c r="P680" s="8"/>
    </row>
    <row r="681" ht="12.75" spans="1:16">
      <c r="A681" s="4"/>
      <c r="B681" s="5"/>
      <c r="C681" s="5"/>
      <c r="D681" s="4"/>
      <c r="E681" s="5"/>
      <c r="F681" s="3"/>
      <c r="G681" s="3"/>
      <c r="K681" s="8"/>
      <c r="L681" s="8"/>
      <c r="M681" s="8"/>
      <c r="N681" s="8"/>
      <c r="O681" s="8"/>
      <c r="P681" s="8"/>
    </row>
    <row r="682" ht="12.75" spans="1:16">
      <c r="A682" s="4"/>
      <c r="B682" s="5"/>
      <c r="C682" s="5"/>
      <c r="D682" s="4"/>
      <c r="E682" s="5"/>
      <c r="F682" s="3"/>
      <c r="G682" s="3"/>
      <c r="K682" s="8"/>
      <c r="L682" s="8"/>
      <c r="M682" s="8"/>
      <c r="N682" s="8"/>
      <c r="O682" s="8"/>
      <c r="P682" s="8"/>
    </row>
    <row r="683" ht="12.75" spans="1:16">
      <c r="A683" s="4"/>
      <c r="B683" s="5"/>
      <c r="C683" s="5"/>
      <c r="D683" s="4"/>
      <c r="E683" s="5"/>
      <c r="F683" s="3"/>
      <c r="G683" s="3"/>
      <c r="K683" s="8"/>
      <c r="L683" s="8"/>
      <c r="M683" s="8"/>
      <c r="N683" s="8"/>
      <c r="O683" s="8"/>
      <c r="P683" s="8"/>
    </row>
    <row r="684" ht="12.75" spans="1:16">
      <c r="A684" s="4"/>
      <c r="B684" s="5"/>
      <c r="C684" s="5"/>
      <c r="D684" s="4"/>
      <c r="E684" s="5"/>
      <c r="F684" s="3"/>
      <c r="G684" s="3"/>
      <c r="K684" s="8"/>
      <c r="L684" s="8"/>
      <c r="M684" s="8"/>
      <c r="N684" s="8"/>
      <c r="O684" s="8"/>
      <c r="P684" s="8"/>
    </row>
    <row r="685" ht="12.75" spans="1:16">
      <c r="A685" s="4"/>
      <c r="B685" s="5"/>
      <c r="C685" s="5"/>
      <c r="D685" s="4"/>
      <c r="E685" s="5"/>
      <c r="F685" s="3"/>
      <c r="G685" s="3"/>
      <c r="K685" s="8"/>
      <c r="L685" s="8"/>
      <c r="M685" s="8"/>
      <c r="N685" s="8"/>
      <c r="O685" s="8"/>
      <c r="P685" s="8"/>
    </row>
    <row r="686" ht="12.75" spans="1:16">
      <c r="A686" s="4"/>
      <c r="B686" s="5"/>
      <c r="C686" s="5"/>
      <c r="D686" s="4"/>
      <c r="E686" s="5"/>
      <c r="F686" s="3"/>
      <c r="G686" s="3"/>
      <c r="K686" s="8"/>
      <c r="L686" s="8"/>
      <c r="M686" s="8"/>
      <c r="N686" s="8"/>
      <c r="O686" s="8"/>
      <c r="P686" s="8"/>
    </row>
    <row r="687" ht="12.75" spans="1:16">
      <c r="A687" s="4"/>
      <c r="B687" s="5"/>
      <c r="C687" s="5"/>
      <c r="D687" s="4"/>
      <c r="E687" s="5"/>
      <c r="F687" s="3"/>
      <c r="G687" s="3"/>
      <c r="K687" s="8"/>
      <c r="L687" s="8"/>
      <c r="M687" s="8"/>
      <c r="N687" s="8"/>
      <c r="O687" s="8"/>
      <c r="P687" s="8"/>
    </row>
    <row r="688" ht="12.75" spans="1:16">
      <c r="A688" s="4"/>
      <c r="B688" s="5"/>
      <c r="C688" s="5"/>
      <c r="D688" s="4"/>
      <c r="E688" s="5"/>
      <c r="F688" s="3"/>
      <c r="G688" s="3"/>
      <c r="K688" s="8"/>
      <c r="L688" s="8"/>
      <c r="M688" s="8"/>
      <c r="N688" s="8"/>
      <c r="O688" s="8"/>
      <c r="P688" s="8"/>
    </row>
    <row r="689" ht="12.75" spans="1:16">
      <c r="A689" s="4"/>
      <c r="B689" s="5"/>
      <c r="C689" s="5"/>
      <c r="D689" s="4"/>
      <c r="E689" s="5"/>
      <c r="F689" s="3"/>
      <c r="G689" s="3"/>
      <c r="K689" s="8"/>
      <c r="L689" s="8"/>
      <c r="M689" s="8"/>
      <c r="N689" s="8"/>
      <c r="O689" s="8"/>
      <c r="P689" s="8"/>
    </row>
    <row r="690" ht="12.75" spans="1:16">
      <c r="A690" s="4"/>
      <c r="B690" s="5"/>
      <c r="C690" s="5"/>
      <c r="D690" s="4"/>
      <c r="E690" s="5"/>
      <c r="F690" s="3"/>
      <c r="G690" s="3"/>
      <c r="K690" s="8"/>
      <c r="L690" s="8"/>
      <c r="M690" s="8"/>
      <c r="N690" s="8"/>
      <c r="O690" s="8"/>
      <c r="P690" s="8"/>
    </row>
    <row r="691" ht="12.75" spans="1:16">
      <c r="A691" s="4"/>
      <c r="B691" s="5"/>
      <c r="C691" s="5"/>
      <c r="D691" s="4"/>
      <c r="E691" s="5"/>
      <c r="F691" s="3"/>
      <c r="G691" s="3"/>
      <c r="K691" s="8"/>
      <c r="L691" s="8"/>
      <c r="M691" s="8"/>
      <c r="N691" s="8"/>
      <c r="O691" s="8"/>
      <c r="P691" s="8"/>
    </row>
    <row r="692" ht="12.75" spans="1:16">
      <c r="A692" s="4"/>
      <c r="B692" s="5"/>
      <c r="C692" s="5"/>
      <c r="D692" s="4"/>
      <c r="E692" s="5"/>
      <c r="F692" s="3"/>
      <c r="G692" s="3"/>
      <c r="K692" s="8"/>
      <c r="L692" s="8"/>
      <c r="M692" s="8"/>
      <c r="N692" s="8"/>
      <c r="O692" s="8"/>
      <c r="P692" s="8"/>
    </row>
    <row r="693" ht="12.75" spans="1:16">
      <c r="A693" s="4"/>
      <c r="B693" s="5"/>
      <c r="C693" s="5"/>
      <c r="D693" s="4"/>
      <c r="E693" s="5"/>
      <c r="F693" s="3"/>
      <c r="G693" s="3"/>
      <c r="K693" s="8"/>
      <c r="L693" s="8"/>
      <c r="M693" s="8"/>
      <c r="N693" s="8"/>
      <c r="O693" s="8"/>
      <c r="P693" s="8"/>
    </row>
    <row r="694" ht="12.75" spans="1:16">
      <c r="A694" s="4"/>
      <c r="B694" s="5"/>
      <c r="C694" s="5"/>
      <c r="D694" s="4"/>
      <c r="E694" s="5"/>
      <c r="F694" s="3"/>
      <c r="G694" s="3"/>
      <c r="K694" s="8"/>
      <c r="L694" s="8"/>
      <c r="M694" s="8"/>
      <c r="N694" s="8"/>
      <c r="O694" s="8"/>
      <c r="P694" s="8"/>
    </row>
    <row r="695" ht="12.75" spans="1:16">
      <c r="A695" s="4"/>
      <c r="B695" s="5"/>
      <c r="C695" s="5"/>
      <c r="D695" s="4"/>
      <c r="E695" s="5"/>
      <c r="F695" s="3"/>
      <c r="G695" s="3"/>
      <c r="K695" s="8"/>
      <c r="L695" s="8"/>
      <c r="M695" s="8"/>
      <c r="N695" s="8"/>
      <c r="O695" s="8"/>
      <c r="P695" s="8"/>
    </row>
    <row r="696" ht="12.75" spans="1:16">
      <c r="A696" s="4"/>
      <c r="B696" s="5"/>
      <c r="C696" s="5"/>
      <c r="D696" s="4"/>
      <c r="E696" s="5"/>
      <c r="F696" s="3"/>
      <c r="G696" s="3"/>
      <c r="K696" s="8"/>
      <c r="L696" s="8"/>
      <c r="M696" s="8"/>
      <c r="N696" s="8"/>
      <c r="O696" s="8"/>
      <c r="P696" s="8"/>
    </row>
    <row r="697" ht="12.75" spans="1:16">
      <c r="A697" s="4"/>
      <c r="B697" s="5"/>
      <c r="C697" s="5"/>
      <c r="D697" s="4"/>
      <c r="E697" s="5"/>
      <c r="F697" s="3"/>
      <c r="G697" s="3"/>
      <c r="K697" s="8"/>
      <c r="L697" s="8"/>
      <c r="M697" s="8"/>
      <c r="N697" s="8"/>
      <c r="O697" s="8"/>
      <c r="P697" s="8"/>
    </row>
    <row r="698" ht="12.75" spans="1:16">
      <c r="A698" s="4"/>
      <c r="B698" s="5"/>
      <c r="C698" s="5"/>
      <c r="D698" s="4"/>
      <c r="E698" s="5"/>
      <c r="F698" s="3"/>
      <c r="G698" s="3"/>
      <c r="K698" s="8"/>
      <c r="L698" s="8"/>
      <c r="M698" s="8"/>
      <c r="N698" s="8"/>
      <c r="O698" s="8"/>
      <c r="P698" s="8"/>
    </row>
    <row r="699" ht="12.75" spans="1:16">
      <c r="A699" s="4"/>
      <c r="B699" s="5"/>
      <c r="C699" s="5"/>
      <c r="D699" s="4"/>
      <c r="E699" s="5"/>
      <c r="F699" s="3"/>
      <c r="G699" s="3"/>
      <c r="K699" s="8"/>
      <c r="L699" s="8"/>
      <c r="M699" s="8"/>
      <c r="N699" s="8"/>
      <c r="O699" s="8"/>
      <c r="P699" s="8"/>
    </row>
    <row r="700" ht="12.75" spans="1:16">
      <c r="A700" s="4"/>
      <c r="B700" s="5"/>
      <c r="C700" s="5"/>
      <c r="D700" s="4"/>
      <c r="E700" s="5"/>
      <c r="F700" s="3"/>
      <c r="G700" s="3"/>
      <c r="K700" s="8"/>
      <c r="L700" s="8"/>
      <c r="M700" s="8"/>
      <c r="N700" s="8"/>
      <c r="O700" s="8"/>
      <c r="P700" s="8"/>
    </row>
    <row r="701" ht="12.75" spans="1:16">
      <c r="A701" s="4"/>
      <c r="B701" s="5"/>
      <c r="C701" s="5"/>
      <c r="D701" s="4"/>
      <c r="E701" s="5"/>
      <c r="F701" s="3"/>
      <c r="G701" s="3"/>
      <c r="K701" s="8"/>
      <c r="L701" s="8"/>
      <c r="M701" s="8"/>
      <c r="N701" s="8"/>
      <c r="O701" s="8"/>
      <c r="P701" s="8"/>
    </row>
    <row r="702" ht="12.75" spans="1:16">
      <c r="A702" s="4"/>
      <c r="B702" s="5"/>
      <c r="C702" s="5"/>
      <c r="D702" s="4"/>
      <c r="E702" s="5"/>
      <c r="F702" s="3"/>
      <c r="G702" s="3"/>
      <c r="K702" s="8"/>
      <c r="L702" s="8"/>
      <c r="M702" s="8"/>
      <c r="N702" s="8"/>
      <c r="O702" s="8"/>
      <c r="P702" s="8"/>
    </row>
    <row r="703" ht="12.75" spans="1:16">
      <c r="A703" s="4"/>
      <c r="B703" s="5"/>
      <c r="C703" s="5"/>
      <c r="D703" s="4"/>
      <c r="E703" s="5"/>
      <c r="F703" s="3"/>
      <c r="G703" s="3"/>
      <c r="K703" s="8"/>
      <c r="L703" s="8"/>
      <c r="M703" s="8"/>
      <c r="N703" s="8"/>
      <c r="O703" s="8"/>
      <c r="P703" s="8"/>
    </row>
    <row r="704" ht="12.75" spans="1:16">
      <c r="A704" s="4"/>
      <c r="B704" s="5"/>
      <c r="C704" s="5"/>
      <c r="D704" s="4"/>
      <c r="E704" s="5"/>
      <c r="F704" s="3"/>
      <c r="G704" s="3"/>
      <c r="K704" s="8"/>
      <c r="L704" s="8"/>
      <c r="M704" s="8"/>
      <c r="N704" s="8"/>
      <c r="O704" s="8"/>
      <c r="P704" s="8"/>
    </row>
    <row r="705" ht="12.75" spans="1:16">
      <c r="A705" s="4"/>
      <c r="B705" s="5"/>
      <c r="C705" s="5"/>
      <c r="D705" s="4"/>
      <c r="E705" s="5"/>
      <c r="F705" s="3"/>
      <c r="G705" s="3"/>
      <c r="K705" s="8"/>
      <c r="L705" s="8"/>
      <c r="M705" s="8"/>
      <c r="N705" s="8"/>
      <c r="O705" s="8"/>
      <c r="P705" s="8"/>
    </row>
    <row r="706" ht="12.75" spans="1:16">
      <c r="A706" s="4"/>
      <c r="B706" s="5"/>
      <c r="C706" s="5"/>
      <c r="D706" s="4"/>
      <c r="E706" s="5"/>
      <c r="F706" s="3"/>
      <c r="G706" s="3"/>
      <c r="K706" s="8"/>
      <c r="L706" s="8"/>
      <c r="M706" s="8"/>
      <c r="N706" s="8"/>
      <c r="O706" s="8"/>
      <c r="P706" s="8"/>
    </row>
    <row r="707" ht="12.75" spans="1:16">
      <c r="A707" s="4"/>
      <c r="B707" s="5"/>
      <c r="C707" s="5"/>
      <c r="D707" s="4"/>
      <c r="E707" s="5"/>
      <c r="F707" s="3"/>
      <c r="G707" s="3"/>
      <c r="K707" s="8"/>
      <c r="L707" s="8"/>
      <c r="M707" s="8"/>
      <c r="N707" s="8"/>
      <c r="O707" s="8"/>
      <c r="P707" s="8"/>
    </row>
    <row r="708" ht="12.75" spans="1:16">
      <c r="A708" s="4"/>
      <c r="B708" s="5"/>
      <c r="C708" s="5"/>
      <c r="D708" s="4"/>
      <c r="E708" s="5"/>
      <c r="F708" s="3"/>
      <c r="G708" s="3"/>
      <c r="K708" s="8"/>
      <c r="L708" s="8"/>
      <c r="M708" s="8"/>
      <c r="N708" s="8"/>
      <c r="O708" s="8"/>
      <c r="P708" s="8"/>
    </row>
    <row r="709" ht="12.75" spans="1:16">
      <c r="A709" s="4"/>
      <c r="B709" s="5"/>
      <c r="C709" s="5"/>
      <c r="D709" s="4"/>
      <c r="E709" s="5"/>
      <c r="F709" s="3"/>
      <c r="G709" s="3"/>
      <c r="K709" s="8"/>
      <c r="L709" s="8"/>
      <c r="M709" s="8"/>
      <c r="N709" s="8"/>
      <c r="O709" s="8"/>
      <c r="P709" s="8"/>
    </row>
    <row r="710" ht="12.75" spans="1:16">
      <c r="A710" s="4"/>
      <c r="B710" s="5"/>
      <c r="C710" s="5"/>
      <c r="D710" s="4"/>
      <c r="E710" s="5"/>
      <c r="F710" s="3"/>
      <c r="G710" s="3"/>
      <c r="K710" s="8"/>
      <c r="L710" s="8"/>
      <c r="M710" s="8"/>
      <c r="N710" s="8"/>
      <c r="O710" s="8"/>
      <c r="P710" s="8"/>
    </row>
    <row r="711" ht="12.75" spans="1:16">
      <c r="A711" s="4"/>
      <c r="B711" s="5"/>
      <c r="C711" s="5"/>
      <c r="D711" s="4"/>
      <c r="E711" s="5"/>
      <c r="F711" s="3"/>
      <c r="G711" s="3"/>
      <c r="K711" s="8"/>
      <c r="L711" s="8"/>
      <c r="M711" s="8"/>
      <c r="N711" s="8"/>
      <c r="O711" s="8"/>
      <c r="P711" s="8"/>
    </row>
    <row r="712" ht="12.75" spans="1:16">
      <c r="A712" s="4"/>
      <c r="B712" s="5"/>
      <c r="C712" s="5"/>
      <c r="D712" s="4"/>
      <c r="E712" s="5"/>
      <c r="F712" s="3"/>
      <c r="G712" s="3"/>
      <c r="K712" s="8"/>
      <c r="L712" s="8"/>
      <c r="M712" s="8"/>
      <c r="N712" s="8"/>
      <c r="O712" s="8"/>
      <c r="P712" s="8"/>
    </row>
    <row r="713" ht="12.75" spans="1:16">
      <c r="A713" s="4"/>
      <c r="B713" s="5"/>
      <c r="C713" s="5"/>
      <c r="D713" s="4"/>
      <c r="E713" s="5"/>
      <c r="F713" s="3"/>
      <c r="G713" s="3"/>
      <c r="K713" s="8"/>
      <c r="L713" s="8"/>
      <c r="M713" s="8"/>
      <c r="N713" s="8"/>
      <c r="O713" s="8"/>
      <c r="P713" s="8"/>
    </row>
    <row r="714" ht="12.75" spans="1:16">
      <c r="A714" s="4"/>
      <c r="B714" s="5"/>
      <c r="C714" s="5"/>
      <c r="D714" s="4"/>
      <c r="E714" s="5"/>
      <c r="F714" s="3"/>
      <c r="G714" s="3"/>
      <c r="K714" s="8"/>
      <c r="L714" s="8"/>
      <c r="M714" s="8"/>
      <c r="N714" s="8"/>
      <c r="O714" s="8"/>
      <c r="P714" s="8"/>
    </row>
    <row r="715" ht="12.75" spans="1:16">
      <c r="A715" s="4"/>
      <c r="B715" s="5"/>
      <c r="C715" s="5"/>
      <c r="D715" s="4"/>
      <c r="E715" s="5"/>
      <c r="F715" s="3"/>
      <c r="G715" s="3"/>
      <c r="K715" s="8"/>
      <c r="L715" s="8"/>
      <c r="M715" s="8"/>
      <c r="N715" s="8"/>
      <c r="O715" s="8"/>
      <c r="P715" s="8"/>
    </row>
    <row r="716" ht="12.75" spans="1:16">
      <c r="A716" s="4"/>
      <c r="B716" s="5"/>
      <c r="C716" s="5"/>
      <c r="D716" s="4"/>
      <c r="E716" s="5"/>
      <c r="F716" s="3"/>
      <c r="G716" s="3"/>
      <c r="K716" s="8"/>
      <c r="L716" s="8"/>
      <c r="M716" s="8"/>
      <c r="N716" s="8"/>
      <c r="O716" s="8"/>
      <c r="P716" s="8"/>
    </row>
    <row r="717" ht="12.75" spans="1:16">
      <c r="A717" s="4"/>
      <c r="B717" s="5"/>
      <c r="C717" s="5"/>
      <c r="D717" s="4"/>
      <c r="E717" s="5"/>
      <c r="F717" s="3"/>
      <c r="G717" s="3"/>
      <c r="K717" s="8"/>
      <c r="L717" s="8"/>
      <c r="M717" s="8"/>
      <c r="N717" s="8"/>
      <c r="O717" s="8"/>
      <c r="P717" s="8"/>
    </row>
    <row r="718" ht="12.75" spans="1:16">
      <c r="A718" s="4"/>
      <c r="B718" s="5"/>
      <c r="C718" s="5"/>
      <c r="D718" s="4"/>
      <c r="E718" s="5"/>
      <c r="F718" s="3"/>
      <c r="G718" s="3"/>
      <c r="K718" s="8"/>
      <c r="L718" s="8"/>
      <c r="M718" s="8"/>
      <c r="N718" s="8"/>
      <c r="O718" s="8"/>
      <c r="P718" s="8"/>
    </row>
    <row r="719" ht="12.75" spans="1:16">
      <c r="A719" s="4"/>
      <c r="B719" s="5"/>
      <c r="C719" s="5"/>
      <c r="D719" s="4"/>
      <c r="E719" s="5"/>
      <c r="F719" s="3"/>
      <c r="G719" s="3"/>
      <c r="K719" s="8"/>
      <c r="L719" s="8"/>
      <c r="M719" s="8"/>
      <c r="N719" s="8"/>
      <c r="O719" s="8"/>
      <c r="P719" s="8"/>
    </row>
    <row r="720" ht="12.75" spans="1:16">
      <c r="A720" s="4"/>
      <c r="B720" s="5"/>
      <c r="C720" s="5"/>
      <c r="D720" s="4"/>
      <c r="E720" s="5"/>
      <c r="F720" s="3"/>
      <c r="G720" s="3"/>
      <c r="K720" s="8"/>
      <c r="L720" s="8"/>
      <c r="M720" s="8"/>
      <c r="N720" s="8"/>
      <c r="O720" s="8"/>
      <c r="P720" s="8"/>
    </row>
    <row r="721" ht="12.75" spans="1:16">
      <c r="A721" s="4"/>
      <c r="B721" s="5"/>
      <c r="C721" s="5"/>
      <c r="D721" s="4"/>
      <c r="E721" s="5"/>
      <c r="F721" s="3"/>
      <c r="G721" s="3"/>
      <c r="K721" s="8"/>
      <c r="L721" s="8"/>
      <c r="M721" s="8"/>
      <c r="N721" s="8"/>
      <c r="O721" s="8"/>
      <c r="P721" s="8"/>
    </row>
    <row r="722" ht="12.75" spans="1:16">
      <c r="A722" s="4"/>
      <c r="B722" s="5"/>
      <c r="C722" s="5"/>
      <c r="D722" s="4"/>
      <c r="E722" s="5"/>
      <c r="F722" s="3"/>
      <c r="G722" s="3"/>
      <c r="K722" s="8"/>
      <c r="L722" s="8"/>
      <c r="M722" s="8"/>
      <c r="N722" s="8"/>
      <c r="O722" s="8"/>
      <c r="P722" s="8"/>
    </row>
    <row r="723" ht="12.75" spans="1:16">
      <c r="A723" s="4"/>
      <c r="B723" s="5"/>
      <c r="C723" s="5"/>
      <c r="D723" s="4"/>
      <c r="E723" s="5"/>
      <c r="F723" s="3"/>
      <c r="G723" s="3"/>
      <c r="K723" s="8"/>
      <c r="L723" s="8"/>
      <c r="M723" s="8"/>
      <c r="N723" s="8"/>
      <c r="O723" s="8"/>
      <c r="P723" s="8"/>
    </row>
    <row r="724" ht="12.75" spans="1:16">
      <c r="A724" s="4"/>
      <c r="B724" s="5"/>
      <c r="C724" s="5"/>
      <c r="D724" s="4"/>
      <c r="E724" s="5"/>
      <c r="F724" s="3"/>
      <c r="G724" s="3"/>
      <c r="K724" s="8"/>
      <c r="L724" s="8"/>
      <c r="M724" s="8"/>
      <c r="N724" s="8"/>
      <c r="O724" s="8"/>
      <c r="P724" s="8"/>
    </row>
    <row r="725" ht="12.75" spans="1:16">
      <c r="A725" s="4"/>
      <c r="B725" s="5"/>
      <c r="C725" s="5"/>
      <c r="D725" s="4"/>
      <c r="E725" s="5"/>
      <c r="F725" s="3"/>
      <c r="G725" s="3"/>
      <c r="K725" s="8"/>
      <c r="L725" s="8"/>
      <c r="M725" s="8"/>
      <c r="N725" s="8"/>
      <c r="O725" s="8"/>
      <c r="P725" s="8"/>
    </row>
    <row r="726" ht="12.75" spans="1:16">
      <c r="A726" s="4"/>
      <c r="B726" s="5"/>
      <c r="C726" s="5"/>
      <c r="D726" s="4"/>
      <c r="E726" s="5"/>
      <c r="F726" s="3"/>
      <c r="G726" s="3"/>
      <c r="K726" s="8"/>
      <c r="L726" s="8"/>
      <c r="M726" s="8"/>
      <c r="N726" s="8"/>
      <c r="O726" s="8"/>
      <c r="P726" s="8"/>
    </row>
    <row r="727" ht="12.75" spans="1:16">
      <c r="A727" s="4"/>
      <c r="B727" s="5"/>
      <c r="C727" s="5"/>
      <c r="D727" s="4"/>
      <c r="E727" s="5"/>
      <c r="F727" s="3"/>
      <c r="G727" s="3"/>
      <c r="K727" s="8"/>
      <c r="L727" s="8"/>
      <c r="M727" s="8"/>
      <c r="N727" s="8"/>
      <c r="O727" s="8"/>
      <c r="P727" s="8"/>
    </row>
    <row r="728" ht="12.75" spans="1:16">
      <c r="A728" s="4"/>
      <c r="B728" s="5"/>
      <c r="C728" s="5"/>
      <c r="D728" s="4"/>
      <c r="E728" s="5"/>
      <c r="F728" s="3"/>
      <c r="G728" s="3"/>
      <c r="K728" s="8"/>
      <c r="L728" s="8"/>
      <c r="M728" s="8"/>
      <c r="N728" s="8"/>
      <c r="O728" s="8"/>
      <c r="P728" s="8"/>
    </row>
    <row r="729" ht="12.75" spans="1:16">
      <c r="A729" s="4"/>
      <c r="B729" s="5"/>
      <c r="C729" s="5"/>
      <c r="D729" s="4"/>
      <c r="E729" s="5"/>
      <c r="F729" s="3"/>
      <c r="G729" s="3"/>
      <c r="K729" s="8"/>
      <c r="L729" s="8"/>
      <c r="M729" s="8"/>
      <c r="N729" s="8"/>
      <c r="O729" s="8"/>
      <c r="P729" s="8"/>
    </row>
    <row r="730" ht="12.75" spans="1:16">
      <c r="A730" s="4"/>
      <c r="B730" s="5"/>
      <c r="C730" s="5"/>
      <c r="D730" s="4"/>
      <c r="E730" s="5"/>
      <c r="F730" s="3"/>
      <c r="G730" s="3"/>
      <c r="K730" s="8"/>
      <c r="L730" s="8"/>
      <c r="M730" s="8"/>
      <c r="N730" s="8"/>
      <c r="O730" s="8"/>
      <c r="P730" s="8"/>
    </row>
    <row r="731" ht="12.75" spans="1:16">
      <c r="A731" s="4"/>
      <c r="B731" s="5"/>
      <c r="C731" s="5"/>
      <c r="D731" s="4"/>
      <c r="E731" s="5"/>
      <c r="F731" s="3"/>
      <c r="G731" s="3"/>
      <c r="K731" s="8"/>
      <c r="L731" s="8"/>
      <c r="M731" s="8"/>
      <c r="N731" s="8"/>
      <c r="O731" s="8"/>
      <c r="P731" s="8"/>
    </row>
    <row r="732" ht="12.75" spans="1:16">
      <c r="A732" s="4"/>
      <c r="B732" s="5"/>
      <c r="C732" s="5"/>
      <c r="D732" s="4"/>
      <c r="E732" s="5"/>
      <c r="F732" s="3"/>
      <c r="G732" s="3"/>
      <c r="K732" s="8"/>
      <c r="L732" s="8"/>
      <c r="M732" s="8"/>
      <c r="N732" s="8"/>
      <c r="O732" s="8"/>
      <c r="P732" s="8"/>
    </row>
    <row r="733" ht="12.75" spans="1:16">
      <c r="A733" s="4"/>
      <c r="B733" s="5"/>
      <c r="C733" s="5"/>
      <c r="D733" s="4"/>
      <c r="E733" s="5"/>
      <c r="F733" s="3"/>
      <c r="G733" s="3"/>
      <c r="K733" s="8"/>
      <c r="L733" s="8"/>
      <c r="M733" s="8"/>
      <c r="N733" s="8"/>
      <c r="O733" s="8"/>
      <c r="P733" s="8"/>
    </row>
    <row r="734" ht="12.75" spans="1:16">
      <c r="A734" s="4"/>
      <c r="B734" s="5"/>
      <c r="C734" s="5"/>
      <c r="D734" s="4"/>
      <c r="E734" s="5"/>
      <c r="F734" s="3"/>
      <c r="G734" s="3"/>
      <c r="K734" s="8"/>
      <c r="L734" s="8"/>
      <c r="M734" s="8"/>
      <c r="N734" s="8"/>
      <c r="O734" s="8"/>
      <c r="P734" s="8"/>
    </row>
    <row r="735" ht="12.75" spans="1:16">
      <c r="A735" s="4"/>
      <c r="B735" s="5"/>
      <c r="C735" s="5"/>
      <c r="D735" s="4"/>
      <c r="E735" s="5"/>
      <c r="F735" s="3"/>
      <c r="G735" s="3"/>
      <c r="K735" s="8"/>
      <c r="L735" s="8"/>
      <c r="M735" s="8"/>
      <c r="N735" s="8"/>
      <c r="O735" s="8"/>
      <c r="P735" s="8"/>
    </row>
    <row r="736" ht="12.75" spans="1:16">
      <c r="A736" s="4"/>
      <c r="B736" s="5"/>
      <c r="C736" s="5"/>
      <c r="D736" s="4"/>
      <c r="E736" s="5"/>
      <c r="F736" s="3"/>
      <c r="G736" s="3"/>
      <c r="K736" s="8"/>
      <c r="L736" s="8"/>
      <c r="M736" s="8"/>
      <c r="N736" s="8"/>
      <c r="O736" s="8"/>
      <c r="P736" s="8"/>
    </row>
    <row r="737" ht="12.75" spans="1:16">
      <c r="A737" s="4"/>
      <c r="B737" s="5"/>
      <c r="C737" s="5"/>
      <c r="D737" s="4"/>
      <c r="E737" s="5"/>
      <c r="F737" s="3"/>
      <c r="G737" s="3"/>
      <c r="K737" s="8"/>
      <c r="L737" s="8"/>
      <c r="M737" s="8"/>
      <c r="N737" s="8"/>
      <c r="O737" s="8"/>
      <c r="P737" s="8"/>
    </row>
    <row r="738" ht="12.75" spans="1:16">
      <c r="A738" s="4"/>
      <c r="B738" s="5"/>
      <c r="C738" s="5"/>
      <c r="D738" s="4"/>
      <c r="E738" s="5"/>
      <c r="F738" s="3"/>
      <c r="G738" s="3"/>
      <c r="K738" s="8"/>
      <c r="L738" s="8"/>
      <c r="M738" s="8"/>
      <c r="N738" s="8"/>
      <c r="O738" s="8"/>
      <c r="P738" s="8"/>
    </row>
    <row r="739" ht="12.75" spans="1:16">
      <c r="A739" s="4"/>
      <c r="B739" s="5"/>
      <c r="C739" s="5"/>
      <c r="D739" s="4"/>
      <c r="E739" s="5"/>
      <c r="F739" s="3"/>
      <c r="G739" s="3"/>
      <c r="K739" s="8"/>
      <c r="L739" s="8"/>
      <c r="M739" s="8"/>
      <c r="N739" s="8"/>
      <c r="O739" s="8"/>
      <c r="P739" s="8"/>
    </row>
    <row r="740" ht="12.75" spans="1:16">
      <c r="A740" s="4"/>
      <c r="B740" s="5"/>
      <c r="C740" s="5"/>
      <c r="D740" s="4"/>
      <c r="E740" s="5"/>
      <c r="F740" s="3"/>
      <c r="G740" s="3"/>
      <c r="K740" s="8"/>
      <c r="L740" s="8"/>
      <c r="M740" s="8"/>
      <c r="N740" s="8"/>
      <c r="O740" s="8"/>
      <c r="P740" s="8"/>
    </row>
    <row r="741" ht="12.75" spans="1:16">
      <c r="A741" s="4"/>
      <c r="B741" s="5"/>
      <c r="C741" s="5"/>
      <c r="D741" s="4"/>
      <c r="E741" s="5"/>
      <c r="F741" s="3"/>
      <c r="G741" s="3"/>
      <c r="K741" s="8"/>
      <c r="L741" s="8"/>
      <c r="M741" s="8"/>
      <c r="N741" s="8"/>
      <c r="O741" s="8"/>
      <c r="P741" s="8"/>
    </row>
    <row r="742" ht="12.75" spans="1:16">
      <c r="A742" s="4"/>
      <c r="B742" s="5"/>
      <c r="C742" s="5"/>
      <c r="D742" s="4"/>
      <c r="E742" s="5"/>
      <c r="F742" s="3"/>
      <c r="G742" s="3"/>
      <c r="K742" s="8"/>
      <c r="L742" s="8"/>
      <c r="M742" s="8"/>
      <c r="N742" s="8"/>
      <c r="O742" s="8"/>
      <c r="P742" s="8"/>
    </row>
    <row r="743" ht="12.75" spans="1:16">
      <c r="A743" s="4"/>
      <c r="B743" s="5"/>
      <c r="C743" s="5"/>
      <c r="D743" s="4"/>
      <c r="E743" s="5"/>
      <c r="F743" s="3"/>
      <c r="G743" s="3"/>
      <c r="K743" s="8"/>
      <c r="L743" s="8"/>
      <c r="M743" s="8"/>
      <c r="N743" s="8"/>
      <c r="O743" s="8"/>
      <c r="P743" s="8"/>
    </row>
    <row r="744" ht="12.75" spans="1:16">
      <c r="A744" s="4"/>
      <c r="B744" s="5"/>
      <c r="C744" s="5"/>
      <c r="D744" s="4"/>
      <c r="E744" s="5"/>
      <c r="F744" s="3"/>
      <c r="G744" s="3"/>
      <c r="K744" s="8"/>
      <c r="L744" s="8"/>
      <c r="M744" s="8"/>
      <c r="N744" s="8"/>
      <c r="O744" s="8"/>
      <c r="P744" s="8"/>
    </row>
    <row r="745" ht="12.75" spans="1:16">
      <c r="A745" s="4"/>
      <c r="B745" s="5"/>
      <c r="C745" s="5"/>
      <c r="D745" s="4"/>
      <c r="E745" s="5"/>
      <c r="F745" s="3"/>
      <c r="G745" s="3"/>
      <c r="K745" s="8"/>
      <c r="L745" s="8"/>
      <c r="M745" s="8"/>
      <c r="N745" s="8"/>
      <c r="O745" s="8"/>
      <c r="P745" s="8"/>
    </row>
    <row r="746" ht="12.75" spans="1:16">
      <c r="A746" s="4"/>
      <c r="B746" s="5"/>
      <c r="C746" s="5"/>
      <c r="D746" s="4"/>
      <c r="E746" s="5"/>
      <c r="F746" s="3"/>
      <c r="G746" s="3"/>
      <c r="K746" s="8"/>
      <c r="L746" s="8"/>
      <c r="M746" s="8"/>
      <c r="N746" s="8"/>
      <c r="O746" s="8"/>
      <c r="P746" s="8"/>
    </row>
    <row r="747" ht="12.75" spans="1:16">
      <c r="A747" s="4"/>
      <c r="B747" s="5"/>
      <c r="C747" s="5"/>
      <c r="D747" s="4"/>
      <c r="E747" s="5"/>
      <c r="F747" s="3"/>
      <c r="G747" s="3"/>
      <c r="K747" s="8"/>
      <c r="L747" s="8"/>
      <c r="M747" s="8"/>
      <c r="N747" s="8"/>
      <c r="O747" s="8"/>
      <c r="P747" s="8"/>
    </row>
    <row r="748" ht="12.75" spans="1:16">
      <c r="A748" s="4"/>
      <c r="B748" s="5"/>
      <c r="C748" s="5"/>
      <c r="D748" s="4"/>
      <c r="E748" s="5"/>
      <c r="F748" s="3"/>
      <c r="G748" s="3"/>
      <c r="K748" s="8"/>
      <c r="L748" s="8"/>
      <c r="M748" s="8"/>
      <c r="N748" s="8"/>
      <c r="O748" s="8"/>
      <c r="P748" s="8"/>
    </row>
    <row r="749" ht="12.75" spans="1:16">
      <c r="A749" s="4"/>
      <c r="B749" s="5"/>
      <c r="C749" s="5"/>
      <c r="D749" s="4"/>
      <c r="E749" s="5"/>
      <c r="F749" s="3"/>
      <c r="G749" s="3"/>
      <c r="K749" s="8"/>
      <c r="L749" s="8"/>
      <c r="M749" s="8"/>
      <c r="N749" s="8"/>
      <c r="O749" s="8"/>
      <c r="P749" s="8"/>
    </row>
    <row r="750" ht="12.75" spans="1:16">
      <c r="A750" s="4"/>
      <c r="B750" s="5"/>
      <c r="C750" s="5"/>
      <c r="D750" s="4"/>
      <c r="E750" s="5"/>
      <c r="F750" s="3"/>
      <c r="G750" s="3"/>
      <c r="K750" s="8"/>
      <c r="L750" s="8"/>
      <c r="M750" s="8"/>
      <c r="N750" s="8"/>
      <c r="O750" s="8"/>
      <c r="P750" s="8"/>
    </row>
    <row r="751" ht="12.75" spans="1:16">
      <c r="A751" s="4"/>
      <c r="B751" s="5"/>
      <c r="C751" s="5"/>
      <c r="D751" s="4"/>
      <c r="E751" s="5"/>
      <c r="F751" s="3"/>
      <c r="G751" s="3"/>
      <c r="K751" s="8"/>
      <c r="L751" s="8"/>
      <c r="M751" s="8"/>
      <c r="N751" s="8"/>
      <c r="O751" s="8"/>
      <c r="P751" s="8"/>
    </row>
    <row r="752" ht="12.75" spans="1:16">
      <c r="A752" s="4"/>
      <c r="B752" s="5"/>
      <c r="C752" s="5"/>
      <c r="D752" s="4"/>
      <c r="E752" s="5"/>
      <c r="F752" s="3"/>
      <c r="G752" s="3"/>
      <c r="K752" s="8"/>
      <c r="L752" s="8"/>
      <c r="M752" s="8"/>
      <c r="N752" s="8"/>
      <c r="O752" s="8"/>
      <c r="P752" s="8"/>
    </row>
    <row r="753" ht="12.75" spans="1:16">
      <c r="A753" s="4"/>
      <c r="B753" s="5"/>
      <c r="C753" s="5"/>
      <c r="D753" s="4"/>
      <c r="E753" s="5"/>
      <c r="F753" s="3"/>
      <c r="G753" s="3"/>
      <c r="K753" s="8"/>
      <c r="L753" s="8"/>
      <c r="M753" s="8"/>
      <c r="N753" s="8"/>
      <c r="O753" s="8"/>
      <c r="P753" s="8"/>
    </row>
    <row r="754" ht="12.75" spans="1:16">
      <c r="A754" s="4"/>
      <c r="B754" s="5"/>
      <c r="C754" s="5"/>
      <c r="D754" s="4"/>
      <c r="E754" s="5"/>
      <c r="F754" s="3"/>
      <c r="G754" s="3"/>
      <c r="K754" s="8"/>
      <c r="L754" s="8"/>
      <c r="M754" s="8"/>
      <c r="N754" s="8"/>
      <c r="O754" s="8"/>
      <c r="P754" s="8"/>
    </row>
    <row r="755" ht="12.75" spans="1:16">
      <c r="A755" s="4"/>
      <c r="B755" s="5"/>
      <c r="C755" s="5"/>
      <c r="D755" s="4"/>
      <c r="E755" s="5"/>
      <c r="F755" s="3"/>
      <c r="G755" s="3"/>
      <c r="K755" s="8"/>
      <c r="L755" s="8"/>
      <c r="M755" s="8"/>
      <c r="N755" s="8"/>
      <c r="O755" s="8"/>
      <c r="P755" s="8"/>
    </row>
    <row r="756" ht="12.75" spans="1:16">
      <c r="A756" s="4"/>
      <c r="B756" s="5"/>
      <c r="C756" s="5"/>
      <c r="D756" s="4"/>
      <c r="E756" s="5"/>
      <c r="F756" s="3"/>
      <c r="G756" s="3"/>
      <c r="K756" s="8"/>
      <c r="L756" s="8"/>
      <c r="M756" s="8"/>
      <c r="N756" s="8"/>
      <c r="O756" s="8"/>
      <c r="P756" s="8"/>
    </row>
    <row r="757" ht="12.75" spans="1:16">
      <c r="A757" s="4"/>
      <c r="B757" s="5"/>
      <c r="C757" s="5"/>
      <c r="D757" s="4"/>
      <c r="E757" s="5"/>
      <c r="F757" s="3"/>
      <c r="G757" s="3"/>
      <c r="K757" s="8"/>
      <c r="L757" s="8"/>
      <c r="M757" s="8"/>
      <c r="N757" s="8"/>
      <c r="O757" s="8"/>
      <c r="P757" s="8"/>
    </row>
    <row r="758" ht="12.75" spans="1:16">
      <c r="A758" s="4"/>
      <c r="B758" s="5"/>
      <c r="C758" s="5"/>
      <c r="D758" s="4"/>
      <c r="E758" s="5"/>
      <c r="F758" s="3"/>
      <c r="G758" s="3"/>
      <c r="K758" s="8"/>
      <c r="L758" s="8"/>
      <c r="M758" s="8"/>
      <c r="N758" s="8"/>
      <c r="O758" s="8"/>
      <c r="P758" s="8"/>
    </row>
    <row r="759" ht="12.75" spans="1:16">
      <c r="A759" s="4"/>
      <c r="B759" s="5"/>
      <c r="C759" s="5"/>
      <c r="D759" s="4"/>
      <c r="E759" s="5"/>
      <c r="F759" s="3"/>
      <c r="G759" s="3"/>
      <c r="K759" s="8"/>
      <c r="L759" s="8"/>
      <c r="M759" s="8"/>
      <c r="N759" s="8"/>
      <c r="O759" s="8"/>
      <c r="P759" s="8"/>
    </row>
    <row r="760" ht="12.75" spans="1:16">
      <c r="A760" s="4"/>
      <c r="B760" s="5"/>
      <c r="C760" s="5"/>
      <c r="D760" s="4"/>
      <c r="E760" s="5"/>
      <c r="F760" s="3"/>
      <c r="G760" s="3"/>
      <c r="K760" s="8"/>
      <c r="L760" s="8"/>
      <c r="M760" s="8"/>
      <c r="N760" s="8"/>
      <c r="O760" s="8"/>
      <c r="P760" s="8"/>
    </row>
    <row r="761" ht="12.75" spans="1:16">
      <c r="A761" s="4"/>
      <c r="B761" s="5"/>
      <c r="C761" s="5"/>
      <c r="D761" s="4"/>
      <c r="E761" s="5"/>
      <c r="F761" s="3"/>
      <c r="G761" s="3"/>
      <c r="K761" s="8"/>
      <c r="L761" s="8"/>
      <c r="M761" s="8"/>
      <c r="N761" s="8"/>
      <c r="O761" s="8"/>
      <c r="P761" s="8"/>
    </row>
    <row r="762" ht="12.75" spans="1:16">
      <c r="A762" s="4"/>
      <c r="B762" s="5"/>
      <c r="C762" s="5"/>
      <c r="D762" s="4"/>
      <c r="E762" s="5"/>
      <c r="F762" s="3"/>
      <c r="G762" s="3"/>
      <c r="K762" s="8"/>
      <c r="L762" s="8"/>
      <c r="M762" s="8"/>
      <c r="N762" s="8"/>
      <c r="O762" s="8"/>
      <c r="P762" s="8"/>
    </row>
    <row r="763" ht="12.75" spans="1:16">
      <c r="A763" s="4"/>
      <c r="B763" s="5"/>
      <c r="C763" s="5"/>
      <c r="D763" s="4"/>
      <c r="E763" s="5"/>
      <c r="F763" s="3"/>
      <c r="G763" s="3"/>
      <c r="K763" s="8"/>
      <c r="L763" s="8"/>
      <c r="M763" s="8"/>
      <c r="N763" s="8"/>
      <c r="O763" s="8"/>
      <c r="P763" s="8"/>
    </row>
    <row r="764" ht="12.75" spans="1:16">
      <c r="A764" s="4"/>
      <c r="B764" s="5"/>
      <c r="C764" s="5"/>
      <c r="D764" s="4"/>
      <c r="E764" s="5"/>
      <c r="F764" s="3"/>
      <c r="G764" s="3"/>
      <c r="K764" s="8"/>
      <c r="L764" s="8"/>
      <c r="M764" s="8"/>
      <c r="N764" s="8"/>
      <c r="O764" s="8"/>
      <c r="P764" s="8"/>
    </row>
    <row r="765" ht="12.75" spans="1:16">
      <c r="A765" s="4"/>
      <c r="B765" s="5"/>
      <c r="C765" s="5"/>
      <c r="D765" s="4"/>
      <c r="E765" s="5"/>
      <c r="F765" s="3"/>
      <c r="G765" s="3"/>
      <c r="K765" s="8"/>
      <c r="L765" s="8"/>
      <c r="M765" s="8"/>
      <c r="N765" s="8"/>
      <c r="O765" s="8"/>
      <c r="P765" s="8"/>
    </row>
    <row r="766" ht="12.75" spans="1:16">
      <c r="A766" s="4"/>
      <c r="B766" s="5"/>
      <c r="C766" s="5"/>
      <c r="D766" s="4"/>
      <c r="E766" s="5"/>
      <c r="F766" s="3"/>
      <c r="G766" s="3"/>
      <c r="K766" s="8"/>
      <c r="L766" s="8"/>
      <c r="M766" s="8"/>
      <c r="N766" s="8"/>
      <c r="O766" s="8"/>
      <c r="P766" s="8"/>
    </row>
    <row r="767" ht="12.75" spans="1:16">
      <c r="A767" s="4"/>
      <c r="B767" s="5"/>
      <c r="C767" s="5"/>
      <c r="D767" s="4"/>
      <c r="E767" s="5"/>
      <c r="F767" s="3"/>
      <c r="G767" s="3"/>
      <c r="K767" s="8"/>
      <c r="L767" s="8"/>
      <c r="M767" s="8"/>
      <c r="N767" s="8"/>
      <c r="O767" s="8"/>
      <c r="P767" s="8"/>
    </row>
    <row r="768" ht="12.75" spans="1:16">
      <c r="A768" s="4"/>
      <c r="B768" s="5"/>
      <c r="C768" s="5"/>
      <c r="D768" s="4"/>
      <c r="E768" s="5"/>
      <c r="F768" s="3"/>
      <c r="G768" s="3"/>
      <c r="K768" s="8"/>
      <c r="L768" s="8"/>
      <c r="M768" s="8"/>
      <c r="N768" s="8"/>
      <c r="O768" s="8"/>
      <c r="P768" s="8"/>
    </row>
    <row r="769" ht="12.75" spans="1:16">
      <c r="A769" s="4"/>
      <c r="B769" s="5"/>
      <c r="C769" s="5"/>
      <c r="D769" s="4"/>
      <c r="E769" s="5"/>
      <c r="F769" s="3"/>
      <c r="G769" s="3"/>
      <c r="K769" s="8"/>
      <c r="L769" s="8"/>
      <c r="M769" s="8"/>
      <c r="N769" s="8"/>
      <c r="O769" s="8"/>
      <c r="P769" s="8"/>
    </row>
    <row r="770" ht="12.75" spans="1:16">
      <c r="A770" s="4"/>
      <c r="B770" s="5"/>
      <c r="C770" s="5"/>
      <c r="D770" s="4"/>
      <c r="E770" s="5"/>
      <c r="F770" s="3"/>
      <c r="G770" s="3"/>
      <c r="K770" s="8"/>
      <c r="L770" s="8"/>
      <c r="M770" s="8"/>
      <c r="N770" s="8"/>
      <c r="O770" s="8"/>
      <c r="P770" s="8"/>
    </row>
    <row r="771" ht="12.75" spans="1:16">
      <c r="A771" s="4"/>
      <c r="B771" s="5"/>
      <c r="C771" s="5"/>
      <c r="D771" s="4"/>
      <c r="E771" s="5"/>
      <c r="F771" s="3"/>
      <c r="G771" s="3"/>
      <c r="K771" s="8"/>
      <c r="L771" s="8"/>
      <c r="M771" s="8"/>
      <c r="N771" s="8"/>
      <c r="O771" s="8"/>
      <c r="P771" s="8"/>
    </row>
    <row r="772" ht="12.75" spans="1:16">
      <c r="A772" s="4"/>
      <c r="B772" s="5"/>
      <c r="C772" s="5"/>
      <c r="D772" s="4"/>
      <c r="E772" s="5"/>
      <c r="F772" s="3"/>
      <c r="G772" s="3"/>
      <c r="K772" s="8"/>
      <c r="L772" s="8"/>
      <c r="M772" s="8"/>
      <c r="N772" s="8"/>
      <c r="O772" s="8"/>
      <c r="P772" s="8"/>
    </row>
    <row r="773" ht="12.75" spans="1:16">
      <c r="A773" s="4"/>
      <c r="B773" s="5"/>
      <c r="C773" s="5"/>
      <c r="D773" s="4"/>
      <c r="E773" s="5"/>
      <c r="F773" s="3"/>
      <c r="G773" s="3"/>
      <c r="K773" s="8"/>
      <c r="L773" s="8"/>
      <c r="M773" s="8"/>
      <c r="N773" s="8"/>
      <c r="O773" s="8"/>
      <c r="P773" s="8"/>
    </row>
    <row r="774" ht="12.75" spans="1:16">
      <c r="A774" s="4"/>
      <c r="B774" s="5"/>
      <c r="C774" s="5"/>
      <c r="D774" s="4"/>
      <c r="E774" s="5"/>
      <c r="F774" s="3"/>
      <c r="G774" s="3"/>
      <c r="K774" s="8"/>
      <c r="L774" s="8"/>
      <c r="M774" s="8"/>
      <c r="N774" s="8"/>
      <c r="O774" s="8"/>
      <c r="P774" s="8"/>
    </row>
    <row r="775" ht="12.75" spans="1:16">
      <c r="A775" s="4"/>
      <c r="B775" s="5"/>
      <c r="C775" s="5"/>
      <c r="D775" s="4"/>
      <c r="E775" s="5"/>
      <c r="F775" s="3"/>
      <c r="G775" s="3"/>
      <c r="K775" s="8"/>
      <c r="L775" s="8"/>
      <c r="M775" s="8"/>
      <c r="N775" s="8"/>
      <c r="O775" s="8"/>
      <c r="P775" s="8"/>
    </row>
    <row r="776" ht="12.75" spans="1:16">
      <c r="A776" s="4"/>
      <c r="B776" s="5"/>
      <c r="C776" s="5"/>
      <c r="D776" s="4"/>
      <c r="E776" s="5"/>
      <c r="F776" s="3"/>
      <c r="G776" s="3"/>
      <c r="K776" s="8"/>
      <c r="L776" s="8"/>
      <c r="M776" s="8"/>
      <c r="N776" s="8"/>
      <c r="O776" s="8"/>
      <c r="P776" s="8"/>
    </row>
    <row r="777" ht="12.75" spans="1:16">
      <c r="A777" s="4"/>
      <c r="B777" s="5"/>
      <c r="C777" s="5"/>
      <c r="D777" s="4"/>
      <c r="E777" s="5"/>
      <c r="F777" s="3"/>
      <c r="G777" s="3"/>
      <c r="K777" s="8"/>
      <c r="L777" s="8"/>
      <c r="M777" s="8"/>
      <c r="N777" s="8"/>
      <c r="O777" s="8"/>
      <c r="P777" s="8"/>
    </row>
    <row r="778" ht="12.75" spans="1:16">
      <c r="A778" s="4"/>
      <c r="B778" s="5"/>
      <c r="C778" s="5"/>
      <c r="D778" s="4"/>
      <c r="E778" s="5"/>
      <c r="F778" s="3"/>
      <c r="G778" s="3"/>
      <c r="K778" s="8"/>
      <c r="L778" s="8"/>
      <c r="M778" s="8"/>
      <c r="N778" s="8"/>
      <c r="O778" s="8"/>
      <c r="P778" s="8"/>
    </row>
    <row r="779" ht="12.75" spans="1:16">
      <c r="A779" s="4"/>
      <c r="B779" s="5"/>
      <c r="C779" s="5"/>
      <c r="D779" s="4"/>
      <c r="E779" s="5"/>
      <c r="F779" s="3"/>
      <c r="G779" s="3"/>
      <c r="K779" s="8"/>
      <c r="L779" s="8"/>
      <c r="M779" s="8"/>
      <c r="N779" s="8"/>
      <c r="O779" s="8"/>
      <c r="P779" s="8"/>
    </row>
    <row r="780" ht="12.75" spans="1:16">
      <c r="A780" s="4"/>
      <c r="B780" s="5"/>
      <c r="C780" s="5"/>
      <c r="D780" s="4"/>
      <c r="E780" s="5"/>
      <c r="F780" s="3"/>
      <c r="G780" s="3"/>
      <c r="K780" s="8"/>
      <c r="L780" s="8"/>
      <c r="M780" s="8"/>
      <c r="N780" s="8"/>
      <c r="O780" s="8"/>
      <c r="P780" s="8"/>
    </row>
    <row r="781" ht="12.75" spans="1:16">
      <c r="A781" s="4"/>
      <c r="B781" s="5"/>
      <c r="C781" s="5"/>
      <c r="D781" s="4"/>
      <c r="E781" s="5"/>
      <c r="F781" s="3"/>
      <c r="G781" s="3"/>
      <c r="K781" s="8"/>
      <c r="L781" s="8"/>
      <c r="M781" s="8"/>
      <c r="N781" s="8"/>
      <c r="O781" s="8"/>
      <c r="P781" s="8"/>
    </row>
    <row r="782" ht="12.75" spans="1:16">
      <c r="A782" s="4"/>
      <c r="B782" s="5"/>
      <c r="C782" s="5"/>
      <c r="D782" s="4"/>
      <c r="E782" s="5"/>
      <c r="F782" s="3"/>
      <c r="G782" s="3"/>
      <c r="K782" s="8"/>
      <c r="L782" s="8"/>
      <c r="M782" s="8"/>
      <c r="N782" s="8"/>
      <c r="O782" s="8"/>
      <c r="P782" s="8"/>
    </row>
    <row r="783" ht="12.75" spans="1:16">
      <c r="A783" s="4"/>
      <c r="B783" s="5"/>
      <c r="C783" s="5"/>
      <c r="D783" s="4"/>
      <c r="E783" s="5"/>
      <c r="F783" s="3"/>
      <c r="G783" s="3"/>
      <c r="K783" s="8"/>
      <c r="L783" s="8"/>
      <c r="M783" s="8"/>
      <c r="N783" s="8"/>
      <c r="O783" s="8"/>
      <c r="P783" s="8"/>
    </row>
    <row r="784" ht="12.75" spans="1:16">
      <c r="A784" s="4"/>
      <c r="B784" s="5"/>
      <c r="C784" s="5"/>
      <c r="D784" s="4"/>
      <c r="E784" s="5"/>
      <c r="F784" s="3"/>
      <c r="G784" s="3"/>
      <c r="K784" s="8"/>
      <c r="L784" s="8"/>
      <c r="M784" s="8"/>
      <c r="N784" s="8"/>
      <c r="O784" s="8"/>
      <c r="P784" s="8"/>
    </row>
    <row r="785" ht="12.75" spans="1:16">
      <c r="A785" s="4"/>
      <c r="B785" s="5"/>
      <c r="C785" s="5"/>
      <c r="D785" s="4"/>
      <c r="E785" s="5"/>
      <c r="F785" s="3"/>
      <c r="G785" s="3"/>
      <c r="K785" s="8"/>
      <c r="L785" s="8"/>
      <c r="M785" s="8"/>
      <c r="N785" s="8"/>
      <c r="O785" s="8"/>
      <c r="P785" s="8"/>
    </row>
    <row r="786" ht="12.75" spans="1:16">
      <c r="A786" s="4"/>
      <c r="B786" s="5"/>
      <c r="C786" s="5"/>
      <c r="D786" s="4"/>
      <c r="E786" s="5"/>
      <c r="F786" s="3"/>
      <c r="G786" s="3"/>
      <c r="K786" s="8"/>
      <c r="L786" s="8"/>
      <c r="M786" s="8"/>
      <c r="N786" s="8"/>
      <c r="O786" s="8"/>
      <c r="P786" s="8"/>
    </row>
    <row r="787" ht="12.75" spans="1:16">
      <c r="A787" s="4"/>
      <c r="B787" s="5"/>
      <c r="C787" s="5"/>
      <c r="D787" s="4"/>
      <c r="E787" s="5"/>
      <c r="F787" s="3"/>
      <c r="G787" s="3"/>
      <c r="K787" s="8"/>
      <c r="L787" s="8"/>
      <c r="M787" s="8"/>
      <c r="N787" s="8"/>
      <c r="O787" s="8"/>
      <c r="P787" s="8"/>
    </row>
    <row r="788" ht="12.75" spans="1:16">
      <c r="A788" s="4"/>
      <c r="B788" s="5"/>
      <c r="C788" s="5"/>
      <c r="D788" s="4"/>
      <c r="E788" s="5"/>
      <c r="F788" s="3"/>
      <c r="G788" s="3"/>
      <c r="K788" s="8"/>
      <c r="L788" s="8"/>
      <c r="M788" s="8"/>
      <c r="N788" s="8"/>
      <c r="O788" s="8"/>
      <c r="P788" s="8"/>
    </row>
    <row r="789" ht="12.75" spans="1:16">
      <c r="A789" s="4"/>
      <c r="B789" s="5"/>
      <c r="C789" s="5"/>
      <c r="D789" s="4"/>
      <c r="E789" s="5"/>
      <c r="F789" s="3"/>
      <c r="G789" s="3"/>
      <c r="K789" s="8"/>
      <c r="L789" s="8"/>
      <c r="M789" s="8"/>
      <c r="N789" s="8"/>
      <c r="O789" s="8"/>
      <c r="P789" s="8"/>
    </row>
    <row r="790" ht="12.75" spans="1:16">
      <c r="A790" s="4"/>
      <c r="B790" s="5"/>
      <c r="C790" s="5"/>
      <c r="D790" s="4"/>
      <c r="E790" s="5"/>
      <c r="F790" s="3"/>
      <c r="G790" s="3"/>
      <c r="K790" s="8"/>
      <c r="L790" s="8"/>
      <c r="M790" s="8"/>
      <c r="N790" s="8"/>
      <c r="O790" s="8"/>
      <c r="P790" s="8"/>
    </row>
    <row r="791" ht="12.75" spans="1:16">
      <c r="A791" s="4"/>
      <c r="B791" s="5"/>
      <c r="C791" s="5"/>
      <c r="D791" s="4"/>
      <c r="E791" s="5"/>
      <c r="F791" s="3"/>
      <c r="G791" s="3"/>
      <c r="K791" s="8"/>
      <c r="L791" s="8"/>
      <c r="M791" s="8"/>
      <c r="N791" s="8"/>
      <c r="O791" s="8"/>
      <c r="P791" s="8"/>
    </row>
    <row r="792" ht="12.75" spans="1:16">
      <c r="A792" s="4"/>
      <c r="B792" s="5"/>
      <c r="C792" s="5"/>
      <c r="D792" s="4"/>
      <c r="E792" s="5"/>
      <c r="F792" s="3"/>
      <c r="G792" s="3"/>
      <c r="K792" s="8"/>
      <c r="L792" s="8"/>
      <c r="M792" s="8"/>
      <c r="N792" s="8"/>
      <c r="O792" s="8"/>
      <c r="P792" s="8"/>
    </row>
    <row r="793" ht="12.75" spans="1:16">
      <c r="A793" s="4"/>
      <c r="B793" s="5"/>
      <c r="C793" s="5"/>
      <c r="D793" s="4"/>
      <c r="E793" s="5"/>
      <c r="F793" s="3"/>
      <c r="G793" s="3"/>
      <c r="K793" s="8"/>
      <c r="L793" s="8"/>
      <c r="M793" s="8"/>
      <c r="N793" s="8"/>
      <c r="O793" s="8"/>
      <c r="P793" s="8"/>
    </row>
    <row r="794" ht="12.75" spans="1:16">
      <c r="A794" s="4"/>
      <c r="B794" s="5"/>
      <c r="C794" s="5"/>
      <c r="D794" s="4"/>
      <c r="E794" s="5"/>
      <c r="F794" s="3"/>
      <c r="G794" s="3"/>
      <c r="K794" s="8"/>
      <c r="L794" s="8"/>
      <c r="M794" s="8"/>
      <c r="N794" s="8"/>
      <c r="O794" s="8"/>
      <c r="P794" s="8"/>
    </row>
    <row r="795" ht="12.75" spans="1:16">
      <c r="A795" s="4"/>
      <c r="B795" s="5"/>
      <c r="C795" s="5"/>
      <c r="D795" s="4"/>
      <c r="E795" s="5"/>
      <c r="F795" s="3"/>
      <c r="G795" s="3"/>
      <c r="K795" s="8"/>
      <c r="L795" s="8"/>
      <c r="M795" s="8"/>
      <c r="N795" s="8"/>
      <c r="O795" s="8"/>
      <c r="P795" s="8"/>
    </row>
    <row r="796" ht="12.75" spans="1:16">
      <c r="A796" s="4"/>
      <c r="B796" s="5"/>
      <c r="C796" s="5"/>
      <c r="D796" s="4"/>
      <c r="E796" s="5"/>
      <c r="F796" s="3"/>
      <c r="G796" s="3"/>
      <c r="K796" s="8"/>
      <c r="L796" s="8"/>
      <c r="M796" s="8"/>
      <c r="N796" s="8"/>
      <c r="O796" s="8"/>
      <c r="P796" s="8"/>
    </row>
    <row r="797" ht="12.75" spans="1:16">
      <c r="A797" s="4"/>
      <c r="B797" s="5"/>
      <c r="C797" s="5"/>
      <c r="D797" s="4"/>
      <c r="E797" s="5"/>
      <c r="F797" s="3"/>
      <c r="G797" s="3"/>
      <c r="K797" s="8"/>
      <c r="L797" s="8"/>
      <c r="M797" s="8"/>
      <c r="N797" s="8"/>
      <c r="O797" s="8"/>
      <c r="P797" s="8"/>
    </row>
    <row r="798" ht="12.75" spans="1:16">
      <c r="A798" s="4"/>
      <c r="B798" s="5"/>
      <c r="C798" s="5"/>
      <c r="D798" s="4"/>
      <c r="E798" s="5"/>
      <c r="F798" s="3"/>
      <c r="G798" s="3"/>
      <c r="K798" s="8"/>
      <c r="L798" s="8"/>
      <c r="M798" s="8"/>
      <c r="N798" s="8"/>
      <c r="O798" s="8"/>
      <c r="P798" s="8"/>
    </row>
    <row r="799" ht="12.75" spans="1:16">
      <c r="A799" s="4"/>
      <c r="B799" s="5"/>
      <c r="C799" s="5"/>
      <c r="D799" s="4"/>
      <c r="E799" s="5"/>
      <c r="F799" s="3"/>
      <c r="G799" s="3"/>
      <c r="K799" s="8"/>
      <c r="L799" s="8"/>
      <c r="M799" s="8"/>
      <c r="N799" s="8"/>
      <c r="O799" s="8"/>
      <c r="P799" s="8"/>
    </row>
    <row r="800" ht="12.75" spans="1:16">
      <c r="A800" s="4"/>
      <c r="B800" s="5"/>
      <c r="C800" s="5"/>
      <c r="D800" s="4"/>
      <c r="E800" s="5"/>
      <c r="F800" s="3"/>
      <c r="G800" s="3"/>
      <c r="K800" s="8"/>
      <c r="L800" s="8"/>
      <c r="M800" s="8"/>
      <c r="N800" s="8"/>
      <c r="O800" s="8"/>
      <c r="P800" s="8"/>
    </row>
    <row r="801" ht="12.75" spans="1:16">
      <c r="A801" s="4"/>
      <c r="B801" s="5"/>
      <c r="C801" s="5"/>
      <c r="D801" s="4"/>
      <c r="E801" s="5"/>
      <c r="F801" s="3"/>
      <c r="G801" s="3"/>
      <c r="K801" s="8"/>
      <c r="L801" s="8"/>
      <c r="M801" s="8"/>
      <c r="N801" s="8"/>
      <c r="O801" s="8"/>
      <c r="P801" s="8"/>
    </row>
    <row r="802" ht="12.75" spans="1:16">
      <c r="A802" s="4"/>
      <c r="B802" s="5"/>
      <c r="C802" s="5"/>
      <c r="D802" s="4"/>
      <c r="E802" s="5"/>
      <c r="F802" s="3"/>
      <c r="G802" s="3"/>
      <c r="K802" s="8"/>
      <c r="L802" s="8"/>
      <c r="M802" s="8"/>
      <c r="N802" s="8"/>
      <c r="O802" s="8"/>
      <c r="P802" s="8"/>
    </row>
    <row r="803" ht="12.75" spans="1:16">
      <c r="A803" s="4"/>
      <c r="B803" s="5"/>
      <c r="C803" s="5"/>
      <c r="D803" s="4"/>
      <c r="E803" s="5"/>
      <c r="F803" s="3"/>
      <c r="G803" s="3"/>
      <c r="K803" s="8"/>
      <c r="L803" s="8"/>
      <c r="M803" s="8"/>
      <c r="N803" s="8"/>
      <c r="O803" s="8"/>
      <c r="P803" s="8"/>
    </row>
    <row r="804" ht="12.75" spans="1:16">
      <c r="A804" s="4"/>
      <c r="B804" s="5"/>
      <c r="C804" s="5"/>
      <c r="D804" s="4"/>
      <c r="E804" s="5"/>
      <c r="F804" s="3"/>
      <c r="G804" s="3"/>
      <c r="K804" s="8"/>
      <c r="L804" s="8"/>
      <c r="M804" s="8"/>
      <c r="N804" s="8"/>
      <c r="O804" s="8"/>
      <c r="P804" s="8"/>
    </row>
    <row r="805" ht="12.75" spans="1:16">
      <c r="A805" s="4"/>
      <c r="B805" s="5"/>
      <c r="C805" s="5"/>
      <c r="D805" s="4"/>
      <c r="E805" s="5"/>
      <c r="F805" s="3"/>
      <c r="G805" s="3"/>
      <c r="K805" s="8"/>
      <c r="L805" s="8"/>
      <c r="M805" s="8"/>
      <c r="N805" s="8"/>
      <c r="O805" s="8"/>
      <c r="P805" s="8"/>
    </row>
    <row r="806" ht="12.75" spans="1:16">
      <c r="A806" s="4"/>
      <c r="B806" s="5"/>
      <c r="C806" s="5"/>
      <c r="D806" s="4"/>
      <c r="E806" s="5"/>
      <c r="F806" s="3"/>
      <c r="G806" s="3"/>
      <c r="K806" s="8"/>
      <c r="L806" s="8"/>
      <c r="M806" s="8"/>
      <c r="N806" s="8"/>
      <c r="O806" s="8"/>
      <c r="P806" s="8"/>
    </row>
    <row r="807" ht="12.75" spans="1:16">
      <c r="A807" s="4"/>
      <c r="B807" s="5"/>
      <c r="C807" s="5"/>
      <c r="D807" s="4"/>
      <c r="E807" s="5"/>
      <c r="F807" s="3"/>
      <c r="G807" s="3"/>
      <c r="K807" s="8"/>
      <c r="L807" s="8"/>
      <c r="M807" s="8"/>
      <c r="N807" s="8"/>
      <c r="O807" s="8"/>
      <c r="P807" s="8"/>
    </row>
    <row r="808" ht="12.75" spans="1:16">
      <c r="A808" s="4"/>
      <c r="B808" s="5"/>
      <c r="C808" s="5"/>
      <c r="D808" s="4"/>
      <c r="E808" s="5"/>
      <c r="F808" s="3"/>
      <c r="G808" s="3"/>
      <c r="K808" s="8"/>
      <c r="L808" s="8"/>
      <c r="M808" s="8"/>
      <c r="N808" s="8"/>
      <c r="O808" s="8"/>
      <c r="P808" s="8"/>
    </row>
    <row r="809" ht="12.75" spans="1:16">
      <c r="A809" s="4"/>
      <c r="B809" s="5"/>
      <c r="C809" s="5"/>
      <c r="D809" s="4"/>
      <c r="E809" s="5"/>
      <c r="F809" s="3"/>
      <c r="G809" s="3"/>
      <c r="K809" s="8"/>
      <c r="L809" s="8"/>
      <c r="M809" s="8"/>
      <c r="N809" s="8"/>
      <c r="O809" s="8"/>
      <c r="P809" s="8"/>
    </row>
    <row r="810" ht="12.75" spans="1:16">
      <c r="A810" s="4"/>
      <c r="B810" s="5"/>
      <c r="C810" s="5"/>
      <c r="D810" s="4"/>
      <c r="E810" s="5"/>
      <c r="F810" s="3"/>
      <c r="G810" s="3"/>
      <c r="K810" s="8"/>
      <c r="L810" s="8"/>
      <c r="M810" s="8"/>
      <c r="N810" s="8"/>
      <c r="O810" s="8"/>
      <c r="P810" s="8"/>
    </row>
    <row r="811" ht="12.75" spans="1:16">
      <c r="A811" s="4"/>
      <c r="B811" s="5"/>
      <c r="C811" s="5"/>
      <c r="D811" s="4"/>
      <c r="E811" s="5"/>
      <c r="F811" s="3"/>
      <c r="G811" s="3"/>
      <c r="K811" s="8"/>
      <c r="L811" s="8"/>
      <c r="M811" s="8"/>
      <c r="N811" s="8"/>
      <c r="O811" s="8"/>
      <c r="P811" s="8"/>
    </row>
    <row r="812" ht="12.75" spans="1:16">
      <c r="A812" s="4"/>
      <c r="B812" s="5"/>
      <c r="C812" s="5"/>
      <c r="D812" s="4"/>
      <c r="E812" s="5"/>
      <c r="F812" s="3"/>
      <c r="G812" s="3"/>
      <c r="K812" s="8"/>
      <c r="L812" s="8"/>
      <c r="M812" s="8"/>
      <c r="N812" s="8"/>
      <c r="O812" s="8"/>
      <c r="P812" s="8"/>
    </row>
    <row r="813" ht="12.75" spans="1:16">
      <c r="A813" s="4"/>
      <c r="B813" s="5"/>
      <c r="C813" s="5"/>
      <c r="D813" s="4"/>
      <c r="E813" s="5"/>
      <c r="F813" s="3"/>
      <c r="G813" s="3"/>
      <c r="K813" s="8"/>
      <c r="L813" s="8"/>
      <c r="M813" s="8"/>
      <c r="N813" s="8"/>
      <c r="O813" s="8"/>
      <c r="P813" s="8"/>
    </row>
    <row r="814" ht="12.75" spans="1:16">
      <c r="A814" s="4"/>
      <c r="B814" s="5"/>
      <c r="C814" s="5"/>
      <c r="D814" s="4"/>
      <c r="E814" s="5"/>
      <c r="F814" s="3"/>
      <c r="G814" s="3"/>
      <c r="K814" s="8"/>
      <c r="L814" s="8"/>
      <c r="M814" s="8"/>
      <c r="N814" s="8"/>
      <c r="O814" s="8"/>
      <c r="P814" s="8"/>
    </row>
    <row r="815" ht="12.75" spans="1:16">
      <c r="A815" s="4"/>
      <c r="B815" s="5"/>
      <c r="C815" s="5"/>
      <c r="D815" s="4"/>
      <c r="E815" s="5"/>
      <c r="F815" s="3"/>
      <c r="G815" s="3"/>
      <c r="K815" s="8"/>
      <c r="L815" s="8"/>
      <c r="M815" s="8"/>
      <c r="N815" s="8"/>
      <c r="O815" s="8"/>
      <c r="P815" s="8"/>
    </row>
    <row r="816" ht="12.75" spans="1:16">
      <c r="A816" s="4"/>
      <c r="B816" s="5"/>
      <c r="C816" s="5"/>
      <c r="D816" s="4"/>
      <c r="E816" s="5"/>
      <c r="F816" s="3"/>
      <c r="G816" s="3"/>
      <c r="K816" s="8"/>
      <c r="L816" s="8"/>
      <c r="M816" s="8"/>
      <c r="N816" s="8"/>
      <c r="O816" s="8"/>
      <c r="P816" s="8"/>
    </row>
    <row r="817" ht="12.75" spans="1:16">
      <c r="A817" s="4"/>
      <c r="B817" s="5"/>
      <c r="C817" s="5"/>
      <c r="D817" s="4"/>
      <c r="E817" s="5"/>
      <c r="F817" s="3"/>
      <c r="G817" s="3"/>
      <c r="K817" s="8"/>
      <c r="L817" s="8"/>
      <c r="M817" s="8"/>
      <c r="N817" s="8"/>
      <c r="O817" s="8"/>
      <c r="P817" s="8"/>
    </row>
    <row r="818" ht="12.75" spans="1:16">
      <c r="A818" s="4"/>
      <c r="B818" s="5"/>
      <c r="C818" s="5"/>
      <c r="D818" s="4"/>
      <c r="E818" s="5"/>
      <c r="F818" s="3"/>
      <c r="G818" s="3"/>
      <c r="K818" s="8"/>
      <c r="L818" s="8"/>
      <c r="M818" s="8"/>
      <c r="N818" s="8"/>
      <c r="O818" s="8"/>
      <c r="P818" s="8"/>
    </row>
    <row r="819" ht="12.75" spans="1:16">
      <c r="A819" s="4"/>
      <c r="B819" s="5"/>
      <c r="C819" s="5"/>
      <c r="D819" s="4"/>
      <c r="E819" s="5"/>
      <c r="F819" s="3"/>
      <c r="G819" s="3"/>
      <c r="K819" s="8"/>
      <c r="L819" s="8"/>
      <c r="M819" s="8"/>
      <c r="N819" s="8"/>
      <c r="O819" s="8"/>
      <c r="P819" s="8"/>
    </row>
    <row r="820" ht="12.75" spans="1:16">
      <c r="A820" s="4"/>
      <c r="B820" s="5"/>
      <c r="C820" s="5"/>
      <c r="D820" s="4"/>
      <c r="E820" s="5"/>
      <c r="F820" s="3"/>
      <c r="G820" s="3"/>
      <c r="K820" s="8"/>
      <c r="L820" s="8"/>
      <c r="M820" s="8"/>
      <c r="N820" s="8"/>
      <c r="O820" s="8"/>
      <c r="P820" s="8"/>
    </row>
    <row r="821" ht="12.75" spans="1:16">
      <c r="A821" s="4"/>
      <c r="B821" s="5"/>
      <c r="C821" s="5"/>
      <c r="D821" s="4"/>
      <c r="E821" s="5"/>
      <c r="F821" s="3"/>
      <c r="G821" s="3"/>
      <c r="K821" s="8"/>
      <c r="L821" s="8"/>
      <c r="M821" s="8"/>
      <c r="N821" s="8"/>
      <c r="O821" s="8"/>
      <c r="P821" s="8"/>
    </row>
    <row r="822" ht="12.75" spans="1:16">
      <c r="A822" s="4"/>
      <c r="B822" s="5"/>
      <c r="C822" s="5"/>
      <c r="D822" s="4"/>
      <c r="E822" s="5"/>
      <c r="F822" s="3"/>
      <c r="G822" s="3"/>
      <c r="K822" s="8"/>
      <c r="L822" s="8"/>
      <c r="M822" s="8"/>
      <c r="N822" s="8"/>
      <c r="O822" s="8"/>
      <c r="P822" s="8"/>
    </row>
    <row r="823" ht="12.75" spans="1:16">
      <c r="A823" s="4"/>
      <c r="B823" s="5"/>
      <c r="C823" s="5"/>
      <c r="D823" s="4"/>
      <c r="E823" s="5"/>
      <c r="F823" s="3"/>
      <c r="G823" s="3"/>
      <c r="K823" s="8"/>
      <c r="L823" s="8"/>
      <c r="M823" s="8"/>
      <c r="N823" s="8"/>
      <c r="O823" s="8"/>
      <c r="P823" s="8"/>
    </row>
    <row r="824" ht="12.75" spans="1:16">
      <c r="A824" s="4"/>
      <c r="B824" s="5"/>
      <c r="C824" s="5"/>
      <c r="D824" s="4"/>
      <c r="E824" s="5"/>
      <c r="F824" s="3"/>
      <c r="G824" s="3"/>
      <c r="K824" s="8"/>
      <c r="L824" s="8"/>
      <c r="M824" s="8"/>
      <c r="N824" s="8"/>
      <c r="O824" s="8"/>
      <c r="P824" s="8"/>
    </row>
    <row r="825" ht="12.75" spans="1:16">
      <c r="A825" s="4"/>
      <c r="B825" s="5"/>
      <c r="C825" s="5"/>
      <c r="D825" s="4"/>
      <c r="E825" s="5"/>
      <c r="F825" s="3"/>
      <c r="G825" s="3"/>
      <c r="K825" s="8"/>
      <c r="L825" s="8"/>
      <c r="M825" s="8"/>
      <c r="N825" s="8"/>
      <c r="O825" s="8"/>
      <c r="P825" s="8"/>
    </row>
    <row r="826" ht="12.75" spans="1:16">
      <c r="A826" s="4"/>
      <c r="B826" s="5"/>
      <c r="C826" s="5"/>
      <c r="D826" s="4"/>
      <c r="E826" s="5"/>
      <c r="F826" s="3"/>
      <c r="G826" s="3"/>
      <c r="K826" s="8"/>
      <c r="L826" s="8"/>
      <c r="M826" s="8"/>
      <c r="N826" s="8"/>
      <c r="O826" s="8"/>
      <c r="P826" s="8"/>
    </row>
    <row r="827" ht="12.75" spans="1:16">
      <c r="A827" s="4"/>
      <c r="B827" s="5"/>
      <c r="C827" s="5"/>
      <c r="D827" s="4"/>
      <c r="E827" s="5"/>
      <c r="F827" s="3"/>
      <c r="G827" s="3"/>
      <c r="K827" s="8"/>
      <c r="L827" s="8"/>
      <c r="M827" s="8"/>
      <c r="N827" s="8"/>
      <c r="O827" s="8"/>
      <c r="P827" s="8"/>
    </row>
    <row r="828" ht="12.75" spans="1:16">
      <c r="A828" s="4"/>
      <c r="B828" s="5"/>
      <c r="C828" s="5"/>
      <c r="D828" s="4"/>
      <c r="E828" s="5"/>
      <c r="F828" s="3"/>
      <c r="G828" s="3"/>
      <c r="K828" s="8"/>
      <c r="L828" s="8"/>
      <c r="M828" s="8"/>
      <c r="N828" s="8"/>
      <c r="O828" s="8"/>
      <c r="P828" s="8"/>
    </row>
    <row r="829" ht="12.75" spans="1:16">
      <c r="A829" s="4"/>
      <c r="B829" s="5"/>
      <c r="C829" s="5"/>
      <c r="D829" s="4"/>
      <c r="E829" s="5"/>
      <c r="F829" s="3"/>
      <c r="G829" s="3"/>
      <c r="K829" s="8"/>
      <c r="L829" s="8"/>
      <c r="M829" s="8"/>
      <c r="N829" s="8"/>
      <c r="O829" s="8"/>
      <c r="P829" s="8"/>
    </row>
    <row r="830" ht="12.75" spans="1:16">
      <c r="A830" s="4"/>
      <c r="B830" s="5"/>
      <c r="C830" s="5"/>
      <c r="D830" s="4"/>
      <c r="E830" s="5"/>
      <c r="F830" s="3"/>
      <c r="G830" s="3"/>
      <c r="K830" s="8"/>
      <c r="L830" s="8"/>
      <c r="M830" s="8"/>
      <c r="N830" s="8"/>
      <c r="O830" s="8"/>
      <c r="P830" s="8"/>
    </row>
    <row r="831" ht="12.75" spans="1:16">
      <c r="A831" s="4"/>
      <c r="B831" s="5"/>
      <c r="C831" s="5"/>
      <c r="D831" s="4"/>
      <c r="E831" s="5"/>
      <c r="F831" s="3"/>
      <c r="G831" s="3"/>
      <c r="K831" s="8"/>
      <c r="L831" s="8"/>
      <c r="M831" s="8"/>
      <c r="N831" s="8"/>
      <c r="O831" s="8"/>
      <c r="P831" s="8"/>
    </row>
    <row r="832" ht="12.75" spans="1:16">
      <c r="A832" s="4"/>
      <c r="B832" s="5"/>
      <c r="C832" s="5"/>
      <c r="D832" s="4"/>
      <c r="E832" s="5"/>
      <c r="F832" s="3"/>
      <c r="G832" s="3"/>
      <c r="K832" s="8"/>
      <c r="L832" s="8"/>
      <c r="M832" s="8"/>
      <c r="N832" s="8"/>
      <c r="O832" s="8"/>
      <c r="P832" s="8"/>
    </row>
    <row r="833" ht="12.75" spans="1:16">
      <c r="A833" s="4"/>
      <c r="B833" s="5"/>
      <c r="C833" s="5"/>
      <c r="D833" s="4"/>
      <c r="E833" s="5"/>
      <c r="F833" s="3"/>
      <c r="G833" s="3"/>
      <c r="K833" s="8"/>
      <c r="L833" s="8"/>
      <c r="M833" s="8"/>
      <c r="N833" s="8"/>
      <c r="O833" s="8"/>
      <c r="P833" s="8"/>
    </row>
    <row r="834" ht="12.75" spans="1:16">
      <c r="A834" s="4"/>
      <c r="B834" s="5"/>
      <c r="C834" s="5"/>
      <c r="D834" s="4"/>
      <c r="E834" s="5"/>
      <c r="F834" s="3"/>
      <c r="G834" s="3"/>
      <c r="K834" s="8"/>
      <c r="L834" s="8"/>
      <c r="M834" s="8"/>
      <c r="N834" s="8"/>
      <c r="O834" s="8"/>
      <c r="P834" s="8"/>
    </row>
    <row r="835" ht="12.75" spans="1:16">
      <c r="A835" s="4"/>
      <c r="B835" s="5"/>
      <c r="C835" s="5"/>
      <c r="D835" s="4"/>
      <c r="E835" s="5"/>
      <c r="F835" s="3"/>
      <c r="G835" s="3"/>
      <c r="K835" s="8"/>
      <c r="L835" s="8"/>
      <c r="M835" s="8"/>
      <c r="N835" s="8"/>
      <c r="O835" s="8"/>
      <c r="P835" s="8"/>
    </row>
    <row r="836" ht="12.75" spans="1:16">
      <c r="A836" s="4"/>
      <c r="B836" s="5"/>
      <c r="C836" s="5"/>
      <c r="D836" s="4"/>
      <c r="E836" s="5"/>
      <c r="F836" s="3"/>
      <c r="G836" s="3"/>
      <c r="K836" s="8"/>
      <c r="L836" s="8"/>
      <c r="M836" s="8"/>
      <c r="N836" s="8"/>
      <c r="O836" s="8"/>
      <c r="P836" s="8"/>
    </row>
    <row r="837" ht="12.75" spans="1:16">
      <c r="A837" s="4"/>
      <c r="B837" s="5"/>
      <c r="C837" s="5"/>
      <c r="D837" s="4"/>
      <c r="E837" s="5"/>
      <c r="F837" s="3"/>
      <c r="G837" s="3"/>
      <c r="K837" s="8"/>
      <c r="L837" s="8"/>
      <c r="M837" s="8"/>
      <c r="N837" s="8"/>
      <c r="O837" s="8"/>
      <c r="P837" s="8"/>
    </row>
    <row r="838" ht="12.75" spans="1:16">
      <c r="A838" s="4"/>
      <c r="B838" s="5"/>
      <c r="C838" s="5"/>
      <c r="D838" s="4"/>
      <c r="E838" s="5"/>
      <c r="F838" s="3"/>
      <c r="G838" s="3"/>
      <c r="K838" s="8"/>
      <c r="L838" s="8"/>
      <c r="M838" s="8"/>
      <c r="N838" s="8"/>
      <c r="O838" s="8"/>
      <c r="P838" s="8"/>
    </row>
    <row r="839" ht="12.75" spans="1:16">
      <c r="A839" s="4"/>
      <c r="B839" s="5"/>
      <c r="C839" s="5"/>
      <c r="D839" s="4"/>
      <c r="E839" s="5"/>
      <c r="F839" s="3"/>
      <c r="G839" s="3"/>
      <c r="K839" s="8"/>
      <c r="L839" s="8"/>
      <c r="M839" s="8"/>
      <c r="N839" s="8"/>
      <c r="O839" s="8"/>
      <c r="P839" s="8"/>
    </row>
    <row r="840" ht="12.75" spans="1:16">
      <c r="A840" s="4"/>
      <c r="B840" s="5"/>
      <c r="C840" s="5"/>
      <c r="D840" s="4"/>
      <c r="E840" s="5"/>
      <c r="F840" s="3"/>
      <c r="G840" s="3"/>
      <c r="K840" s="8"/>
      <c r="L840" s="8"/>
      <c r="M840" s="8"/>
      <c r="N840" s="8"/>
      <c r="O840" s="8"/>
      <c r="P840" s="8"/>
    </row>
    <row r="841" ht="12.75" spans="1:16">
      <c r="A841" s="4"/>
      <c r="B841" s="5"/>
      <c r="C841" s="5"/>
      <c r="D841" s="4"/>
      <c r="E841" s="5"/>
      <c r="F841" s="3"/>
      <c r="G841" s="3"/>
      <c r="K841" s="8"/>
      <c r="L841" s="8"/>
      <c r="M841" s="8"/>
      <c r="N841" s="8"/>
      <c r="O841" s="8"/>
      <c r="P841" s="8"/>
    </row>
    <row r="842" ht="12.75" spans="1:16">
      <c r="A842" s="4"/>
      <c r="B842" s="5"/>
      <c r="C842" s="5"/>
      <c r="D842" s="4"/>
      <c r="E842" s="5"/>
      <c r="F842" s="3"/>
      <c r="G842" s="3"/>
      <c r="K842" s="8"/>
      <c r="L842" s="8"/>
      <c r="M842" s="8"/>
      <c r="N842" s="8"/>
      <c r="O842" s="8"/>
      <c r="P842" s="8"/>
    </row>
    <row r="843" ht="12.75" spans="1:16">
      <c r="A843" s="4"/>
      <c r="B843" s="5"/>
      <c r="C843" s="5"/>
      <c r="D843" s="4"/>
      <c r="E843" s="5"/>
      <c r="F843" s="3"/>
      <c r="G843" s="3"/>
      <c r="K843" s="8"/>
      <c r="L843" s="8"/>
      <c r="M843" s="8"/>
      <c r="N843" s="8"/>
      <c r="O843" s="8"/>
      <c r="P843" s="8"/>
    </row>
    <row r="844" ht="12.75" spans="1:16">
      <c r="A844" s="4"/>
      <c r="B844" s="5"/>
      <c r="C844" s="5"/>
      <c r="D844" s="4"/>
      <c r="E844" s="5"/>
      <c r="F844" s="3"/>
      <c r="G844" s="3"/>
      <c r="K844" s="8"/>
      <c r="L844" s="8"/>
      <c r="M844" s="8"/>
      <c r="N844" s="8"/>
      <c r="O844" s="8"/>
      <c r="P844" s="8"/>
    </row>
    <row r="845" ht="12.75" spans="1:16">
      <c r="A845" s="4"/>
      <c r="B845" s="5"/>
      <c r="C845" s="5"/>
      <c r="D845" s="4"/>
      <c r="E845" s="5"/>
      <c r="F845" s="3"/>
      <c r="G845" s="3"/>
      <c r="K845" s="8"/>
      <c r="L845" s="8"/>
      <c r="M845" s="8"/>
      <c r="N845" s="8"/>
      <c r="O845" s="8"/>
      <c r="P845" s="8"/>
    </row>
    <row r="846" ht="12.75" spans="1:16">
      <c r="A846" s="4"/>
      <c r="B846" s="5"/>
      <c r="C846" s="5"/>
      <c r="D846" s="4"/>
      <c r="E846" s="5"/>
      <c r="F846" s="3"/>
      <c r="G846" s="3"/>
      <c r="K846" s="8"/>
      <c r="L846" s="8"/>
      <c r="M846" s="8"/>
      <c r="N846" s="8"/>
      <c r="O846" s="8"/>
      <c r="P846" s="8"/>
    </row>
    <row r="847" ht="12.75" spans="1:16">
      <c r="A847" s="4"/>
      <c r="B847" s="5"/>
      <c r="C847" s="5"/>
      <c r="D847" s="4"/>
      <c r="E847" s="5"/>
      <c r="F847" s="3"/>
      <c r="G847" s="3"/>
      <c r="K847" s="8"/>
      <c r="L847" s="8"/>
      <c r="M847" s="8"/>
      <c r="N847" s="8"/>
      <c r="O847" s="8"/>
      <c r="P847" s="8"/>
    </row>
    <row r="848" ht="12.75" spans="1:16">
      <c r="A848" s="4"/>
      <c r="B848" s="5"/>
      <c r="C848" s="5"/>
      <c r="D848" s="4"/>
      <c r="E848" s="5"/>
      <c r="F848" s="3"/>
      <c r="G848" s="3"/>
      <c r="K848" s="8"/>
      <c r="L848" s="8"/>
      <c r="M848" s="8"/>
      <c r="N848" s="8"/>
      <c r="O848" s="8"/>
      <c r="P848" s="8"/>
    </row>
    <row r="849" ht="12.75" spans="1:16">
      <c r="A849" s="4"/>
      <c r="B849" s="5"/>
      <c r="C849" s="5"/>
      <c r="D849" s="4"/>
      <c r="E849" s="5"/>
      <c r="F849" s="3"/>
      <c r="G849" s="3"/>
      <c r="K849" s="8"/>
      <c r="L849" s="8"/>
      <c r="M849" s="8"/>
      <c r="N849" s="8"/>
      <c r="O849" s="8"/>
      <c r="P849" s="8"/>
    </row>
    <row r="850" ht="12.75" spans="1:16">
      <c r="A850" s="4"/>
      <c r="B850" s="5"/>
      <c r="C850" s="5"/>
      <c r="D850" s="4"/>
      <c r="E850" s="5"/>
      <c r="F850" s="3"/>
      <c r="G850" s="3"/>
      <c r="K850" s="8"/>
      <c r="L850" s="8"/>
      <c r="M850" s="8"/>
      <c r="N850" s="8"/>
      <c r="O850" s="8"/>
      <c r="P850" s="8"/>
    </row>
    <row r="851" ht="12.75" spans="1:16">
      <c r="A851" s="4"/>
      <c r="B851" s="5"/>
      <c r="C851" s="5"/>
      <c r="D851" s="4"/>
      <c r="E851" s="5"/>
      <c r="F851" s="3"/>
      <c r="G851" s="3"/>
      <c r="K851" s="8"/>
      <c r="L851" s="8"/>
      <c r="M851" s="8"/>
      <c r="N851" s="8"/>
      <c r="O851" s="8"/>
      <c r="P851" s="8"/>
    </row>
    <row r="852" ht="12.75" spans="1:16">
      <c r="A852" s="4"/>
      <c r="B852" s="5"/>
      <c r="C852" s="5"/>
      <c r="D852" s="4"/>
      <c r="E852" s="5"/>
      <c r="F852" s="3"/>
      <c r="G852" s="3"/>
      <c r="K852" s="8"/>
      <c r="L852" s="8"/>
      <c r="M852" s="8"/>
      <c r="N852" s="8"/>
      <c r="O852" s="8"/>
      <c r="P852" s="8"/>
    </row>
    <row r="853" ht="12.75" spans="1:16">
      <c r="A853" s="4"/>
      <c r="B853" s="5"/>
      <c r="C853" s="5"/>
      <c r="D853" s="4"/>
      <c r="E853" s="5"/>
      <c r="F853" s="3"/>
      <c r="G853" s="3"/>
      <c r="K853" s="8"/>
      <c r="L853" s="8"/>
      <c r="M853" s="8"/>
      <c r="N853" s="8"/>
      <c r="O853" s="8"/>
      <c r="P853" s="8"/>
    </row>
    <row r="854" ht="12.75" spans="1:16">
      <c r="A854" s="4"/>
      <c r="B854" s="5"/>
      <c r="C854" s="5"/>
      <c r="D854" s="4"/>
      <c r="E854" s="5"/>
      <c r="F854" s="3"/>
      <c r="G854" s="3"/>
      <c r="K854" s="8"/>
      <c r="L854" s="8"/>
      <c r="M854" s="8"/>
      <c r="N854" s="8"/>
      <c r="O854" s="8"/>
      <c r="P854" s="8"/>
    </row>
    <row r="855" ht="12.75" spans="1:16">
      <c r="A855" s="4"/>
      <c r="B855" s="5"/>
      <c r="C855" s="5"/>
      <c r="D855" s="4"/>
      <c r="E855" s="5"/>
      <c r="F855" s="3"/>
      <c r="G855" s="3"/>
      <c r="K855" s="8"/>
      <c r="L855" s="8"/>
      <c r="M855" s="8"/>
      <c r="N855" s="8"/>
      <c r="O855" s="8"/>
      <c r="P855" s="8"/>
    </row>
    <row r="856" ht="12.75" spans="1:16">
      <c r="A856" s="4"/>
      <c r="B856" s="5"/>
      <c r="C856" s="5"/>
      <c r="D856" s="4"/>
      <c r="E856" s="5"/>
      <c r="F856" s="3"/>
      <c r="G856" s="3"/>
      <c r="K856" s="8"/>
      <c r="L856" s="8"/>
      <c r="M856" s="8"/>
      <c r="N856" s="8"/>
      <c r="O856" s="8"/>
      <c r="P856" s="8"/>
    </row>
    <row r="857" ht="12.75" spans="1:16">
      <c r="A857" s="4"/>
      <c r="B857" s="5"/>
      <c r="C857" s="5"/>
      <c r="D857" s="4"/>
      <c r="E857" s="5"/>
      <c r="F857" s="3"/>
      <c r="G857" s="3"/>
      <c r="K857" s="8"/>
      <c r="L857" s="8"/>
      <c r="M857" s="8"/>
      <c r="N857" s="8"/>
      <c r="O857" s="8"/>
      <c r="P857" s="8"/>
    </row>
    <row r="858" ht="12.75" spans="1:16">
      <c r="A858" s="4"/>
      <c r="B858" s="5"/>
      <c r="C858" s="5"/>
      <c r="D858" s="4"/>
      <c r="E858" s="5"/>
      <c r="F858" s="3"/>
      <c r="G858" s="3"/>
      <c r="K858" s="8"/>
      <c r="L858" s="8"/>
      <c r="M858" s="8"/>
      <c r="N858" s="8"/>
      <c r="O858" s="8"/>
      <c r="P858" s="8"/>
    </row>
    <row r="859" ht="12.75" spans="1:16">
      <c r="A859" s="4"/>
      <c r="B859" s="5"/>
      <c r="C859" s="5"/>
      <c r="D859" s="4"/>
      <c r="E859" s="5"/>
      <c r="F859" s="3"/>
      <c r="G859" s="3"/>
      <c r="K859" s="8"/>
      <c r="L859" s="8"/>
      <c r="M859" s="8"/>
      <c r="N859" s="8"/>
      <c r="O859" s="8"/>
      <c r="P859" s="8"/>
    </row>
    <row r="860" ht="12.75" spans="1:16">
      <c r="A860" s="4"/>
      <c r="B860" s="5"/>
      <c r="C860" s="5"/>
      <c r="D860" s="4"/>
      <c r="E860" s="5"/>
      <c r="F860" s="3"/>
      <c r="G860" s="3"/>
      <c r="K860" s="8"/>
      <c r="L860" s="8"/>
      <c r="M860" s="8"/>
      <c r="N860" s="8"/>
      <c r="O860" s="8"/>
      <c r="P860" s="8"/>
    </row>
    <row r="861" ht="12.75" spans="1:16">
      <c r="A861" s="4"/>
      <c r="B861" s="5"/>
      <c r="C861" s="5"/>
      <c r="D861" s="4"/>
      <c r="E861" s="5"/>
      <c r="F861" s="3"/>
      <c r="G861" s="3"/>
      <c r="K861" s="8"/>
      <c r="L861" s="8"/>
      <c r="M861" s="8"/>
      <c r="N861" s="8"/>
      <c r="O861" s="8"/>
      <c r="P861" s="8"/>
    </row>
    <row r="862" ht="12.75" spans="1:16">
      <c r="A862" s="4"/>
      <c r="B862" s="5"/>
      <c r="C862" s="5"/>
      <c r="D862" s="4"/>
      <c r="E862" s="5"/>
      <c r="F862" s="3"/>
      <c r="G862" s="3"/>
      <c r="K862" s="8"/>
      <c r="L862" s="8"/>
      <c r="M862" s="8"/>
      <c r="N862" s="8"/>
      <c r="O862" s="8"/>
      <c r="P862" s="8"/>
    </row>
    <row r="863" ht="12.75" spans="1:16">
      <c r="A863" s="4"/>
      <c r="B863" s="5"/>
      <c r="C863" s="5"/>
      <c r="D863" s="4"/>
      <c r="E863" s="5"/>
      <c r="F863" s="3"/>
      <c r="G863" s="3"/>
      <c r="K863" s="8"/>
      <c r="L863" s="8"/>
      <c r="M863" s="8"/>
      <c r="N863" s="8"/>
      <c r="O863" s="8"/>
      <c r="P863" s="8"/>
    </row>
    <row r="864" ht="12.75" spans="1:16">
      <c r="A864" s="4"/>
      <c r="B864" s="5"/>
      <c r="C864" s="5"/>
      <c r="D864" s="4"/>
      <c r="E864" s="5"/>
      <c r="F864" s="3"/>
      <c r="G864" s="3"/>
      <c r="K864" s="8"/>
      <c r="L864" s="8"/>
      <c r="M864" s="8"/>
      <c r="N864" s="8"/>
      <c r="O864" s="8"/>
      <c r="P864" s="8"/>
    </row>
    <row r="865" ht="12.75" spans="1:16">
      <c r="A865" s="4"/>
      <c r="B865" s="5"/>
      <c r="C865" s="5"/>
      <c r="D865" s="4"/>
      <c r="E865" s="5"/>
      <c r="F865" s="3"/>
      <c r="G865" s="3"/>
      <c r="K865" s="8"/>
      <c r="L865" s="8"/>
      <c r="M865" s="8"/>
      <c r="N865" s="8"/>
      <c r="O865" s="8"/>
      <c r="P865" s="8"/>
    </row>
    <row r="866" ht="12.75" spans="1:16">
      <c r="A866" s="4"/>
      <c r="B866" s="5"/>
      <c r="C866" s="5"/>
      <c r="D866" s="4"/>
      <c r="E866" s="5"/>
      <c r="F866" s="3"/>
      <c r="G866" s="3"/>
      <c r="K866" s="8"/>
      <c r="L866" s="8"/>
      <c r="M866" s="8"/>
      <c r="N866" s="8"/>
      <c r="O866" s="8"/>
      <c r="P866" s="8"/>
    </row>
    <row r="867" ht="12.75" spans="1:16">
      <c r="A867" s="4"/>
      <c r="B867" s="5"/>
      <c r="C867" s="5"/>
      <c r="D867" s="4"/>
      <c r="E867" s="5"/>
      <c r="F867" s="3"/>
      <c r="G867" s="3"/>
      <c r="K867" s="8"/>
      <c r="L867" s="8"/>
      <c r="M867" s="8"/>
      <c r="N867" s="8"/>
      <c r="O867" s="8"/>
      <c r="P867" s="8"/>
    </row>
    <row r="868" ht="12.75" spans="1:16">
      <c r="A868" s="4"/>
      <c r="B868" s="5"/>
      <c r="C868" s="5"/>
      <c r="D868" s="4"/>
      <c r="E868" s="5"/>
      <c r="F868" s="3"/>
      <c r="G868" s="3"/>
      <c r="K868" s="8"/>
      <c r="L868" s="8"/>
      <c r="M868" s="8"/>
      <c r="N868" s="8"/>
      <c r="O868" s="8"/>
      <c r="P868" s="8"/>
    </row>
    <row r="869" ht="12.75" spans="1:16">
      <c r="A869" s="4"/>
      <c r="B869" s="5"/>
      <c r="C869" s="5"/>
      <c r="D869" s="4"/>
      <c r="E869" s="5"/>
      <c r="F869" s="3"/>
      <c r="G869" s="3"/>
      <c r="K869" s="8"/>
      <c r="L869" s="8"/>
      <c r="M869" s="8"/>
      <c r="N869" s="8"/>
      <c r="O869" s="8"/>
      <c r="P869" s="8"/>
    </row>
    <row r="870" ht="12.75" spans="1:16">
      <c r="A870" s="4"/>
      <c r="B870" s="5"/>
      <c r="C870" s="5"/>
      <c r="D870" s="4"/>
      <c r="E870" s="5"/>
      <c r="F870" s="3"/>
      <c r="G870" s="3"/>
      <c r="K870" s="8"/>
      <c r="L870" s="8"/>
      <c r="M870" s="8"/>
      <c r="N870" s="8"/>
      <c r="O870" s="8"/>
      <c r="P870" s="8"/>
    </row>
    <row r="871" ht="12.75" spans="1:16">
      <c r="A871" s="4"/>
      <c r="B871" s="5"/>
      <c r="C871" s="5"/>
      <c r="D871" s="4"/>
      <c r="E871" s="5"/>
      <c r="F871" s="3"/>
      <c r="G871" s="3"/>
      <c r="K871" s="8"/>
      <c r="L871" s="8"/>
      <c r="M871" s="8"/>
      <c r="N871" s="8"/>
      <c r="O871" s="8"/>
      <c r="P871" s="8"/>
    </row>
    <row r="872" ht="12.75" spans="1:16">
      <c r="A872" s="4"/>
      <c r="B872" s="5"/>
      <c r="C872" s="5"/>
      <c r="D872" s="4"/>
      <c r="E872" s="5"/>
      <c r="F872" s="3"/>
      <c r="G872" s="3"/>
      <c r="K872" s="8"/>
      <c r="L872" s="8"/>
      <c r="M872" s="8"/>
      <c r="N872" s="8"/>
      <c r="O872" s="8"/>
      <c r="P872" s="8"/>
    </row>
    <row r="873" ht="12.75" spans="1:16">
      <c r="A873" s="4"/>
      <c r="B873" s="5"/>
      <c r="C873" s="5"/>
      <c r="D873" s="4"/>
      <c r="E873" s="5"/>
      <c r="F873" s="3"/>
      <c r="G873" s="3"/>
      <c r="K873" s="8"/>
      <c r="L873" s="8"/>
      <c r="M873" s="8"/>
      <c r="N873" s="8"/>
      <c r="O873" s="8"/>
      <c r="P873" s="8"/>
    </row>
    <row r="874" ht="12.75" spans="1:16">
      <c r="A874" s="4"/>
      <c r="B874" s="5"/>
      <c r="C874" s="5"/>
      <c r="D874" s="4"/>
      <c r="E874" s="5"/>
      <c r="F874" s="3"/>
      <c r="G874" s="3"/>
      <c r="K874" s="8"/>
      <c r="L874" s="8"/>
      <c r="M874" s="8"/>
      <c r="N874" s="8"/>
      <c r="O874" s="8"/>
      <c r="P874" s="8"/>
    </row>
    <row r="875" ht="12.75" spans="1:16">
      <c r="A875" s="4"/>
      <c r="B875" s="5"/>
      <c r="C875" s="5"/>
      <c r="D875" s="4"/>
      <c r="E875" s="5"/>
      <c r="F875" s="3"/>
      <c r="G875" s="3"/>
      <c r="K875" s="8"/>
      <c r="L875" s="8"/>
      <c r="M875" s="8"/>
      <c r="N875" s="8"/>
      <c r="O875" s="8"/>
      <c r="P875" s="8"/>
    </row>
    <row r="876" ht="12.75" spans="1:16">
      <c r="A876" s="4"/>
      <c r="B876" s="5"/>
      <c r="C876" s="5"/>
      <c r="D876" s="4"/>
      <c r="E876" s="5"/>
      <c r="F876" s="3"/>
      <c r="G876" s="3"/>
      <c r="K876" s="8"/>
      <c r="L876" s="8"/>
      <c r="M876" s="8"/>
      <c r="N876" s="8"/>
      <c r="O876" s="8"/>
      <c r="P876" s="8"/>
    </row>
    <row r="877" ht="12.75" spans="1:16">
      <c r="A877" s="4"/>
      <c r="B877" s="5"/>
      <c r="C877" s="5"/>
      <c r="D877" s="4"/>
      <c r="E877" s="5"/>
      <c r="F877" s="3"/>
      <c r="G877" s="3"/>
      <c r="K877" s="8"/>
      <c r="L877" s="8"/>
      <c r="M877" s="8"/>
      <c r="N877" s="8"/>
      <c r="O877" s="8"/>
      <c r="P877" s="8"/>
    </row>
    <row r="878" ht="12.75" spans="1:16">
      <c r="A878" s="4"/>
      <c r="B878" s="5"/>
      <c r="C878" s="5"/>
      <c r="D878" s="4"/>
      <c r="E878" s="5"/>
      <c r="F878" s="3"/>
      <c r="G878" s="3"/>
      <c r="K878" s="8"/>
      <c r="L878" s="8"/>
      <c r="M878" s="8"/>
      <c r="N878" s="8"/>
      <c r="O878" s="8"/>
      <c r="P878" s="8"/>
    </row>
    <row r="879" ht="12.75" spans="1:16">
      <c r="A879" s="4"/>
      <c r="B879" s="5"/>
      <c r="C879" s="5"/>
      <c r="D879" s="4"/>
      <c r="E879" s="5"/>
      <c r="F879" s="3"/>
      <c r="G879" s="3"/>
      <c r="K879" s="8"/>
      <c r="L879" s="8"/>
      <c r="M879" s="8"/>
      <c r="N879" s="8"/>
      <c r="O879" s="8"/>
      <c r="P879" s="8"/>
    </row>
    <row r="880" ht="12.75" spans="1:16">
      <c r="A880" s="4"/>
      <c r="B880" s="5"/>
      <c r="C880" s="5"/>
      <c r="D880" s="4"/>
      <c r="E880" s="5"/>
      <c r="F880" s="3"/>
      <c r="G880" s="3"/>
      <c r="K880" s="8"/>
      <c r="L880" s="8"/>
      <c r="M880" s="8"/>
      <c r="N880" s="8"/>
      <c r="O880" s="8"/>
      <c r="P880" s="8"/>
    </row>
    <row r="881" ht="12.75" spans="1:16">
      <c r="A881" s="4"/>
      <c r="B881" s="5"/>
      <c r="C881" s="5"/>
      <c r="D881" s="4"/>
      <c r="E881" s="5"/>
      <c r="F881" s="3"/>
      <c r="G881" s="3"/>
      <c r="K881" s="8"/>
      <c r="L881" s="8"/>
      <c r="M881" s="8"/>
      <c r="N881" s="8"/>
      <c r="O881" s="8"/>
      <c r="P881" s="8"/>
    </row>
    <row r="882" ht="12.75" spans="1:16">
      <c r="A882" s="4"/>
      <c r="B882" s="5"/>
      <c r="C882" s="5"/>
      <c r="D882" s="4"/>
      <c r="E882" s="5"/>
      <c r="F882" s="3"/>
      <c r="G882" s="3"/>
      <c r="K882" s="8"/>
      <c r="L882" s="8"/>
      <c r="M882" s="8"/>
      <c r="N882" s="8"/>
      <c r="O882" s="8"/>
      <c r="P882" s="8"/>
    </row>
    <row r="883" ht="12.75" spans="1:16">
      <c r="A883" s="4"/>
      <c r="B883" s="5"/>
      <c r="C883" s="5"/>
      <c r="D883" s="4"/>
      <c r="E883" s="5"/>
      <c r="F883" s="3"/>
      <c r="G883" s="3"/>
      <c r="K883" s="8"/>
      <c r="L883" s="8"/>
      <c r="M883" s="8"/>
      <c r="N883" s="8"/>
      <c r="O883" s="8"/>
      <c r="P883" s="8"/>
    </row>
    <row r="884" ht="12.75" spans="1:16">
      <c r="A884" s="4"/>
      <c r="B884" s="5"/>
      <c r="C884" s="5"/>
      <c r="D884" s="4"/>
      <c r="E884" s="5"/>
      <c r="F884" s="3"/>
      <c r="G884" s="3"/>
      <c r="K884" s="8"/>
      <c r="L884" s="8"/>
      <c r="M884" s="8"/>
      <c r="N884" s="8"/>
      <c r="O884" s="8"/>
      <c r="P884" s="8"/>
    </row>
    <row r="885" ht="12.75" spans="1:16">
      <c r="A885" s="4"/>
      <c r="B885" s="5"/>
      <c r="C885" s="5"/>
      <c r="D885" s="4"/>
      <c r="E885" s="5"/>
      <c r="F885" s="3"/>
      <c r="G885" s="3"/>
      <c r="K885" s="8"/>
      <c r="L885" s="8"/>
      <c r="M885" s="8"/>
      <c r="N885" s="8"/>
      <c r="O885" s="8"/>
      <c r="P885" s="8"/>
    </row>
    <row r="886" ht="12.75" spans="1:16">
      <c r="A886" s="4"/>
      <c r="B886" s="5"/>
      <c r="C886" s="5"/>
      <c r="D886" s="4"/>
      <c r="E886" s="5"/>
      <c r="F886" s="3"/>
      <c r="G886" s="3"/>
      <c r="K886" s="8"/>
      <c r="L886" s="8"/>
      <c r="M886" s="8"/>
      <c r="N886" s="8"/>
      <c r="O886" s="8"/>
      <c r="P886" s="8"/>
    </row>
    <row r="887" ht="12.75" spans="1:16">
      <c r="A887" s="4"/>
      <c r="B887" s="5"/>
      <c r="C887" s="5"/>
      <c r="D887" s="4"/>
      <c r="E887" s="5"/>
      <c r="F887" s="3"/>
      <c r="G887" s="3"/>
      <c r="K887" s="8"/>
      <c r="L887" s="8"/>
      <c r="M887" s="8"/>
      <c r="N887" s="8"/>
      <c r="O887" s="8"/>
      <c r="P887" s="8"/>
    </row>
    <row r="888" ht="12.75" spans="1:16">
      <c r="A888" s="4"/>
      <c r="B888" s="5"/>
      <c r="C888" s="5"/>
      <c r="D888" s="4"/>
      <c r="E888" s="5"/>
      <c r="F888" s="3"/>
      <c r="G888" s="3"/>
      <c r="K888" s="8"/>
      <c r="L888" s="8"/>
      <c r="M888" s="8"/>
      <c r="N888" s="8"/>
      <c r="O888" s="8"/>
      <c r="P888" s="8"/>
    </row>
    <row r="889" ht="12.75" spans="1:16">
      <c r="A889" s="4"/>
      <c r="B889" s="5"/>
      <c r="C889" s="5"/>
      <c r="D889" s="4"/>
      <c r="E889" s="5"/>
      <c r="F889" s="3"/>
      <c r="G889" s="3"/>
      <c r="K889" s="8"/>
      <c r="L889" s="8"/>
      <c r="M889" s="8"/>
      <c r="N889" s="8"/>
      <c r="O889" s="8"/>
      <c r="P889" s="8"/>
    </row>
    <row r="890" ht="12.75" spans="1:16">
      <c r="A890" s="4"/>
      <c r="B890" s="5"/>
      <c r="C890" s="5"/>
      <c r="D890" s="4"/>
      <c r="E890" s="5"/>
      <c r="F890" s="3"/>
      <c r="G890" s="3"/>
      <c r="K890" s="8"/>
      <c r="L890" s="8"/>
      <c r="M890" s="8"/>
      <c r="N890" s="8"/>
      <c r="O890" s="8"/>
      <c r="P890" s="8"/>
    </row>
    <row r="891" ht="12.75" spans="1:16">
      <c r="A891" s="4"/>
      <c r="B891" s="5"/>
      <c r="C891" s="5"/>
      <c r="D891" s="4"/>
      <c r="E891" s="5"/>
      <c r="F891" s="3"/>
      <c r="G891" s="3"/>
      <c r="K891" s="8"/>
      <c r="L891" s="8"/>
      <c r="M891" s="8"/>
      <c r="N891" s="8"/>
      <c r="O891" s="8"/>
      <c r="P891" s="8"/>
    </row>
    <row r="892" ht="12.75" spans="1:16">
      <c r="A892" s="4"/>
      <c r="B892" s="5"/>
      <c r="C892" s="5"/>
      <c r="D892" s="4"/>
      <c r="E892" s="5"/>
      <c r="F892" s="3"/>
      <c r="G892" s="3"/>
      <c r="K892" s="8"/>
      <c r="L892" s="8"/>
      <c r="M892" s="8"/>
      <c r="N892" s="8"/>
      <c r="O892" s="8"/>
      <c r="P892" s="8"/>
    </row>
    <row r="893" ht="12.75" spans="1:16">
      <c r="A893" s="4"/>
      <c r="B893" s="5"/>
      <c r="C893" s="5"/>
      <c r="D893" s="4"/>
      <c r="E893" s="5"/>
      <c r="F893" s="3"/>
      <c r="G893" s="3"/>
      <c r="K893" s="8"/>
      <c r="L893" s="8"/>
      <c r="M893" s="8"/>
      <c r="N893" s="8"/>
      <c r="O893" s="8"/>
      <c r="P893" s="8"/>
    </row>
    <row r="894" ht="12.75" spans="1:16">
      <c r="A894" s="4"/>
      <c r="B894" s="5"/>
      <c r="C894" s="5"/>
      <c r="D894" s="4"/>
      <c r="E894" s="5"/>
      <c r="F894" s="3"/>
      <c r="G894" s="3"/>
      <c r="K894" s="8"/>
      <c r="L894" s="8"/>
      <c r="M894" s="8"/>
      <c r="N894" s="8"/>
      <c r="O894" s="8"/>
      <c r="P894" s="8"/>
    </row>
    <row r="895" ht="12.75" spans="1:16">
      <c r="A895" s="4"/>
      <c r="B895" s="5"/>
      <c r="C895" s="5"/>
      <c r="D895" s="4"/>
      <c r="E895" s="5"/>
      <c r="F895" s="3"/>
      <c r="G895" s="3"/>
      <c r="K895" s="8"/>
      <c r="L895" s="8"/>
      <c r="M895" s="8"/>
      <c r="N895" s="8"/>
      <c r="O895" s="8"/>
      <c r="P895" s="8"/>
    </row>
    <row r="896" ht="12.75" spans="1:16">
      <c r="A896" s="4"/>
      <c r="B896" s="5"/>
      <c r="C896" s="5"/>
      <c r="D896" s="4"/>
      <c r="E896" s="5"/>
      <c r="F896" s="3"/>
      <c r="G896" s="3"/>
      <c r="K896" s="8"/>
      <c r="L896" s="8"/>
      <c r="M896" s="8"/>
      <c r="N896" s="8"/>
      <c r="O896" s="8"/>
      <c r="P896" s="8"/>
    </row>
    <row r="897" ht="12.75" spans="1:16">
      <c r="A897" s="4"/>
      <c r="B897" s="5"/>
      <c r="C897" s="5"/>
      <c r="D897" s="4"/>
      <c r="E897" s="5"/>
      <c r="F897" s="3"/>
      <c r="G897" s="3"/>
      <c r="K897" s="8"/>
      <c r="L897" s="8"/>
      <c r="M897" s="8"/>
      <c r="N897" s="8"/>
      <c r="O897" s="8"/>
      <c r="P897" s="8"/>
    </row>
    <row r="898" ht="12.75" spans="1:16">
      <c r="A898" s="4"/>
      <c r="B898" s="5"/>
      <c r="C898" s="5"/>
      <c r="D898" s="4"/>
      <c r="E898" s="5"/>
      <c r="F898" s="3"/>
      <c r="G898" s="3"/>
      <c r="K898" s="8"/>
      <c r="L898" s="8"/>
      <c r="M898" s="8"/>
      <c r="N898" s="8"/>
      <c r="O898" s="8"/>
      <c r="P898" s="8"/>
    </row>
    <row r="899" ht="12.75" spans="1:16">
      <c r="A899" s="4"/>
      <c r="B899" s="5"/>
      <c r="C899" s="5"/>
      <c r="D899" s="4"/>
      <c r="E899" s="5"/>
      <c r="F899" s="3"/>
      <c r="G899" s="3"/>
      <c r="K899" s="8"/>
      <c r="L899" s="8"/>
      <c r="M899" s="8"/>
      <c r="N899" s="8"/>
      <c r="O899" s="8"/>
      <c r="P899" s="8"/>
    </row>
    <row r="900" ht="12.75" spans="1:16">
      <c r="A900" s="4"/>
      <c r="B900" s="5"/>
      <c r="C900" s="5"/>
      <c r="D900" s="4"/>
      <c r="E900" s="5"/>
      <c r="F900" s="3"/>
      <c r="G900" s="3"/>
      <c r="K900" s="8"/>
      <c r="L900" s="8"/>
      <c r="M900" s="8"/>
      <c r="N900" s="8"/>
      <c r="O900" s="8"/>
      <c r="P900" s="8"/>
    </row>
    <row r="901" ht="12.75" spans="1:16">
      <c r="A901" s="4"/>
      <c r="B901" s="5"/>
      <c r="C901" s="5"/>
      <c r="D901" s="4"/>
      <c r="E901" s="5"/>
      <c r="F901" s="3"/>
      <c r="G901" s="3"/>
      <c r="K901" s="8"/>
      <c r="L901" s="8"/>
      <c r="M901" s="8"/>
      <c r="N901" s="8"/>
      <c r="O901" s="8"/>
      <c r="P901" s="8"/>
    </row>
    <row r="902" ht="12.75" spans="1:16">
      <c r="A902" s="4"/>
      <c r="B902" s="5"/>
      <c r="C902" s="5"/>
      <c r="D902" s="4"/>
      <c r="E902" s="5"/>
      <c r="F902" s="3"/>
      <c r="G902" s="3"/>
      <c r="K902" s="8"/>
      <c r="L902" s="8"/>
      <c r="M902" s="8"/>
      <c r="N902" s="8"/>
      <c r="O902" s="8"/>
      <c r="P902" s="8"/>
    </row>
    <row r="903" ht="12.75" spans="1:16">
      <c r="A903" s="4"/>
      <c r="B903" s="5"/>
      <c r="C903" s="5"/>
      <c r="D903" s="4"/>
      <c r="E903" s="5"/>
      <c r="F903" s="3"/>
      <c r="G903" s="3"/>
      <c r="K903" s="8"/>
      <c r="L903" s="8"/>
      <c r="M903" s="8"/>
      <c r="N903" s="8"/>
      <c r="O903" s="8"/>
      <c r="P903" s="8"/>
    </row>
    <row r="904" ht="12.75" spans="1:16">
      <c r="A904" s="4"/>
      <c r="B904" s="5"/>
      <c r="C904" s="5"/>
      <c r="D904" s="4"/>
      <c r="E904" s="5"/>
      <c r="F904" s="3"/>
      <c r="G904" s="3"/>
      <c r="K904" s="8"/>
      <c r="L904" s="8"/>
      <c r="M904" s="8"/>
      <c r="N904" s="8"/>
      <c r="O904" s="8"/>
      <c r="P904" s="8"/>
    </row>
    <row r="905" ht="12.75" spans="1:16">
      <c r="A905" s="4"/>
      <c r="B905" s="5"/>
      <c r="C905" s="5"/>
      <c r="D905" s="4"/>
      <c r="E905" s="5"/>
      <c r="F905" s="3"/>
      <c r="G905" s="3"/>
      <c r="K905" s="8"/>
      <c r="L905" s="8"/>
      <c r="M905" s="8"/>
      <c r="N905" s="8"/>
      <c r="O905" s="8"/>
      <c r="P905" s="8"/>
    </row>
    <row r="906" ht="12.75" spans="1:16">
      <c r="A906" s="4"/>
      <c r="B906" s="5"/>
      <c r="C906" s="5"/>
      <c r="D906" s="4"/>
      <c r="E906" s="5"/>
      <c r="F906" s="3"/>
      <c r="G906" s="3"/>
      <c r="K906" s="8"/>
      <c r="L906" s="8"/>
      <c r="M906" s="8"/>
      <c r="N906" s="8"/>
      <c r="O906" s="8"/>
      <c r="P906" s="8"/>
    </row>
    <row r="907" ht="12.75" spans="1:16">
      <c r="A907" s="4"/>
      <c r="B907" s="5"/>
      <c r="C907" s="5"/>
      <c r="D907" s="4"/>
      <c r="E907" s="5"/>
      <c r="F907" s="3"/>
      <c r="G907" s="3"/>
      <c r="K907" s="8"/>
      <c r="L907" s="8"/>
      <c r="M907" s="8"/>
      <c r="N907" s="8"/>
      <c r="O907" s="8"/>
      <c r="P907" s="8"/>
    </row>
    <row r="908" ht="12.75" spans="1:16">
      <c r="A908" s="4"/>
      <c r="B908" s="5"/>
      <c r="C908" s="5"/>
      <c r="D908" s="4"/>
      <c r="E908" s="5"/>
      <c r="F908" s="3"/>
      <c r="G908" s="3"/>
      <c r="K908" s="8"/>
      <c r="L908" s="8"/>
      <c r="M908" s="8"/>
      <c r="N908" s="8"/>
      <c r="O908" s="8"/>
      <c r="P908" s="8"/>
    </row>
    <row r="909" ht="12.75" spans="1:16">
      <c r="A909" s="4"/>
      <c r="B909" s="5"/>
      <c r="C909" s="5"/>
      <c r="D909" s="4"/>
      <c r="E909" s="5"/>
      <c r="F909" s="3"/>
      <c r="G909" s="3"/>
      <c r="K909" s="8"/>
      <c r="L909" s="8"/>
      <c r="M909" s="8"/>
      <c r="N909" s="8"/>
      <c r="O909" s="8"/>
      <c r="P909" s="8"/>
    </row>
    <row r="910" ht="12.75" spans="1:16">
      <c r="A910" s="4"/>
      <c r="B910" s="5"/>
      <c r="C910" s="5"/>
      <c r="D910" s="4"/>
      <c r="E910" s="5"/>
      <c r="F910" s="3"/>
      <c r="G910" s="3"/>
      <c r="K910" s="8"/>
      <c r="L910" s="8"/>
      <c r="M910" s="8"/>
      <c r="N910" s="8"/>
      <c r="O910" s="8"/>
      <c r="P910" s="8"/>
    </row>
    <row r="911" ht="12.75" spans="1:16">
      <c r="A911" s="4"/>
      <c r="B911" s="5"/>
      <c r="C911" s="5"/>
      <c r="D911" s="4"/>
      <c r="E911" s="5"/>
      <c r="F911" s="3"/>
      <c r="G911" s="3"/>
      <c r="K911" s="8"/>
      <c r="L911" s="8"/>
      <c r="M911" s="8"/>
      <c r="N911" s="8"/>
      <c r="O911" s="8"/>
      <c r="P911" s="8"/>
    </row>
    <row r="912" ht="12.75" spans="1:16">
      <c r="A912" s="4"/>
      <c r="B912" s="5"/>
      <c r="C912" s="5"/>
      <c r="D912" s="4"/>
      <c r="E912" s="5"/>
      <c r="F912" s="3"/>
      <c r="G912" s="3"/>
      <c r="K912" s="8"/>
      <c r="L912" s="8"/>
      <c r="M912" s="8"/>
      <c r="N912" s="8"/>
      <c r="O912" s="8"/>
      <c r="P912" s="8"/>
    </row>
    <row r="913" ht="12.75" spans="1:16">
      <c r="A913" s="4"/>
      <c r="B913" s="5"/>
      <c r="C913" s="5"/>
      <c r="D913" s="4"/>
      <c r="E913" s="5"/>
      <c r="F913" s="3"/>
      <c r="G913" s="3"/>
      <c r="K913" s="8"/>
      <c r="L913" s="8"/>
      <c r="M913" s="8"/>
      <c r="N913" s="8"/>
      <c r="O913" s="8"/>
      <c r="P913" s="8"/>
    </row>
    <row r="914" ht="12.75" spans="1:16">
      <c r="A914" s="4"/>
      <c r="B914" s="5"/>
      <c r="C914" s="5"/>
      <c r="D914" s="4"/>
      <c r="E914" s="5"/>
      <c r="F914" s="3"/>
      <c r="G914" s="3"/>
      <c r="K914" s="8"/>
      <c r="L914" s="8"/>
      <c r="M914" s="8"/>
      <c r="N914" s="8"/>
      <c r="O914" s="8"/>
      <c r="P914" s="8"/>
    </row>
    <row r="915" ht="12.75" spans="1:16">
      <c r="A915" s="4"/>
      <c r="B915" s="5"/>
      <c r="C915" s="5"/>
      <c r="D915" s="4"/>
      <c r="E915" s="5"/>
      <c r="F915" s="3"/>
      <c r="G915" s="3"/>
      <c r="K915" s="8"/>
      <c r="L915" s="8"/>
      <c r="M915" s="8"/>
      <c r="N915" s="8"/>
      <c r="O915" s="8"/>
      <c r="P915" s="8"/>
    </row>
    <row r="916" ht="12.75" spans="1:16">
      <c r="A916" s="4"/>
      <c r="B916" s="5"/>
      <c r="C916" s="5"/>
      <c r="D916" s="4"/>
      <c r="E916" s="5"/>
      <c r="F916" s="3"/>
      <c r="G916" s="3"/>
      <c r="K916" s="8"/>
      <c r="L916" s="8"/>
      <c r="M916" s="8"/>
      <c r="N916" s="8"/>
      <c r="O916" s="8"/>
      <c r="P916" s="8"/>
    </row>
    <row r="917" ht="12.75" spans="1:16">
      <c r="A917" s="4"/>
      <c r="B917" s="5"/>
      <c r="C917" s="5"/>
      <c r="D917" s="4"/>
      <c r="E917" s="5"/>
      <c r="F917" s="3"/>
      <c r="G917" s="3"/>
      <c r="K917" s="8"/>
      <c r="L917" s="8"/>
      <c r="M917" s="8"/>
      <c r="N917" s="8"/>
      <c r="O917" s="8"/>
      <c r="P917" s="8"/>
    </row>
    <row r="918" ht="12.75" spans="1:16">
      <c r="A918" s="4"/>
      <c r="B918" s="5"/>
      <c r="C918" s="5"/>
      <c r="D918" s="4"/>
      <c r="E918" s="5"/>
      <c r="F918" s="3"/>
      <c r="G918" s="3"/>
      <c r="K918" s="8"/>
      <c r="L918" s="8"/>
      <c r="M918" s="8"/>
      <c r="N918" s="8"/>
      <c r="O918" s="8"/>
      <c r="P918" s="8"/>
    </row>
    <row r="919" ht="12.75" spans="1:16">
      <c r="A919" s="4"/>
      <c r="B919" s="5"/>
      <c r="C919" s="5"/>
      <c r="D919" s="4"/>
      <c r="E919" s="5"/>
      <c r="F919" s="3"/>
      <c r="G919" s="3"/>
      <c r="K919" s="8"/>
      <c r="L919" s="8"/>
      <c r="M919" s="8"/>
      <c r="N919" s="8"/>
      <c r="O919" s="8"/>
      <c r="P919" s="8"/>
    </row>
    <row r="920" ht="12.75" spans="1:16">
      <c r="A920" s="4"/>
      <c r="B920" s="5"/>
      <c r="C920" s="5"/>
      <c r="D920" s="4"/>
      <c r="E920" s="5"/>
      <c r="F920" s="3"/>
      <c r="G920" s="3"/>
      <c r="K920" s="8"/>
      <c r="L920" s="8"/>
      <c r="M920" s="8"/>
      <c r="N920" s="8"/>
      <c r="O920" s="8"/>
      <c r="P920" s="8"/>
    </row>
    <row r="921" ht="12.75" spans="1:16">
      <c r="A921" s="4"/>
      <c r="B921" s="5"/>
      <c r="C921" s="5"/>
      <c r="D921" s="4"/>
      <c r="E921" s="5"/>
      <c r="F921" s="3"/>
      <c r="G921" s="3"/>
      <c r="K921" s="8"/>
      <c r="L921" s="8"/>
      <c r="M921" s="8"/>
      <c r="N921" s="8"/>
      <c r="O921" s="8"/>
      <c r="P921" s="8"/>
    </row>
    <row r="922" ht="12.75" spans="1:16">
      <c r="A922" s="4"/>
      <c r="B922" s="5"/>
      <c r="C922" s="5"/>
      <c r="D922" s="4"/>
      <c r="E922" s="5"/>
      <c r="F922" s="3"/>
      <c r="G922" s="3"/>
      <c r="K922" s="8"/>
      <c r="L922" s="8"/>
      <c r="M922" s="8"/>
      <c r="N922" s="8"/>
      <c r="O922" s="8"/>
      <c r="P922" s="8"/>
    </row>
    <row r="923" ht="12.75" spans="1:16">
      <c r="A923" s="4"/>
      <c r="B923" s="5"/>
      <c r="C923" s="5"/>
      <c r="D923" s="4"/>
      <c r="E923" s="5"/>
      <c r="F923" s="3"/>
      <c r="G923" s="3"/>
      <c r="K923" s="8"/>
      <c r="L923" s="8"/>
      <c r="M923" s="8"/>
      <c r="N923" s="8"/>
      <c r="O923" s="8"/>
      <c r="P923" s="8"/>
    </row>
    <row r="924" ht="12.75" spans="1:16">
      <c r="A924" s="4"/>
      <c r="B924" s="5"/>
      <c r="C924" s="5"/>
      <c r="D924" s="4"/>
      <c r="E924" s="5"/>
      <c r="F924" s="3"/>
      <c r="G924" s="3"/>
      <c r="K924" s="8"/>
      <c r="L924" s="8"/>
      <c r="M924" s="8"/>
      <c r="N924" s="8"/>
      <c r="O924" s="8"/>
      <c r="P924" s="8"/>
    </row>
    <row r="925" ht="12.75" spans="1:16">
      <c r="A925" s="4"/>
      <c r="B925" s="5"/>
      <c r="C925" s="5"/>
      <c r="D925" s="4"/>
      <c r="E925" s="5"/>
      <c r="F925" s="3"/>
      <c r="G925" s="3"/>
      <c r="K925" s="8"/>
      <c r="L925" s="8"/>
      <c r="M925" s="8"/>
      <c r="N925" s="8"/>
      <c r="O925" s="8"/>
      <c r="P925" s="8"/>
    </row>
    <row r="926" ht="12.75" spans="1:16">
      <c r="A926" s="4"/>
      <c r="B926" s="5"/>
      <c r="C926" s="5"/>
      <c r="D926" s="4"/>
      <c r="E926" s="5"/>
      <c r="F926" s="3"/>
      <c r="G926" s="3"/>
      <c r="K926" s="8"/>
      <c r="L926" s="8"/>
      <c r="M926" s="8"/>
      <c r="N926" s="8"/>
      <c r="O926" s="8"/>
      <c r="P926" s="8"/>
    </row>
    <row r="927" ht="12.75" spans="1:16">
      <c r="A927" s="4"/>
      <c r="B927" s="5"/>
      <c r="C927" s="5"/>
      <c r="D927" s="4"/>
      <c r="E927" s="5"/>
      <c r="F927" s="3"/>
      <c r="G927" s="3"/>
      <c r="K927" s="8"/>
      <c r="L927" s="8"/>
      <c r="M927" s="8"/>
      <c r="N927" s="8"/>
      <c r="O927" s="8"/>
      <c r="P927" s="8"/>
    </row>
    <row r="928" ht="12.75" spans="1:16">
      <c r="A928" s="4"/>
      <c r="B928" s="5"/>
      <c r="C928" s="5"/>
      <c r="D928" s="4"/>
      <c r="E928" s="5"/>
      <c r="F928" s="3"/>
      <c r="G928" s="3"/>
      <c r="K928" s="8"/>
      <c r="L928" s="8"/>
      <c r="M928" s="8"/>
      <c r="N928" s="8"/>
      <c r="O928" s="8"/>
      <c r="P928" s="8"/>
    </row>
    <row r="929" ht="12.75" spans="1:16">
      <c r="A929" s="4"/>
      <c r="B929" s="5"/>
      <c r="C929" s="5"/>
      <c r="D929" s="4"/>
      <c r="E929" s="5"/>
      <c r="F929" s="3"/>
      <c r="G929" s="3"/>
      <c r="K929" s="8"/>
      <c r="L929" s="8"/>
      <c r="M929" s="8"/>
      <c r="N929" s="8"/>
      <c r="O929" s="8"/>
      <c r="P929" s="8"/>
    </row>
    <row r="930" ht="12.75" spans="1:16">
      <c r="A930" s="4"/>
      <c r="B930" s="5"/>
      <c r="C930" s="5"/>
      <c r="D930" s="4"/>
      <c r="E930" s="5"/>
      <c r="F930" s="3"/>
      <c r="G930" s="3"/>
      <c r="K930" s="8"/>
      <c r="L930" s="8"/>
      <c r="M930" s="8"/>
      <c r="N930" s="8"/>
      <c r="O930" s="8"/>
      <c r="P930" s="8"/>
    </row>
    <row r="931" ht="12.75" spans="1:16">
      <c r="A931" s="4"/>
      <c r="B931" s="5"/>
      <c r="C931" s="5"/>
      <c r="D931" s="4"/>
      <c r="E931" s="5"/>
      <c r="F931" s="3"/>
      <c r="G931" s="3"/>
      <c r="K931" s="8"/>
      <c r="L931" s="8"/>
      <c r="M931" s="8"/>
      <c r="N931" s="8"/>
      <c r="O931" s="8"/>
      <c r="P931" s="8"/>
    </row>
    <row r="932" ht="12.75" spans="1:16">
      <c r="A932" s="4"/>
      <c r="B932" s="5"/>
      <c r="C932" s="5"/>
      <c r="D932" s="4"/>
      <c r="E932" s="5"/>
      <c r="F932" s="3"/>
      <c r="G932" s="3"/>
      <c r="K932" s="8"/>
      <c r="L932" s="8"/>
      <c r="M932" s="8"/>
      <c r="N932" s="8"/>
      <c r="O932" s="8"/>
      <c r="P932" s="8"/>
    </row>
    <row r="933" ht="12.75" spans="1:16">
      <c r="A933" s="4"/>
      <c r="B933" s="5"/>
      <c r="C933" s="5"/>
      <c r="D933" s="4"/>
      <c r="E933" s="5"/>
      <c r="F933" s="3"/>
      <c r="G933" s="3"/>
      <c r="K933" s="8"/>
      <c r="L933" s="8"/>
      <c r="M933" s="8"/>
      <c r="N933" s="8"/>
      <c r="O933" s="8"/>
      <c r="P933" s="8"/>
    </row>
    <row r="934" ht="12.75" spans="1:16">
      <c r="A934" s="4"/>
      <c r="B934" s="5"/>
      <c r="C934" s="5"/>
      <c r="D934" s="4"/>
      <c r="E934" s="5"/>
      <c r="F934" s="3"/>
      <c r="G934" s="3"/>
      <c r="K934" s="8"/>
      <c r="L934" s="8"/>
      <c r="M934" s="8"/>
      <c r="N934" s="8"/>
      <c r="O934" s="8"/>
      <c r="P934" s="8"/>
    </row>
    <row r="935" ht="12.75" spans="1:16">
      <c r="A935" s="4"/>
      <c r="B935" s="5"/>
      <c r="C935" s="5"/>
      <c r="D935" s="4"/>
      <c r="E935" s="5"/>
      <c r="F935" s="3"/>
      <c r="G935" s="3"/>
      <c r="K935" s="8"/>
      <c r="L935" s="8"/>
      <c r="M935" s="8"/>
      <c r="N935" s="8"/>
      <c r="O935" s="8"/>
      <c r="P935" s="8"/>
    </row>
    <row r="936" ht="12.75" spans="1:16">
      <c r="A936" s="4"/>
      <c r="B936" s="5"/>
      <c r="C936" s="5"/>
      <c r="D936" s="4"/>
      <c r="E936" s="5"/>
      <c r="F936" s="3"/>
      <c r="G936" s="3"/>
      <c r="K936" s="8"/>
      <c r="L936" s="8"/>
      <c r="M936" s="8"/>
      <c r="N936" s="8"/>
      <c r="O936" s="8"/>
      <c r="P936" s="8"/>
    </row>
    <row r="937" ht="12.75" spans="1:16">
      <c r="A937" s="4"/>
      <c r="B937" s="5"/>
      <c r="C937" s="5"/>
      <c r="D937" s="4"/>
      <c r="E937" s="5"/>
      <c r="F937" s="3"/>
      <c r="G937" s="3"/>
      <c r="K937" s="8"/>
      <c r="L937" s="8"/>
      <c r="M937" s="8"/>
      <c r="N937" s="8"/>
      <c r="O937" s="8"/>
      <c r="P937" s="8"/>
    </row>
    <row r="938" ht="12.75" spans="1:16">
      <c r="A938" s="4"/>
      <c r="B938" s="5"/>
      <c r="C938" s="5"/>
      <c r="D938" s="4"/>
      <c r="E938" s="5"/>
      <c r="F938" s="3"/>
      <c r="G938" s="3"/>
      <c r="K938" s="8"/>
      <c r="L938" s="8"/>
      <c r="M938" s="8"/>
      <c r="N938" s="8"/>
      <c r="O938" s="8"/>
      <c r="P938" s="8"/>
    </row>
    <row r="939" ht="12.75" spans="1:16">
      <c r="A939" s="4"/>
      <c r="B939" s="5"/>
      <c r="C939" s="5"/>
      <c r="D939" s="4"/>
      <c r="E939" s="5"/>
      <c r="F939" s="3"/>
      <c r="G939" s="3"/>
      <c r="K939" s="8"/>
      <c r="L939" s="8"/>
      <c r="M939" s="8"/>
      <c r="N939" s="8"/>
      <c r="O939" s="8"/>
      <c r="P939" s="8"/>
    </row>
    <row r="940" ht="12.75" spans="1:16">
      <c r="A940" s="4"/>
      <c r="B940" s="5"/>
      <c r="C940" s="5"/>
      <c r="D940" s="4"/>
      <c r="E940" s="5"/>
      <c r="F940" s="3"/>
      <c r="G940" s="3"/>
      <c r="K940" s="8"/>
      <c r="L940" s="8"/>
      <c r="M940" s="8"/>
      <c r="N940" s="8"/>
      <c r="O940" s="8"/>
      <c r="P940" s="8"/>
    </row>
    <row r="941" ht="12.75" spans="1:16">
      <c r="A941" s="4"/>
      <c r="B941" s="5"/>
      <c r="C941" s="5"/>
      <c r="D941" s="4"/>
      <c r="E941" s="5"/>
      <c r="F941" s="3"/>
      <c r="G941" s="3"/>
      <c r="K941" s="8"/>
      <c r="L941" s="8"/>
      <c r="M941" s="8"/>
      <c r="N941" s="8"/>
      <c r="O941" s="8"/>
      <c r="P941" s="8"/>
    </row>
    <row r="942" ht="12.75" spans="1:16">
      <c r="A942" s="4"/>
      <c r="B942" s="5"/>
      <c r="C942" s="5"/>
      <c r="D942" s="4"/>
      <c r="E942" s="5"/>
      <c r="F942" s="3"/>
      <c r="G942" s="3"/>
      <c r="K942" s="8"/>
      <c r="L942" s="8"/>
      <c r="M942" s="8"/>
      <c r="N942" s="8"/>
      <c r="O942" s="8"/>
      <c r="P942" s="8"/>
    </row>
    <row r="943" ht="12.75" spans="1:16">
      <c r="A943" s="4"/>
      <c r="B943" s="5"/>
      <c r="C943" s="5"/>
      <c r="D943" s="4"/>
      <c r="E943" s="5"/>
      <c r="F943" s="3"/>
      <c r="G943" s="3"/>
      <c r="K943" s="8"/>
      <c r="L943" s="8"/>
      <c r="M943" s="8"/>
      <c r="N943" s="8"/>
      <c r="O943" s="8"/>
      <c r="P943" s="8"/>
    </row>
    <row r="944" ht="12.75" spans="1:16">
      <c r="A944" s="4"/>
      <c r="B944" s="5"/>
      <c r="C944" s="5"/>
      <c r="D944" s="4"/>
      <c r="E944" s="5"/>
      <c r="F944" s="3"/>
      <c r="G944" s="3"/>
      <c r="K944" s="8"/>
      <c r="L944" s="8"/>
      <c r="M944" s="8"/>
      <c r="N944" s="8"/>
      <c r="O944" s="8"/>
      <c r="P944" s="8"/>
    </row>
    <row r="945" ht="12.75" spans="1:16">
      <c r="A945" s="4"/>
      <c r="B945" s="5"/>
      <c r="C945" s="5"/>
      <c r="D945" s="4"/>
      <c r="E945" s="5"/>
      <c r="F945" s="3"/>
      <c r="G945" s="3"/>
      <c r="K945" s="8"/>
      <c r="L945" s="8"/>
      <c r="M945" s="8"/>
      <c r="N945" s="8"/>
      <c r="O945" s="8"/>
      <c r="P945" s="8"/>
    </row>
    <row r="946" ht="12.75" spans="1:16">
      <c r="A946" s="4"/>
      <c r="B946" s="5"/>
      <c r="C946" s="5"/>
      <c r="D946" s="4"/>
      <c r="E946" s="5"/>
      <c r="F946" s="3"/>
      <c r="G946" s="3"/>
      <c r="K946" s="8"/>
      <c r="L946" s="8"/>
      <c r="M946" s="8"/>
      <c r="N946" s="8"/>
      <c r="O946" s="8"/>
      <c r="P946" s="8"/>
    </row>
    <row r="947" ht="12.75" spans="1:16">
      <c r="A947" s="4"/>
      <c r="B947" s="5"/>
      <c r="C947" s="5"/>
      <c r="D947" s="4"/>
      <c r="E947" s="5"/>
      <c r="F947" s="3"/>
      <c r="G947" s="3"/>
      <c r="K947" s="8"/>
      <c r="L947" s="8"/>
      <c r="M947" s="8"/>
      <c r="N947" s="8"/>
      <c r="O947" s="8"/>
      <c r="P947" s="8"/>
    </row>
    <row r="948" ht="12.75" spans="1:16">
      <c r="A948" s="4"/>
      <c r="B948" s="5"/>
      <c r="C948" s="5"/>
      <c r="D948" s="4"/>
      <c r="E948" s="5"/>
      <c r="F948" s="3"/>
      <c r="G948" s="3"/>
      <c r="K948" s="8"/>
      <c r="L948" s="8"/>
      <c r="M948" s="8"/>
      <c r="N948" s="8"/>
      <c r="O948" s="8"/>
      <c r="P948" s="8"/>
    </row>
    <row r="949" ht="12.75" spans="1:16">
      <c r="A949" s="4"/>
      <c r="B949" s="5"/>
      <c r="C949" s="5"/>
      <c r="D949" s="4"/>
      <c r="E949" s="5"/>
      <c r="F949" s="3"/>
      <c r="G949" s="3"/>
      <c r="K949" s="8"/>
      <c r="L949" s="8"/>
      <c r="M949" s="8"/>
      <c r="N949" s="8"/>
      <c r="O949" s="8"/>
      <c r="P949" s="8"/>
    </row>
    <row r="950" ht="12.75" spans="1:16">
      <c r="A950" s="4"/>
      <c r="B950" s="5"/>
      <c r="C950" s="5"/>
      <c r="D950" s="4"/>
      <c r="E950" s="5"/>
      <c r="F950" s="3"/>
      <c r="G950" s="3"/>
      <c r="K950" s="8"/>
      <c r="L950" s="8"/>
      <c r="M950" s="8"/>
      <c r="N950" s="8"/>
      <c r="O950" s="8"/>
      <c r="P950" s="8"/>
    </row>
    <row r="951" ht="12.75" spans="1:16">
      <c r="A951" s="4"/>
      <c r="B951" s="5"/>
      <c r="C951" s="5"/>
      <c r="D951" s="4"/>
      <c r="E951" s="5"/>
      <c r="F951" s="3"/>
      <c r="G951" s="3"/>
      <c r="K951" s="8"/>
      <c r="L951" s="8"/>
      <c r="M951" s="8"/>
      <c r="N951" s="8"/>
      <c r="O951" s="8"/>
      <c r="P951" s="8"/>
    </row>
    <row r="952" ht="12.75" spans="1:16">
      <c r="A952" s="4"/>
      <c r="B952" s="5"/>
      <c r="C952" s="5"/>
      <c r="D952" s="4"/>
      <c r="E952" s="5"/>
      <c r="F952" s="3"/>
      <c r="G952" s="3"/>
      <c r="K952" s="8"/>
      <c r="L952" s="8"/>
      <c r="M952" s="8"/>
      <c r="N952" s="8"/>
      <c r="O952" s="8"/>
      <c r="P952" s="8"/>
    </row>
    <row r="953" ht="12.75" spans="1:16">
      <c r="A953" s="4"/>
      <c r="B953" s="5"/>
      <c r="C953" s="5"/>
      <c r="D953" s="4"/>
      <c r="E953" s="5"/>
      <c r="F953" s="3"/>
      <c r="G953" s="3"/>
      <c r="K953" s="8"/>
      <c r="L953" s="8"/>
      <c r="M953" s="8"/>
      <c r="N953" s="8"/>
      <c r="O953" s="8"/>
      <c r="P953" s="8"/>
    </row>
    <row r="954" ht="12.75" spans="1:16">
      <c r="A954" s="4"/>
      <c r="B954" s="5"/>
      <c r="C954" s="5"/>
      <c r="D954" s="4"/>
      <c r="E954" s="5"/>
      <c r="F954" s="3"/>
      <c r="G954" s="3"/>
      <c r="K954" s="8"/>
      <c r="L954" s="8"/>
      <c r="M954" s="8"/>
      <c r="N954" s="8"/>
      <c r="O954" s="8"/>
      <c r="P954" s="8"/>
    </row>
    <row r="955" ht="12.75" spans="1:16">
      <c r="A955" s="4"/>
      <c r="B955" s="5"/>
      <c r="C955" s="5"/>
      <c r="D955" s="4"/>
      <c r="E955" s="5"/>
      <c r="F955" s="3"/>
      <c r="G955" s="3"/>
      <c r="K955" s="8"/>
      <c r="L955" s="8"/>
      <c r="M955" s="8"/>
      <c r="N955" s="8"/>
      <c r="O955" s="8"/>
      <c r="P955" s="8"/>
    </row>
    <row r="956" ht="12.75" spans="1:16">
      <c r="A956" s="4"/>
      <c r="B956" s="5"/>
      <c r="C956" s="5"/>
      <c r="D956" s="4"/>
      <c r="E956" s="5"/>
      <c r="F956" s="3"/>
      <c r="G956" s="3"/>
      <c r="K956" s="8"/>
      <c r="L956" s="8"/>
      <c r="M956" s="8"/>
      <c r="N956" s="8"/>
      <c r="O956" s="8"/>
      <c r="P956" s="8"/>
    </row>
    <row r="957" ht="12.75" spans="1:16">
      <c r="A957" s="4"/>
      <c r="B957" s="5"/>
      <c r="C957" s="5"/>
      <c r="D957" s="4"/>
      <c r="E957" s="5"/>
      <c r="F957" s="3"/>
      <c r="G957" s="3"/>
      <c r="K957" s="8"/>
      <c r="L957" s="8"/>
      <c r="M957" s="8"/>
      <c r="N957" s="8"/>
      <c r="O957" s="8"/>
      <c r="P957" s="8"/>
    </row>
    <row r="958" ht="12.75" spans="1:16">
      <c r="A958" s="4"/>
      <c r="B958" s="5"/>
      <c r="C958" s="5"/>
      <c r="D958" s="4"/>
      <c r="E958" s="5"/>
      <c r="F958" s="3"/>
      <c r="G958" s="3"/>
      <c r="K958" s="8"/>
      <c r="L958" s="8"/>
      <c r="M958" s="8"/>
      <c r="N958" s="8"/>
      <c r="O958" s="8"/>
      <c r="P958" s="8"/>
    </row>
    <row r="959" ht="12.75" spans="1:16">
      <c r="A959" s="4"/>
      <c r="B959" s="5"/>
      <c r="C959" s="5"/>
      <c r="D959" s="4"/>
      <c r="E959" s="5"/>
      <c r="F959" s="3"/>
      <c r="G959" s="3"/>
      <c r="K959" s="8"/>
      <c r="L959" s="8"/>
      <c r="M959" s="8"/>
      <c r="N959" s="8"/>
      <c r="O959" s="8"/>
      <c r="P959" s="8"/>
    </row>
    <row r="960" ht="12.75" spans="1:16">
      <c r="A960" s="4"/>
      <c r="B960" s="5"/>
      <c r="C960" s="5"/>
      <c r="D960" s="4"/>
      <c r="E960" s="5"/>
      <c r="F960" s="3"/>
      <c r="G960" s="3"/>
      <c r="K960" s="8"/>
      <c r="L960" s="8"/>
      <c r="M960" s="8"/>
      <c r="N960" s="8"/>
      <c r="O960" s="8"/>
      <c r="P960" s="8"/>
    </row>
    <row r="961" ht="12.75" spans="1:16">
      <c r="A961" s="4"/>
      <c r="B961" s="5"/>
      <c r="C961" s="5"/>
      <c r="D961" s="4"/>
      <c r="E961" s="5"/>
      <c r="F961" s="3"/>
      <c r="G961" s="3"/>
      <c r="K961" s="8"/>
      <c r="L961" s="8"/>
      <c r="M961" s="8"/>
      <c r="N961" s="8"/>
      <c r="O961" s="8"/>
      <c r="P961" s="8"/>
    </row>
    <row r="962" ht="12.75" spans="1:16">
      <c r="A962" s="4"/>
      <c r="B962" s="5"/>
      <c r="C962" s="5"/>
      <c r="D962" s="4"/>
      <c r="E962" s="5"/>
      <c r="F962" s="3"/>
      <c r="G962" s="3"/>
      <c r="K962" s="8"/>
      <c r="L962" s="8"/>
      <c r="M962" s="8"/>
      <c r="N962" s="8"/>
      <c r="O962" s="8"/>
      <c r="P962" s="8"/>
    </row>
    <row r="963" ht="12.75" spans="1:16">
      <c r="A963" s="4"/>
      <c r="B963" s="5"/>
      <c r="C963" s="5"/>
      <c r="D963" s="4"/>
      <c r="E963" s="5"/>
      <c r="F963" s="3"/>
      <c r="G963" s="3"/>
      <c r="K963" s="8"/>
      <c r="L963" s="8"/>
      <c r="M963" s="8"/>
      <c r="N963" s="8"/>
      <c r="O963" s="8"/>
      <c r="P963" s="8"/>
    </row>
    <row r="964" ht="12.75" spans="1:16">
      <c r="A964" s="4"/>
      <c r="B964" s="5"/>
      <c r="C964" s="5"/>
      <c r="D964" s="4"/>
      <c r="E964" s="5"/>
      <c r="F964" s="3"/>
      <c r="G964" s="3"/>
      <c r="K964" s="8"/>
      <c r="L964" s="8"/>
      <c r="M964" s="8"/>
      <c r="N964" s="8"/>
      <c r="O964" s="8"/>
      <c r="P964" s="8"/>
    </row>
    <row r="965" ht="12.75" spans="1:16">
      <c r="A965" s="4"/>
      <c r="B965" s="5"/>
      <c r="C965" s="5"/>
      <c r="D965" s="4"/>
      <c r="E965" s="5"/>
      <c r="F965" s="3"/>
      <c r="G965" s="3"/>
      <c r="K965" s="8"/>
      <c r="L965" s="8"/>
      <c r="M965" s="8"/>
      <c r="N965" s="8"/>
      <c r="O965" s="8"/>
      <c r="P965" s="8"/>
    </row>
    <row r="966" ht="12.75" spans="1:16">
      <c r="A966" s="4"/>
      <c r="B966" s="5"/>
      <c r="C966" s="5"/>
      <c r="D966" s="4"/>
      <c r="E966" s="5"/>
      <c r="F966" s="3"/>
      <c r="G966" s="3"/>
      <c r="K966" s="8"/>
      <c r="L966" s="8"/>
      <c r="M966" s="8"/>
      <c r="N966" s="8"/>
      <c r="O966" s="8"/>
      <c r="P966" s="8"/>
    </row>
    <row r="967" ht="12.75" spans="1:16">
      <c r="A967" s="4"/>
      <c r="B967" s="5"/>
      <c r="C967" s="5"/>
      <c r="D967" s="4"/>
      <c r="E967" s="5"/>
      <c r="F967" s="3"/>
      <c r="G967" s="3"/>
      <c r="K967" s="8"/>
      <c r="L967" s="8"/>
      <c r="M967" s="8"/>
      <c r="N967" s="8"/>
      <c r="O967" s="8"/>
      <c r="P967" s="8"/>
    </row>
    <row r="968" ht="12.75" spans="1:16">
      <c r="A968" s="4"/>
      <c r="B968" s="5"/>
      <c r="C968" s="5"/>
      <c r="D968" s="4"/>
      <c r="E968" s="5"/>
      <c r="F968" s="3"/>
      <c r="G968" s="3"/>
      <c r="K968" s="8"/>
      <c r="L968" s="8"/>
      <c r="M968" s="8"/>
      <c r="N968" s="8"/>
      <c r="O968" s="8"/>
      <c r="P968" s="8"/>
    </row>
    <row r="969" ht="12.75" spans="1:16">
      <c r="A969" s="4"/>
      <c r="B969" s="5"/>
      <c r="C969" s="5"/>
      <c r="D969" s="4"/>
      <c r="E969" s="5"/>
      <c r="F969" s="3"/>
      <c r="G969" s="3"/>
      <c r="K969" s="8"/>
      <c r="L969" s="8"/>
      <c r="M969" s="8"/>
      <c r="N969" s="8"/>
      <c r="O969" s="8"/>
      <c r="P969" s="8"/>
    </row>
    <row r="970" ht="12.75" spans="1:16">
      <c r="A970" s="4"/>
      <c r="B970" s="5"/>
      <c r="C970" s="5"/>
      <c r="D970" s="4"/>
      <c r="E970" s="5"/>
      <c r="F970" s="3"/>
      <c r="G970" s="3"/>
      <c r="K970" s="8"/>
      <c r="L970" s="8"/>
      <c r="M970" s="8"/>
      <c r="N970" s="8"/>
      <c r="O970" s="8"/>
      <c r="P970" s="8"/>
    </row>
    <row r="971" ht="12.75" spans="1:16">
      <c r="A971" s="4"/>
      <c r="B971" s="5"/>
      <c r="C971" s="5"/>
      <c r="D971" s="4"/>
      <c r="E971" s="5"/>
      <c r="F971" s="3"/>
      <c r="G971" s="3"/>
      <c r="K971" s="8"/>
      <c r="L971" s="8"/>
      <c r="M971" s="8"/>
      <c r="N971" s="8"/>
      <c r="O971" s="8"/>
      <c r="P971" s="8"/>
    </row>
    <row r="972" ht="12.75" spans="1:16">
      <c r="A972" s="4"/>
      <c r="B972" s="5"/>
      <c r="C972" s="5"/>
      <c r="D972" s="4"/>
      <c r="E972" s="5"/>
      <c r="F972" s="3"/>
      <c r="G972" s="3"/>
      <c r="K972" s="8"/>
      <c r="L972" s="8"/>
      <c r="M972" s="8"/>
      <c r="N972" s="8"/>
      <c r="O972" s="8"/>
      <c r="P972" s="8"/>
    </row>
    <row r="973" ht="12.75" spans="1:16">
      <c r="A973" s="4"/>
      <c r="B973" s="5"/>
      <c r="C973" s="5"/>
      <c r="D973" s="4"/>
      <c r="E973" s="5"/>
      <c r="F973" s="3"/>
      <c r="G973" s="3"/>
      <c r="K973" s="8"/>
      <c r="L973" s="8"/>
      <c r="M973" s="8"/>
      <c r="N973" s="8"/>
      <c r="O973" s="8"/>
      <c r="P973" s="8"/>
    </row>
    <row r="974" ht="12.75" spans="1:16">
      <c r="A974" s="4"/>
      <c r="B974" s="5"/>
      <c r="C974" s="5"/>
      <c r="D974" s="4"/>
      <c r="E974" s="5"/>
      <c r="F974" s="3"/>
      <c r="G974" s="3"/>
      <c r="K974" s="8"/>
      <c r="L974" s="8"/>
      <c r="M974" s="8"/>
      <c r="N974" s="8"/>
      <c r="O974" s="8"/>
      <c r="P974" s="8"/>
    </row>
    <row r="975" ht="12.75" spans="1:16">
      <c r="A975" s="4"/>
      <c r="B975" s="5"/>
      <c r="C975" s="5"/>
      <c r="D975" s="4"/>
      <c r="E975" s="5"/>
      <c r="F975" s="3"/>
      <c r="G975" s="3"/>
      <c r="K975" s="8"/>
      <c r="L975" s="8"/>
      <c r="M975" s="8"/>
      <c r="N975" s="8"/>
      <c r="O975" s="8"/>
      <c r="P975" s="8"/>
    </row>
    <row r="976" ht="12.75" spans="1:16">
      <c r="A976" s="4"/>
      <c r="B976" s="5"/>
      <c r="C976" s="5"/>
      <c r="D976" s="4"/>
      <c r="E976" s="5"/>
      <c r="F976" s="3"/>
      <c r="G976" s="3"/>
      <c r="K976" s="8"/>
      <c r="L976" s="8"/>
      <c r="M976" s="8"/>
      <c r="N976" s="8"/>
      <c r="O976" s="8"/>
      <c r="P976" s="8"/>
    </row>
    <row r="977" ht="12.75" spans="1:16">
      <c r="A977" s="4"/>
      <c r="B977" s="5"/>
      <c r="C977" s="5"/>
      <c r="D977" s="4"/>
      <c r="E977" s="5"/>
      <c r="F977" s="3"/>
      <c r="G977" s="3"/>
      <c r="K977" s="8"/>
      <c r="L977" s="8"/>
      <c r="M977" s="8"/>
      <c r="N977" s="8"/>
      <c r="O977" s="8"/>
      <c r="P977" s="8"/>
    </row>
    <row r="978" ht="12.75" spans="1:16">
      <c r="A978" s="4"/>
      <c r="B978" s="5"/>
      <c r="C978" s="5"/>
      <c r="D978" s="4"/>
      <c r="E978" s="5"/>
      <c r="F978" s="3"/>
      <c r="G978" s="3"/>
      <c r="K978" s="8"/>
      <c r="L978" s="8"/>
      <c r="M978" s="8"/>
      <c r="N978" s="8"/>
      <c r="O978" s="8"/>
      <c r="P978" s="8"/>
    </row>
    <row r="979" ht="12.75" spans="1:16">
      <c r="A979" s="4"/>
      <c r="B979" s="5"/>
      <c r="C979" s="5"/>
      <c r="D979" s="4"/>
      <c r="E979" s="5"/>
      <c r="F979" s="3"/>
      <c r="G979" s="3"/>
      <c r="K979" s="8"/>
      <c r="L979" s="8"/>
      <c r="M979" s="8"/>
      <c r="N979" s="8"/>
      <c r="O979" s="8"/>
      <c r="P979" s="8"/>
    </row>
    <row r="980" ht="12.75" spans="1:16">
      <c r="A980" s="4"/>
      <c r="B980" s="5"/>
      <c r="C980" s="5"/>
      <c r="D980" s="4"/>
      <c r="E980" s="5"/>
      <c r="F980" s="3"/>
      <c r="G980" s="3"/>
      <c r="K980" s="8"/>
      <c r="L980" s="8"/>
      <c r="M980" s="8"/>
      <c r="N980" s="8"/>
      <c r="O980" s="8"/>
      <c r="P980" s="8"/>
    </row>
    <row r="981" ht="12.75" spans="1:16">
      <c r="A981" s="4"/>
      <c r="B981" s="5"/>
      <c r="C981" s="5"/>
      <c r="D981" s="4"/>
      <c r="E981" s="5"/>
      <c r="F981" s="3"/>
      <c r="G981" s="3"/>
      <c r="K981" s="8"/>
      <c r="L981" s="8"/>
      <c r="M981" s="8"/>
      <c r="N981" s="8"/>
      <c r="O981" s="8"/>
      <c r="P981" s="8"/>
    </row>
    <row r="982" ht="12.75" spans="1:16">
      <c r="A982" s="4"/>
      <c r="B982" s="5"/>
      <c r="C982" s="5"/>
      <c r="D982" s="4"/>
      <c r="E982" s="5"/>
      <c r="F982" s="3"/>
      <c r="G982" s="3"/>
      <c r="K982" s="8"/>
      <c r="L982" s="8"/>
      <c r="M982" s="8"/>
      <c r="N982" s="8"/>
      <c r="O982" s="8"/>
      <c r="P982" s="8"/>
    </row>
    <row r="983" ht="12.75" spans="1:16">
      <c r="A983" s="4"/>
      <c r="B983" s="5"/>
      <c r="C983" s="5"/>
      <c r="D983" s="4"/>
      <c r="E983" s="5"/>
      <c r="F983" s="3"/>
      <c r="G983" s="3"/>
      <c r="K983" s="8"/>
      <c r="L983" s="8"/>
      <c r="M983" s="8"/>
      <c r="N983" s="8"/>
      <c r="O983" s="8"/>
      <c r="P983" s="8"/>
    </row>
    <row r="984" ht="12.75" spans="1:16">
      <c r="A984" s="4"/>
      <c r="B984" s="5"/>
      <c r="C984" s="5"/>
      <c r="D984" s="4"/>
      <c r="E984" s="5"/>
      <c r="F984" s="3"/>
      <c r="G984" s="3"/>
      <c r="K984" s="8"/>
      <c r="L984" s="8"/>
      <c r="M984" s="8"/>
      <c r="N984" s="8"/>
      <c r="O984" s="8"/>
      <c r="P984" s="8"/>
    </row>
    <row r="985" ht="12.75" spans="1:16">
      <c r="A985" s="4"/>
      <c r="B985" s="5"/>
      <c r="C985" s="5"/>
      <c r="D985" s="4"/>
      <c r="E985" s="5"/>
      <c r="F985" s="3"/>
      <c r="G985" s="3"/>
      <c r="K985" s="8"/>
      <c r="L985" s="8"/>
      <c r="M985" s="8"/>
      <c r="N985" s="8"/>
      <c r="O985" s="8"/>
      <c r="P985" s="8"/>
    </row>
    <row r="986" ht="12.75" spans="1:16">
      <c r="A986" s="4"/>
      <c r="B986" s="5"/>
      <c r="C986" s="5"/>
      <c r="D986" s="4"/>
      <c r="E986" s="5"/>
      <c r="F986" s="3"/>
      <c r="G986" s="3"/>
      <c r="K986" s="8"/>
      <c r="L986" s="8"/>
      <c r="M986" s="8"/>
      <c r="N986" s="8"/>
      <c r="O986" s="8"/>
      <c r="P986" s="8"/>
    </row>
    <row r="987" ht="12.75" spans="1:16">
      <c r="A987" s="4"/>
      <c r="B987" s="5"/>
      <c r="C987" s="5"/>
      <c r="D987" s="4"/>
      <c r="E987" s="5"/>
      <c r="F987" s="3"/>
      <c r="G987" s="3"/>
      <c r="K987" s="8"/>
      <c r="L987" s="8"/>
      <c r="M987" s="8"/>
      <c r="N987" s="8"/>
      <c r="O987" s="8"/>
      <c r="P987" s="8"/>
    </row>
    <row r="988" ht="12.75" spans="1:16">
      <c r="A988" s="4"/>
      <c r="B988" s="5"/>
      <c r="C988" s="5"/>
      <c r="D988" s="4"/>
      <c r="E988" s="5"/>
      <c r="F988" s="3"/>
      <c r="G988" s="3"/>
      <c r="K988" s="8"/>
      <c r="L988" s="8"/>
      <c r="M988" s="8"/>
      <c r="N988" s="8"/>
      <c r="O988" s="8"/>
      <c r="P988" s="8"/>
    </row>
    <row r="989" ht="12.75" spans="1:16">
      <c r="A989" s="4"/>
      <c r="B989" s="5"/>
      <c r="C989" s="5"/>
      <c r="D989" s="4"/>
      <c r="E989" s="5"/>
      <c r="F989" s="3"/>
      <c r="G989" s="3"/>
      <c r="K989" s="8"/>
      <c r="L989" s="8"/>
      <c r="M989" s="8"/>
      <c r="N989" s="8"/>
      <c r="O989" s="8"/>
      <c r="P989" s="8"/>
    </row>
    <row r="990" ht="12.75" spans="1:16">
      <c r="A990" s="4"/>
      <c r="B990" s="5"/>
      <c r="C990" s="5"/>
      <c r="D990" s="4"/>
      <c r="E990" s="5"/>
      <c r="F990" s="3"/>
      <c r="G990" s="3"/>
      <c r="K990" s="8"/>
      <c r="L990" s="8"/>
      <c r="M990" s="8"/>
      <c r="N990" s="8"/>
      <c r="O990" s="8"/>
      <c r="P990" s="8"/>
    </row>
    <row r="991" ht="12.75" spans="1:16">
      <c r="A991" s="4"/>
      <c r="B991" s="5"/>
      <c r="C991" s="5"/>
      <c r="D991" s="4"/>
      <c r="E991" s="5"/>
      <c r="F991" s="3"/>
      <c r="G991" s="3"/>
      <c r="K991" s="8"/>
      <c r="L991" s="8"/>
      <c r="M991" s="8"/>
      <c r="N991" s="8"/>
      <c r="O991" s="8"/>
      <c r="P991" s="8"/>
    </row>
    <row r="992" ht="12.75" spans="1:16">
      <c r="A992" s="4"/>
      <c r="B992" s="5"/>
      <c r="C992" s="5"/>
      <c r="D992" s="4"/>
      <c r="E992" s="5"/>
      <c r="F992" s="3"/>
      <c r="G992" s="3"/>
      <c r="K992" s="8"/>
      <c r="L992" s="8"/>
      <c r="M992" s="8"/>
      <c r="N992" s="8"/>
      <c r="O992" s="8"/>
      <c r="P992" s="8"/>
    </row>
    <row r="993" ht="12.75" spans="1:16">
      <c r="A993" s="4"/>
      <c r="B993" s="5"/>
      <c r="C993" s="5"/>
      <c r="D993" s="4"/>
      <c r="E993" s="5"/>
      <c r="F993" s="3"/>
      <c r="G993" s="3"/>
      <c r="K993" s="8"/>
      <c r="L993" s="8"/>
      <c r="M993" s="8"/>
      <c r="N993" s="8"/>
      <c r="O993" s="8"/>
      <c r="P993" s="8"/>
    </row>
    <row r="994" ht="12.75" spans="1:16">
      <c r="A994" s="4"/>
      <c r="B994" s="5"/>
      <c r="C994" s="5"/>
      <c r="D994" s="4"/>
      <c r="E994" s="5"/>
      <c r="F994" s="3"/>
      <c r="G994" s="3"/>
      <c r="K994" s="8"/>
      <c r="L994" s="8"/>
      <c r="M994" s="8"/>
      <c r="N994" s="8"/>
      <c r="O994" s="8"/>
      <c r="P994" s="8"/>
    </row>
    <row r="995" ht="12.75" spans="1:16">
      <c r="A995" s="4"/>
      <c r="B995" s="5"/>
      <c r="C995" s="5"/>
      <c r="D995" s="4"/>
      <c r="E995" s="5"/>
      <c r="F995" s="3"/>
      <c r="G995" s="3"/>
      <c r="K995" s="8"/>
      <c r="L995" s="8"/>
      <c r="M995" s="8"/>
      <c r="N995" s="8"/>
      <c r="O995" s="8"/>
      <c r="P995" s="8"/>
    </row>
    <row r="996" ht="12.75" spans="1:16">
      <c r="A996" s="4"/>
      <c r="B996" s="5"/>
      <c r="C996" s="5"/>
      <c r="D996" s="4"/>
      <c r="E996" s="5"/>
      <c r="F996" s="3"/>
      <c r="G996" s="3"/>
      <c r="K996" s="8"/>
      <c r="L996" s="8"/>
      <c r="M996" s="8"/>
      <c r="N996" s="8"/>
      <c r="O996" s="8"/>
      <c r="P996" s="8"/>
    </row>
    <row r="997" ht="12.75" spans="1:16">
      <c r="A997" s="4"/>
      <c r="B997" s="5"/>
      <c r="C997" s="5"/>
      <c r="D997" s="4"/>
      <c r="E997" s="5"/>
      <c r="F997" s="3"/>
      <c r="G997" s="3"/>
      <c r="K997" s="8"/>
      <c r="L997" s="8"/>
      <c r="M997" s="8"/>
      <c r="N997" s="8"/>
      <c r="O997" s="8"/>
      <c r="P997" s="8"/>
    </row>
    <row r="998" ht="12.75" spans="1:16">
      <c r="A998" s="4"/>
      <c r="B998" s="5"/>
      <c r="C998" s="5"/>
      <c r="D998" s="4"/>
      <c r="E998" s="5"/>
      <c r="F998" s="3"/>
      <c r="G998" s="3"/>
      <c r="K998" s="8"/>
      <c r="L998" s="8"/>
      <c r="M998" s="8"/>
      <c r="N998" s="8"/>
      <c r="O998" s="8"/>
      <c r="P998" s="8"/>
    </row>
    <row r="999" ht="12.75" spans="1:16">
      <c r="A999" s="4"/>
      <c r="B999" s="5"/>
      <c r="C999" s="5"/>
      <c r="D999" s="4"/>
      <c r="E999" s="5"/>
      <c r="F999" s="3"/>
      <c r="G999" s="3"/>
      <c r="K999" s="8"/>
      <c r="L999" s="8"/>
      <c r="M999" s="8"/>
      <c r="N999" s="8"/>
      <c r="O999" s="8"/>
      <c r="P999" s="8"/>
    </row>
    <row r="1000" ht="12.75" spans="1:16">
      <c r="A1000" s="4"/>
      <c r="B1000" s="5"/>
      <c r="C1000" s="5"/>
      <c r="D1000" s="4"/>
      <c r="E1000" s="5"/>
      <c r="F1000" s="3"/>
      <c r="G1000" s="3"/>
      <c r="K1000" s="8"/>
      <c r="L1000" s="8"/>
      <c r="M1000" s="8"/>
      <c r="N1000" s="8"/>
      <c r="O1000" s="8"/>
      <c r="P1000" s="8"/>
    </row>
  </sheetData>
  <hyperlinks>
    <hyperlink ref="C2" r:id="rId1" display="=IFERROR(@__xludf.DUMMYFUNCTION(&quot;&quot;&quot;COMPUTED_VALUE&quot;&quot;&quot;),&quot;https://vt.tiktok.com/ZSAx8w5aE/&quot;)"/>
    <hyperlink ref="C3" r:id="rId2" display="=IFERROR(@__xludf.DUMMYFUNCTION(&quot;&quot;&quot;COMPUTED_VALUE&quot;&quot;&quot;),&quot;https://www.tiktok.com/shop/ph/pdp/1731255716174990245&quot;)"/>
    <hyperlink ref="C4" r:id="rId3" display="=IFERROR(@__xludf.DUMMYFUNCTION(&quot;&quot;&quot;COMPUTED_VALUE&quot;&quot;&quot;),&quot;https://www.tiktok.com/shop/ph/pdp/1729398167849176878&quot;)"/>
    <hyperlink ref="C5" r:id="rId4" display="=IFERROR(@__xludf.DUMMYFUNCTION(&quot;&quot;&quot;COMPUTED_VALUE&quot;&quot;&quot;),&quot;https://www.tiktok.com/shop/ph/pdp/1729429381825858350&quot;)"/>
    <hyperlink ref="C6" r:id="rId5" display="=IFERROR(@__xludf.DUMMYFUNCTION(&quot;&quot;&quot;COMPUTED_VALUE&quot;&quot;&quot;),&quot;https://www.tiktok.com/shop/ph/pdp/1729429396734315310&quot;)"/>
    <hyperlink ref="C7" r:id="rId6" display="=IFERROR(@__xludf.DUMMYFUNCTION(&quot;&quot;&quot;COMPUTED_VALUE&quot;&quot;&quot;),&quot;https://www.tiktok.com/shop/ph/pdp/1729382765930057518&quot;)"/>
    <hyperlink ref="C8" r:id="rId7" display="=IFERROR(@__xludf.DUMMYFUNCTION(&quot;&quot;&quot;COMPUTED_VALUE&quot;&quot;&quot;),&quot;https://www.tiktok.com/shop/ph/pdp/1729398934996749394&quot;)"/>
    <hyperlink ref="C9" r:id="rId8" display="=IFERROR(@__xludf.DUMMYFUNCTION(&quot;&quot;&quot;COMPUTED_VALUE&quot;&quot;&quot;),&quot;https://www.tiktok.com/shop/ph/pdp/1729387127189703767&quot;)"/>
    <hyperlink ref="C10" r:id="rId9" display="=IFERROR(@__xludf.DUMMYFUNCTION(&quot;&quot;&quot;COMPUTED_VALUE&quot;&quot;&quot;),&quot;https://www.tiktok.com/shop/ph/pdp/1730201734699256176&quot;)"/>
    <hyperlink ref="C11" r:id="rId10" display="=IFERROR(@__xludf.DUMMYFUNCTION(&quot;&quot;&quot;COMPUTED_VALUE&quot;&quot;&quot;),&quot;https://vt.tiktok.com/ZSA9H5Jhp/&quot;)"/>
    <hyperlink ref="C12" r:id="rId11" display="=IFERROR(@__xludf.DUMMYFUNCTION(&quot;&quot;&quot;COMPUTED_VALUE&quot;&quot;&quot;),&quot;https://vt.tiktok.com/ZSA99jTHC/&quot;)"/>
    <hyperlink ref="C13" r:id="rId12" display="=IFERROR(@__xludf.DUMMYFUNCTION(&quot;&quot;&quot;COMPUTED_VALUE&quot;&quot;&quot;),&quot;https://vt.tiktok.com/ZSA99Q3Vu/&quot;)"/>
    <hyperlink ref="C14" r:id="rId13" display="=IFERROR(@__xludf.DUMMYFUNCTION(&quot;&quot;&quot;COMPUTED_VALUE&quot;&quot;&quot;),&quot;https://vt.tiktok.com/ZSA993xr7/&quot;)"/>
    <hyperlink ref="C15" r:id="rId14" display="=IFERROR(@__xludf.DUMMYFUNCTION(&quot;&quot;&quot;COMPUTED_VALUE&quot;&quot;&quot;),&quot;https://vt.tiktok.com/ZSA9QdnAv/&quot;)"/>
    <hyperlink ref="C16" r:id="rId15" display="=IFERROR(@__xludf.DUMMYFUNCTION(&quot;&quot;&quot;COMPUTED_VALUE&quot;&quot;&quot;),&quot;https://vt.tiktok.com/ZSA9QMaB5/&quot;)"/>
    <hyperlink ref="C17" r:id="rId16" display="=IFERROR(@__xludf.DUMMYFUNCTION(&quot;&quot;&quot;COMPUTED_VALUE&quot;&quot;&quot;),&quot;&#10;https://vt.tiktok.com/ZSHW3dLJ99JRP-CDjyg/&quot;)"/>
    <hyperlink ref="C18" r:id="rId17" display="=IFERROR(@__xludf.DUMMYFUNCTION(&quot;&quot;&quot;COMPUTED_VALUE&quot;&quot;&quot;),&quot;https://www.tiktok.com/shop/ph/pdp/1731463674154091659&quot;)"/>
    <hyperlink ref="C19" r:id="rId18" display="=IFERROR(@__xludf.DUMMYFUNCTION(&quot;&quot;&quot;COMPUTED_VALUE&quot;&quot;&quot;),&quot;https://vt.tiktok.com/ZSH7AWCB7BAd9-zr4Ir/&quot;)"/>
    <hyperlink ref="C20" r:id="rId19" display="=IFERROR(@__xludf.DUMMYFUNCTION(&quot;&quot;&quot;COMPUTED_VALUE&quot;&quot;&quot;),&quot;https://www.tiktok.com/shop/ph/pdp/1729428038081415654&quot;)"/>
    <hyperlink ref="C21" r:id="rId20" display="=IFERROR(@__xludf.DUMMYFUNCTION(&quot;&quot;&quot;COMPUTED_VALUE&quot;&quot;&quot;),&quot;https://vt.tiktok.com/ZSH7A77bPjwkD-mdPub/&quot;)"/>
    <hyperlink ref="C22" r:id="rId21" display="=IFERROR(@__xludf.DUMMYFUNCTION(&quot;&quot;&quot;COMPUTED_VALUE&quot;&quot;&quot;),&quot;https://vt.tiktok.com/ZSH7AvpyUtKjK-EPX27/&quot;)"/>
    <hyperlink ref="C23" r:id="rId22" display="=IFERROR(@__xludf.DUMMYFUNCTION(&quot;&quot;&quot;COMPUTED_VALUE&quot;&quot;&quot;),&quot;https://vt.tiktok.com/ZSH7Av36H5rbD-jIEz0/&quot;)"/>
    <hyperlink ref="C24" r:id="rId23" display="=IFERROR(@__xludf.DUMMYFUNCTION(&quot;&quot;&quot;COMPUTED_VALUE&quot;&quot;&quot;),&quot;https://vt.tiktok.com/ZSAxRkB3v/&quot;)"/>
    <hyperlink ref="C25" r:id="rId24" display="=IFERROR(@__xludf.DUMMYFUNCTION(&quot;&quot;&quot;COMPUTED_VALUE&quot;&quot;&quot;),&quot;https://vt.tiktok.com/ZSH7AcN5sYKRP-bRBvI/&quot;)"/>
    <hyperlink ref="C26" r:id="rId25" display="=IFERROR(@__xludf.DUMMYFUNCTION(&quot;&quot;&quot;COMPUTED_VALUE&quot;&quot;&quot;),&quot;https://vt.tiktok.com/ZSH7ATmLPK8gs-BGldx/&quot;)"/>
    <hyperlink ref="C27" r:id="rId26" display="=IFERROR(@__xludf.DUMMYFUNCTION(&quot;&quot;&quot;COMPUTED_VALUE&quot;&quot;&quot;),&quot;&#10;https://vt.tiktok.com/ZSH7ATVDDjv35-dO8Rg/&quot;)"/>
    <hyperlink ref="C28" r:id="rId27" display="=IFERROR(@__xludf.DUMMYFUNCTION(&quot;&quot;&quot;COMPUTED_VALUE&quot;&quot;&quot;),&quot;https://vt.tiktok.com/ZSH7ATTFKjxsj-89aaC/&quot;)"/>
    <hyperlink ref="C29" r:id="rId28" display="=IFERROR(@__xludf.DUMMYFUNCTION(&quot;&quot;&quot;COMPUTED_VALUE&quot;&quot;&quot;),&quot;https://vt.tiktok.com/ZSH7AwYGojW1a-QQUnl/&quot;)"/>
    <hyperlink ref="C30" r:id="rId29" display="=IFERROR(@__xludf.DUMMYFUNCTION(&quot;&quot;&quot;COMPUTED_VALUE&quot;&quot;&quot;),&quot;https://vt.tiktok.com/ZSH7AwfXPnFK6-054ku/&quot;)"/>
    <hyperlink ref="C31" r:id="rId30" display="=IFERROR(@__xludf.DUMMYFUNCTION(&quot;&quot;&quot;COMPUTED_VALUE&quot;&quot;&quot;),&quot;https://vt.tiktok.com/ZSH7AwqjYW8Jm-P6Wy6/&quot;)"/>
    <hyperlink ref="C32" r:id="rId31" display="=IFERROR(@__xludf.DUMMYFUNCTION(&quot;&quot;&quot;COMPUTED_VALUE&quot;&quot;&quot;),&quot;https://vt.tiktok.com/ZSH7AwvGoap83-OHOtt/&quot;)"/>
    <hyperlink ref="C33" r:id="rId32" display="=IFERROR(@__xludf.DUMMYFUNCTION(&quot;&quot;&quot;COMPUTED_VALUE&quot;&quot;&quot;),&quot;https://vt.tiktok.com/ZSH7AKJ5317Wk-8YSKO/&quot;)"/>
    <hyperlink ref="C34" r:id="rId33" display="=IFERROR(@__xludf.DUMMYFUNCTION(&quot;&quot;&quot;COMPUTED_VALUE&quot;&quot;&quot;),&quot;https://vt.tiktok.com/ZSH7AKvf1KLTT-F5uhh/&quot;)"/>
    <hyperlink ref="C35" r:id="rId34" display="=IFERROR(@__xludf.DUMMYFUNCTION(&quot;&quot;&quot;COMPUTED_VALUE&quot;&quot;&quot;),&quot;https://vt.tiktok.com/ZSH7AEkJvVTYn-hoiPc/&quot;)"/>
    <hyperlink ref="C36" r:id="rId35" display="=IFERROR(@__xludf.DUMMYFUNCTION(&quot;&quot;&quot;COMPUTED_VALUE&quot;&quot;&quot;),&quot;https://vt.tiktok.com/ZSH7AECaoF3bA-D9erm/&quot;)"/>
    <hyperlink ref="C37" r:id="rId36" display="=IFERROR(@__xludf.DUMMYFUNCTION(&quot;&quot;&quot;COMPUTED_VALUE&quot;&quot;&quot;),&quot;https://vt.tiktok.com/ZSH7AEsXtn36c-OKJl2/&quot;)"/>
    <hyperlink ref="C38" r:id="rId37" display="=IFERROR(@__xludf.DUMMYFUNCTION(&quot;&quot;&quot;COMPUTED_VALUE&quot;&quot;&quot;),&quot;https://vt.tiktok.com/ZSH7AoqCXacqE-61zVn/&quot;)"/>
    <hyperlink ref="C39" r:id="rId38" display="=IFERROR(@__xludf.DUMMYFUNCTION(&quot;&quot;&quot;COMPUTED_VALUE&quot;&quot;&quot;),&quot;https://vt.tiktok.com/ZSH7AoW2cbmsE-Thb0f/&quot;)"/>
    <hyperlink ref="C40" r:id="rId39" display="=IFERROR(@__xludf.DUMMYFUNCTION(&quot;&quot;&quot;COMPUTED_VALUE&quot;&quot;&quot;),&quot;https://vt.tiktok.com/ZSH7Aowd7Mcy3-JCfDv/&quot;)"/>
    <hyperlink ref="C41" r:id="rId40" display="=IFERROR(@__xludf.DUMMYFUNCTION(&quot;&quot;&quot;COMPUTED_VALUE&quot;&quot;&quot;),&quot;https://vt.tiktok.com/ZSH7D1eo5q7YQ-xZwTU/&quot;)"/>
    <hyperlink ref="C42" r:id="rId41" display="=IFERROR(@__xludf.DUMMYFUNCTION(&quot;&quot;&quot;COMPUTED_VALUE&quot;&quot;&quot;),&quot;https://vt.tiktok.com/ZSHTVeSgNyhBJ-Ixrm1/&quot;)"/>
    <hyperlink ref="C43" r:id="rId42" display="=IFERROR(@__xludf.DUMMYFUNCTION(&quot;&quot;&quot;COMPUTED_VALUE&quot;&quot;&quot;),&quot;https://www.tiktok.com/shop/ph/pdp/1731104706407205299&quot;)"/>
    <hyperlink ref="C44" r:id="rId43" display="=IFERROR(@__xludf.DUMMYFUNCTION(&quot;&quot;&quot;COMPUTED_VALUE&quot;&quot;&quot;),&quot;https://www.tiktok.com/shop/ph/pdp/1732181729157415965&quot;)"/>
    <hyperlink ref="C45" r:id="rId44" display="=IFERROR(@__xludf.DUMMYFUNCTION(&quot;&quot;&quot;COMPUTED_VALUE&quot;&quot;&quot;),&quot;https://www.tiktok.com/shop/ph/pdp/1729782391471048942&quot;)"/>
    <hyperlink ref="C46" r:id="rId45" display="=IFERROR(@__xludf.DUMMYFUNCTION(&quot;&quot;&quot;COMPUTED_VALUE&quot;&quot;&quot;),&quot;vt.tiktok.com/ZSHK8rAPHGodf-wIFR1/&quot;)"/>
    <hyperlink ref="C47" r:id="rId46" display="=IFERROR(@__xludf.DUMMYFUNCTION(&quot;&quot;&quot;COMPUTED_VALUE&quot;&quot;&quot;),&quot;https://vt.tiktok.com/ZSAuqFFVt/&quot;)"/>
    <hyperlink ref="C48" r:id="rId47" display="=IFERROR(@__xludf.DUMMYFUNCTION(&quot;&quot;&quot;COMPUTED_VALUE&quot;&quot;&quot;),&quot;https://vt.tiktok.com/ZSAugU4Dq/&quot;)"/>
    <hyperlink ref="C49" r:id="rId48" display="=IFERROR(@__xludf.DUMMYFUNCTION(&quot;&quot;&quot;COMPUTED_VALUE&quot;&quot;&quot;),&quot;https://vt.tiktok.com/ZSAuqhP1W/&quot;)"/>
    <hyperlink ref="C50" r:id="rId49" display="=IFERROR(@__xludf.DUMMYFUNCTION(&quot;&quot;&quot;COMPUTED_VALUE&quot;&quot;&quot;),&quot;https://vt.tiktok.com/ZSAugq6pd/&quot;)"/>
    <hyperlink ref="C51" r:id="rId50" display="=IFERROR(@__xludf.DUMMYFUNCTION(&quot;&quot;&quot;COMPUTED_VALUE&quot;&quot;&quot;),&quot;https://vt.tiktok.com/ZSH7AbgWxJtmK-kfLIo/&quot;)"/>
    <hyperlink ref="C52" r:id="rId51" display="=IFERROR(@__xludf.DUMMYFUNCTION(&quot;&quot;&quot;COMPUTED_VALUE&quot;&quot;&quot;),&quot;https://vt.tiktok.com/ZSA95oaMy/&quot;)"/>
    <hyperlink ref="C53" r:id="rId52" display="=IFERROR(@__xludf.DUMMYFUNCTION(&quot;&quot;&quot;COMPUTED_VALUE&quot;&quot;&quot;),&quot;https://vt.tiktok.com/ZSHnr9jaURU9r-EAnWI/&quot;)"/>
    <hyperlink ref="C54" r:id="rId53" display="=IFERROR(@__xludf.DUMMYFUNCTION(&quot;&quot;&quot;COMPUTED_VALUE&quot;&quot;&quot;),&quot;https://vt.tiktok.com/ZSHnruS9nMQYg-H2gZ7/&quot;)"/>
    <hyperlink ref="C55" r:id="rId54" display="=IFERROR(@__xludf.DUMMYFUNCTION(&quot;&quot;&quot;COMPUTED_VALUE&quot;&quot;&quot;),&quot;https://vt.tiktok.com/ZSHnr9SKVeUV7-QnZD5/&quot;)"/>
    <hyperlink ref="C56" r:id="rId55" display="=IFERROR(@__xludf.DUMMYFUNCTION(&quot;&quot;&quot;COMPUTED_VALUE&quot;&quot;&quot;),&quot;https://vt.tiktok.com/ZSHnr9SQCPcPD-k7QDh/&quot;)"/>
    <hyperlink ref="C57" r:id="rId56" display="=IFERROR(@__xludf.DUMMYFUNCTION(&quot;&quot;&quot;COMPUTED_VALUE&quot;&quot;&quot;),&quot;https://vt.tiktok.com/ZSHnr9XM8RNws-BDBtb/&quot;)"/>
    <hyperlink ref="C58" r:id="rId57" display="=IFERROR(@__xludf.DUMMYFUNCTION(&quot;&quot;&quot;COMPUTED_VALUE&quot;&quot;&quot;),&quot;https://vt.tiktok.com/ZSHnr9o2gLHU2-MATOs/&quot;)"/>
    <hyperlink ref="C59" r:id="rId58" display="=IFERROR(@__xludf.DUMMYFUNCTION(&quot;&quot;&quot;COMPUTED_VALUE&quot;&quot;&quot;),&quot;https://vt.tiktok.com/ZSHnrxDYWEXVx-ts2aD/&quot;)"/>
    <hyperlink ref="C60" r:id="rId59" display="=IFERROR(@__xludf.DUMMYFUNCTION(&quot;&quot;&quot;COMPUTED_VALUE&quot;&quot;&quot;),&quot;https://vt.tiktok.com/ZSHnrC6uGxpTs-r4Xyq/&quot;)"/>
    <hyperlink ref="C61" r:id="rId60" display="=IFERROR(@__xludf.DUMMYFUNCTION(&quot;&quot;&quot;COMPUTED_VALUE&quot;&quot;&quot;),&quot;https://vt.tiktok.com/ZSHnrCa7So6qj-EgaF8/&quot;)"/>
    <hyperlink ref="C62" r:id="rId61" display="=IFERROR(@__xludf.DUMMYFUNCTION(&quot;&quot;&quot;COMPUTED_VALUE&quot;&quot;&quot;),&quot;https://vt.tiktok.com/ZSHnrCuGkGcAE-YSO32/&quot;)"/>
    <hyperlink ref="C63" r:id="rId62" display="=IFERROR(@__xludf.DUMMYFUNCTION(&quot;&quot;&quot;COMPUTED_VALUE&quot;&quot;&quot;),&quot;https://vt.tiktok.com/ZSHnrCgWhoaK5-kziLV/&quot;)"/>
    <hyperlink ref="C64" r:id="rId63" display="=IFERROR(@__xludf.DUMMYFUNCTION(&quot;&quot;&quot;COMPUTED_VALUE&quot;&quot;&quot;),&quot;https://vt.tiktok.com/ZSHGWhKvM4g9w-QBl8J/&quot;)"/>
    <hyperlink ref="C65" r:id="rId64" display="=IFERROR(@__xludf.DUMMYFUNCTION(&quot;&quot;&quot;COMPUTED_VALUE&quot;&quot;&quot;),&quot;https://vt.tiktok.com/ZSHGWBBLdQFVx-IrDNj/&quot;)"/>
    <hyperlink ref="C66" r:id="rId65" display="=IFERROR(@__xludf.DUMMYFUNCTION(&quot;&quot;&quot;COMPUTED_VALUE&quot;&quot;&quot;),&quot;vt.tiktok.com/ZSHKJAph44Gt3-pj3b4/&quot;)"/>
    <hyperlink ref="C67" r:id="rId66" display="=IFERROR(@__xludf.DUMMYFUNCTION(&quot;&quot;&quot;COMPUTED_VALUE&quot;&quot;&quot;),&quot;https://vt.tiktok.com/ZSH7kCNYjqkKX-KoNKz/&#10;&quot;)"/>
    <hyperlink ref="C68" r:id="rId67" display="=IFERROR(@__xludf.DUMMYFUNCTION(&quot;&quot;&quot;COMPUTED_VALUE&quot;&quot;&quot;),&quot;https://vt.tiktok.com/ZSA9CNw94/&quot;)"/>
    <hyperlink ref="C69" r:id="rId68" display="=IFERROR(@__xludf.DUMMYFUNCTION(&quot;&quot;&quot;COMPUTED_VALUE&quot;&quot;&quot;),&quot;https://vt.tiktok.com/ZSH7k42s4F4bw-rt1JN/&quot;)"/>
    <hyperlink ref="C70" r:id="rId69" display="=IFERROR(@__xludf.DUMMYFUNCTION(&quot;&quot;&quot;COMPUTED_VALUE&quot;&quot;&quot;),&quot;https://vt.tiktok.com/ZSHnruhDhrKMX-SeKZo/&quot;)"/>
    <hyperlink ref="C71" r:id="rId70" display="=IFERROR(@__xludf.DUMMYFUNCTION(&quot;&quot;&quot;COMPUTED_VALUE&quot;&quot;&quot;),&quot;https://vt.tiktok.com/ZSHnr999LoNpk-lNda9/&quot;)"/>
    <hyperlink ref="C72" r:id="rId71" display="=IFERROR(@__xludf.DUMMYFUNCTION(&quot;&quot;&quot;COMPUTED_VALUE&quot;&quot;&quot;),&quot;https://vt.tiktok.com/ZSHnr95jAbbcT-RgmYk/&quot;)"/>
    <hyperlink ref="C73" r:id="rId72" display="=IFERROR(@__xludf.DUMMYFUNCTION(&quot;&quot;&quot;COMPUTED_VALUE&quot;&quot;&quot;),&quot;https://vt.tiktok.com/ZSHnr9CxPc4ec-h9qCG/&quot;)"/>
    <hyperlink ref="C74" r:id="rId73" display="=IFERROR(@__xludf.DUMMYFUNCTION(&quot;&quot;&quot;COMPUTED_VALUE&quot;&quot;&quot;),&quot;https://vt.tiktok.com/ZSHnrxWKkLkbj-8VKEA/&quot;)"/>
    <hyperlink ref="C75" r:id="rId74" display="=IFERROR(@__xludf.DUMMYFUNCTION(&quot;&quot;&quot;COMPUTED_VALUE&quot;&quot;&quot;),&quot;https://vt.tiktok.com/ZSHnrxvHVHYst-XxeAn/&quot;)"/>
    <hyperlink ref="C76" r:id="rId75" display="=IFERROR(@__xludf.DUMMYFUNCTION(&quot;&quot;&quot;COMPUTED_VALUE&quot;&quot;&quot;),&quot;https://vt.tiktok.com/ZSHnrCDPhCTgY-8s0fR/&quot;)"/>
    <hyperlink ref="C77" r:id="rId76" display="=IFERROR(@__xludf.DUMMYFUNCTION(&quot;&quot;&quot;COMPUTED_VALUE&quot;&quot;&quot;),&quot;https://vt.tiktok.com/ZSHnrCagYxRNP-eA8LA/&quot;)"/>
    <hyperlink ref="C78" r:id="rId77" display="=IFERROR(@__xludf.DUMMYFUNCTION(&quot;&quot;&quot;COMPUTED_VALUE&quot;&quot;&quot;),&quot;https://vt.tiktok.com/ZSHnrCH6VnSPf-ctaaG/&quot;)"/>
    <hyperlink ref="C79" r:id="rId78" display="=IFERROR(@__xludf.DUMMYFUNCTION(&quot;&quot;&quot;COMPUTED_VALUE&quot;&quot;&quot;),&quot;https://vt.tiktok.com/ZSH7AP4Bysys7-EuwBz/&#10;&quot;)"/>
    <hyperlink ref="C80" r:id="rId79" display="=IFERROR(@__xludf.DUMMYFUNCTION(&quot;&quot;&quot;COMPUTED_VALUE&quot;&quot;&quot;),&quot;https://vt.tiktok.com/ZSHnrCM6AxYYs-OtRek/&quot;)"/>
    <hyperlink ref="C81" r:id="rId80" display="=IFERROR(@__xludf.DUMMYFUNCTION(&quot;&quot;&quot;COMPUTED_VALUE&quot;&quot;&quot;),&quot;vt.tiktok.com/ZSHTVe8GovGjT-RtlhC/&quot;)"/>
    <hyperlink ref="C82" r:id="rId81" display="=IFERROR(@__xludf.DUMMYFUNCTION(&quot;&quot;&quot;COMPUTED_VALUE&quot;&quot;&quot;),&quot;vt.tiktok.com/ZSHwPV45Scqm6-GESQU/&quot;)"/>
    <hyperlink ref="C83" r:id="rId82" display="=IFERROR(@__xludf.DUMMYFUNCTION(&quot;&quot;&quot;COMPUTED_VALUE&quot;&quot;&quot;),&quot;vt.tiktok.com/ZSHwPbFTU1mHd-E3zEE/&quot;)"/>
    <hyperlink ref="C84" r:id="rId83" display="=IFERROR(@__xludf.DUMMYFUNCTION(&quot;&quot;&quot;COMPUTED_VALUE&quot;&quot;&quot;),&quot;https://vt.tiktok.com/ZSHwPgNbQkguM-3KGbk/&quot;)"/>
    <hyperlink ref="C85" r:id="rId84" display="=IFERROR(@__xludf.DUMMYFUNCTION(&quot;&quot;&quot;COMPUTED_VALUE&quot;&quot;&quot;),&quot;https://vt.tiktok.com/ZSHwPg9oGdWDY-wLLBa/&quot;)"/>
    <hyperlink ref="C86" r:id="rId85" display="=IFERROR(@__xludf.DUMMYFUNCTION(&quot;&quot;&quot;COMPUTED_VALUE&quot;&quot;&quot;),&quot;https://vt.tiktok.com/ZSHwPgpGy4Dv4-7Aebn/&quot;)"/>
    <hyperlink ref="C87" r:id="rId86" display="=IFERROR(@__xludf.DUMMYFUNCTION(&quot;&quot;&quot;COMPUTED_VALUE&quot;&quot;&quot;),&quot;https://vt.tiktok.com/ZSHwuLdWpqGSx-187qG/&quot;)"/>
    <hyperlink ref="C88" r:id="rId87" display="=IFERROR(@__xludf.DUMMYFUNCTION(&quot;&quot;&quot;COMPUTED_VALUE&quot;&quot;&quot;),&quot;https://vt.tiktok.com/ZSHwuNMQUSJ4w-UVrdg/&quot;)"/>
    <hyperlink ref="C89" r:id="rId88" display="=IFERROR(@__xludf.DUMMYFUNCTION(&quot;&quot;&quot;COMPUTED_VALUE&quot;&quot;&quot;),&quot;vt.tiktok.com/ZSHwQsrA1uHVw-EoUpR/&quot;)"/>
    <hyperlink ref="C90" r:id="rId89" display="=IFERROR(@__xludf.DUMMYFUNCTION(&quot;&quot;&quot;COMPUTED_VALUE&quot;&quot;&quot;),&quot;vt.tiktok.com/ZSHwoGB4c9j47-6uwUj/&quot;)"/>
    <hyperlink ref="C91" r:id="rId90" display="=IFERROR(@__xludf.DUMMYFUNCTION(&quot;&quot;&quot;COMPUTED_VALUE&quot;&quot;&quot;),&quot;vt.tiktok.com/ZSHwoG5Jbd8As-TFyBT/&quot;)"/>
    <hyperlink ref="C92" r:id="rId91" display="=IFERROR(@__xludf.DUMMYFUNCTION(&quot;&quot;&quot;COMPUTED_VALUE&quot;&quot;&quot;),&quot;vt.tiktok.com/ZSHwoGQfDNkgN-QJ4dX/&quot;)"/>
    <hyperlink ref="C93" r:id="rId92" display="=IFERROR(@__xludf.DUMMYFUNCTION(&quot;&quot;&quot;COMPUTED_VALUE&quot;&quot;&quot;),&quot;https://www.tiktok.com/shop/ph/pdp/1732030035089720395?source=product_detail&amp;enter_from=product_detail&amp;enter_method=feed_list_brand_cat&quot;)"/>
    <hyperlink ref="C94" r:id="rId93" display="=IFERROR(@__xludf.DUMMYFUNCTION(&quot;&quot;&quot;COMPUTED_VALUE&quot;&quot;&quot;),&quot;vt.tiktok.com/ZSHKJSbUfds8j-OydeL/&quot;)"/>
    <hyperlink ref="C95" r:id="rId94" display="=IFERROR(@__xludf.DUMMYFUNCTION(&quot;&quot;&quot;COMPUTED_VALUE&quot;&quot;&quot;),&quot;vt.tiktok.com/ZSHKJScLmT7bH-BTYYv/&quot;)"/>
    <hyperlink ref="C96" r:id="rId95" display="=IFERROR(@__xludf.DUMMYFUNCTION(&quot;&quot;&quot;COMPUTED_VALUE&quot;&quot;&quot;),&quot;vt.tiktok.com/ZSHKJSK3YWUAN-aNMgt/&quot;)"/>
    <hyperlink ref="C97" r:id="rId96" display="=IFERROR(@__xludf.DUMMYFUNCTION(&quot;&quot;&quot;COMPUTED_VALUE&quot;&quot;&quot;),&quot;vt.tiktok.com/ZSHKJALkNGvkh-CIGn9/&quot;)"/>
    <hyperlink ref="C98" r:id="rId97" display="=IFERROR(@__xludf.DUMMYFUNCTION(&quot;&quot;&quot;COMPUTED_VALUE&quot;&quot;&quot;),&quot;vt.tiktok.com/ZSHKJAjCEgG3a-hgGQE/&quot;)"/>
    <hyperlink ref="C99" r:id="rId98" display="=IFERROR(@__xludf.DUMMYFUNCTION(&quot;&quot;&quot;COMPUTED_VALUE&quot;&quot;&quot;),&quot;https://vt.tiktok.com/ZSHKJAha82nGd-jia9H/&quot;)"/>
    <hyperlink ref="C100" r:id="rId99" display="=IFERROR(@__xludf.DUMMYFUNCTION(&quot;&quot;&quot;COMPUTED_VALUE&quot;&quot;&quot;),&quot;https://vt.tiktok.com/ZSHK1xXJmrvVH-li1G5/&quot;)"/>
    <hyperlink ref="C101" r:id="rId100" display="=IFERROR(@__xludf.DUMMYFUNCTION(&quot;&quot;&quot;COMPUTED_VALUE&quot;&quot;&quot;),&quot;https://vt.tiktok.com/ZSH7kMGrWHm7H-gHYGt/&#10;&quot;)"/>
    <hyperlink ref="C102" r:id="rId101" display="=IFERROR(@__xludf.DUMMYFUNCTION(&quot;&quot;&quot;COMPUTED_VALUE&quot;&quot;&quot;),&quot;https://vt.tiktok.com/ZSH7krACV2Vje-KJrUp/&#10;&#10;&quot;)"/>
    <hyperlink ref="C103" r:id="rId102" display="=IFERROR(@__xludf.DUMMYFUNCTION(&quot;&quot;&quot;COMPUTED_VALUE&quot;&quot;&quot;),&quot;https://vt.tiktok.com/ZSHnr9jsm81vS-xPrAU/&quot;)"/>
    <hyperlink ref="C104" r:id="rId103" display="=IFERROR(@__xludf.DUMMYFUNCTION(&quot;&quot;&quot;COMPUTED_VALUE&quot;&quot;&quot;),&quot;https://vt.tiktok.com/ZSHnrHjdnRFCN-4OxKU/&quot;)"/>
    <hyperlink ref="C105" r:id="rId104" display="=IFERROR(@__xludf.DUMMYFUNCTION(&quot;&quot;&quot;COMPUTED_VALUE&quot;&quot;&quot;),&quot;https://vt.tiktok.com/ZSHnruTWh5bRG-pCJtu/&quot;)"/>
    <hyperlink ref="C106" r:id="rId105" display="=IFERROR(@__xludf.DUMMYFUNCTION(&quot;&quot;&quot;COMPUTED_VALUE&quot;&quot;&quot;),&quot;https://vt.tiktok.com/ZSHnrHgSXAw8n-wUSMN/&quot;)"/>
    <hyperlink ref="C107" r:id="rId106" display="=IFERROR(@__xludf.DUMMYFUNCTION(&quot;&quot;&quot;COMPUTED_VALUE&quot;&quot;&quot;),&quot;https://vt.tiktok.com/ZSHnrHTP7yj9t-aytnM/&quot;)"/>
    <hyperlink ref="C108" r:id="rId107" display="=IFERROR(@__xludf.DUMMYFUNCTION(&quot;&quot;&quot;COMPUTED_VALUE&quot;&quot;&quot;),&quot;https://vt.tiktok.com/ZSHnrHKrnsjbQ-5w9Er/&quot;)"/>
    <hyperlink ref="C109" r:id="rId108" display="=IFERROR(@__xludf.DUMMYFUNCTION(&quot;&quot;&quot;COMPUTED_VALUE&quot;&quot;&quot;),&quot;https://vt.tiktok.com/ZSHnrxspAffSo-VQSBf/&quot;)"/>
    <hyperlink ref="C110" r:id="rId109" display="=IFERROR(@__xludf.DUMMYFUNCTION(&quot;&quot;&quot;COMPUTED_VALUE&quot;&quot;&quot;),&quot;https://vt.tiktok.com/ZSHnrCkKr9C8e-XOcbJ/&quot;)"/>
    <hyperlink ref="C111" r:id="rId110" display="=IFERROR(@__xludf.DUMMYFUNCTION(&quot;&quot;&quot;COMPUTED_VALUE&quot;&quot;&quot;),&quot;https://vt.tiktok.com/ZSHnrCmjmkvsJ-VHRw6/&quot;)"/>
    <hyperlink ref="C112" r:id="rId111" display="=IFERROR(@__xludf.DUMMYFUNCTION(&quot;&quot;&quot;COMPUTED_VALUE&quot;&quot;&quot;),&quot;https://vt.tiktok.com/ZSHnrC4L747mA-qE9Wn/&quot;)"/>
    <hyperlink ref="C113" r:id="rId112" display="=IFERROR(@__xludf.DUMMYFUNCTION(&quot;&quot;&quot;COMPUTED_VALUE&quot;&quot;&quot;),&quot;https://vt.tiktok.com/ZSHnCFXe4gLAt-rYgXJ/&quot;)"/>
    <hyperlink ref="C114" r:id="rId113" display="=IFERROR(@__xludf.DUMMYFUNCTION(&quot;&quot;&quot;COMPUTED_VALUE&quot;&quot;&quot;),&quot;https://vt.tiktok.com/ZSHnCFtuTWpgs-zUaQl/&quot;)"/>
    <hyperlink ref="C115" r:id="rId114" display="=IFERROR(@__xludf.DUMMYFUNCTION(&quot;&quot;&quot;COMPUTED_VALUE&quot;&quot;&quot;),&quot;https://vt.tiktok.com/ZSHnCYF6QrAQa-QvALc/&quot;)"/>
    <hyperlink ref="C116" r:id="rId115" display="=IFERROR(@__xludf.DUMMYFUNCTION(&quot;&quot;&quot;COMPUTED_VALUE&quot;&quot;&quot;),&quot;https://vt.tiktok.com/ZSHnCYjjY1Rs4-KdlxA/&quot;)"/>
    <hyperlink ref="C117" r:id="rId116" display="=IFERROR(@__xludf.DUMMYFUNCTION(&quot;&quot;&quot;COMPUTED_VALUE&quot;&quot;&quot;),&quot;https://vt.tiktok.com/ZSHnCYMGgU5Jb-kgUr4/&quot;)"/>
    <hyperlink ref="C118" r:id="rId117" display="=IFERROR(@__xludf.DUMMYFUNCTION(&quot;&quot;&quot;COMPUTED_VALUE&quot;&quot;&quot;),&quot;https://vt.tiktok.com/ZSHWRvTMRVn4W-xoEQj/&#10;&quot;)"/>
    <hyperlink ref="C119" r:id="rId118" display="=IFERROR(@__xludf.DUMMYFUNCTION(&quot;&quot;&quot;COMPUTED_VALUE&quot;&quot;&quot;),&quot;https://vt.tiktok.com/ZSHWRcyT4PVSg-xjp4T/&#10;&quot;)"/>
    <hyperlink ref="C120" r:id="rId119" display="=IFERROR(@__xludf.DUMMYFUNCTION(&quot;&quot;&quot;COMPUTED_VALUE&quot;&quot;&quot;),&quot;https://vt.tiktok.com/ZSHTV1gxtWg4h-cPcnQ/&quot;)"/>
    <hyperlink ref="C121" r:id="rId120" display="=IFERROR(@__xludf.DUMMYFUNCTION(&quot;&quot;&quot;COMPUTED_VALUE&quot;&quot;&quot;),&quot;https://vt.tiktok.com/ZSHTVJnLErMmd-RslAz/&quot;)"/>
    <hyperlink ref="C122" r:id="rId121" display="=IFERROR(@__xludf.DUMMYFUNCTION(&quot;&quot;&quot;COMPUTED_VALUE&quot;&quot;&quot;),&quot;vt.tiktok.com/ZSHwPqCfXF87V-2kpts/&quot;)"/>
    <hyperlink ref="C123" r:id="rId122" display="=IFERROR(@__xludf.DUMMYFUNCTION(&quot;&quot;&quot;COMPUTED_VALUE&quot;&quot;&quot;),&quot;vt.tiktok.com/ZSHwPpUPcGtEB-KBL82/&quot;)"/>
    <hyperlink ref="C124" r:id="rId123" display="=IFERROR(@__xludf.DUMMYFUNCTION(&quot;&quot;&quot;COMPUTED_VALUE&quot;&quot;&quot;),&quot;vt.tiktok.com/ZSHwPs63maEgJ-fcmQU/&quot;)"/>
    <hyperlink ref="C125" r:id="rId124" display="=IFERROR(@__xludf.DUMMYFUNCTION(&quot;&quot;&quot;COMPUTED_VALUE&quot;&quot;&quot;),&quot;vt.tiktok.com/ZSHwu89TRQmyG-FaaXr/&quot;)"/>
    <hyperlink ref="C126" r:id="rId125" display="=IFERROR(@__xludf.DUMMYFUNCTION(&quot;&quot;&quot;COMPUTED_VALUE&quot;&quot;&quot;),&quot;vt.tiktok.com/ZSHwuLgkYJCWq-jvbGt/&quot;)"/>
    <hyperlink ref="C127" r:id="rId126" display="=IFERROR(@__xludf.DUMMYFUNCTION(&quot;&quot;&quot;COMPUTED_VALUE&quot;&quot;&quot;),&quot;vt.tiktok.com/ZSHwuLwwbe3gT-N99kN/&quot;)"/>
    <hyperlink ref="C128" r:id="rId127" display="=IFERROR(@__xludf.DUMMYFUNCTION(&quot;&quot;&quot;COMPUTED_VALUE&quot;&quot;&quot;),&quot;vt.tiktok.com/ZSHwuNa94sR8R-wNHND/&quot;)"/>
    <hyperlink ref="C129" r:id="rId128" display="=IFERROR(@__xludf.DUMMYFUNCTION(&quot;&quot;&quot;COMPUTED_VALUE&quot;&quot;&quot;),&quot;vt.tiktok.com/ZSHwuNgJTkujp-2TInY/&quot;)"/>
    <hyperlink ref="C130" r:id="rId129" display="=IFERROR(@__xludf.DUMMYFUNCTION(&quot;&quot;&quot;COMPUTED_VALUE&quot;&quot;&quot;),&quot;vt.tiktok.com/ZSHwQbHMNHDsx-l3azH/&quot;)"/>
    <hyperlink ref="C131" r:id="rId130" display="=IFERROR(@__xludf.DUMMYFUNCTION(&quot;&quot;&quot;COMPUTED_VALUE&quot;&quot;&quot;),&quot;vt.tiktok.com/ZSHwQpnHeDq9S-Ml0WT/&quot;)"/>
    <hyperlink ref="C132" r:id="rId131" display="=IFERROR(@__xludf.DUMMYFUNCTION(&quot;&quot;&quot;COMPUTED_VALUE&quot;&quot;&quot;),&quot;https://www.tiktok.com/shop/ph/pdp/1729714655913150508?source=product_detail&amp;enter_from=product_detail&amp;enter_method=feed_list_brand_cat&quot;)"/>
    <hyperlink ref="C133" r:id="rId132" display="=IFERROR(@__xludf.DUMMYFUNCTION(&quot;&quot;&quot;COMPUTED_VALUE&quot;&quot;&quot;),&quot;https://www.tiktok.com/shop/ph/pdp/1730513689221892186&quot;)"/>
    <hyperlink ref="C134" r:id="rId133" display="=IFERROR(@__xludf.DUMMYFUNCTION(&quot;&quot;&quot;COMPUTED_VALUE&quot;&quot;&quot;),&quot;https://www.tiktok.com/shop/ph/pdp/1730179952642328996?source=product_detail&amp;enter_from=product_detail&amp;enter_method=feed_list_brand_cat&quot;)"/>
    <hyperlink ref="C135" r:id="rId134" display="=IFERROR(@__xludf.DUMMYFUNCTION(&quot;&quot;&quot;COMPUTED_VALUE&quot;&quot;&quot;),&quot;https://www.tiktok.com/shop/ph/pdp/1729388301930893199?source=product_detail&amp;enter_from=product_detail&amp;enter_method=feed_list_brand_cat&quot;)"/>
    <hyperlink ref="C136" r:id="rId135" display="=IFERROR(@__xludf.DUMMYFUNCTION(&quot;&quot;&quot;COMPUTED_VALUE&quot;&quot;&quot;),&quot;https://vt.tiktok.com/ZSAuHeRQ7/&quot;)"/>
    <hyperlink ref="C137" r:id="rId136" display="=IFERROR(@__xludf.DUMMYFUNCTION(&quot;&quot;&quot;COMPUTED_VALUE&quot;&quot;&quot;),&quot;https://vt.tiktok.com/ZSAumn6Nc/&quot;)"/>
    <hyperlink ref="C138" r:id="rId137" display="=IFERROR(@__xludf.DUMMYFUNCTION(&quot;&quot;&quot;COMPUTED_VALUE&quot;&quot;&quot;),&quot;https://vt.tiktok.com/ZSAuHYfFW/&quot;)"/>
    <hyperlink ref="C139" r:id="rId138" display="=IFERROR(@__xludf.DUMMYFUNCTION(&quot;&quot;&quot;COMPUTED_VALUE&quot;&quot;&quot;),&quot;https://vt.tiktok.com/ZSAu9keCh/&quot;)"/>
    <hyperlink ref="C140" r:id="rId139" display="=IFERROR(@__xludf.DUMMYFUNCTION(&quot;&quot;&quot;COMPUTED_VALUE&quot;&quot;&quot;),&quot;https://vt.tiktok.com/ZSAuCwuEN/&quot;)"/>
    <hyperlink ref="C141" r:id="rId140" display="=IFERROR(@__xludf.DUMMYFUNCTION(&quot;&quot;&quot;COMPUTED_VALUE&quot;&quot;&quot;),&quot;https://vt.tiktok.com/ZSAxJsrcK/&quot;)"/>
    <hyperlink ref="C142" r:id="rId141" display="=IFERROR(@__xludf.DUMMYFUNCTION(&quot;&quot;&quot;COMPUTED_VALUE&quot;&quot;&quot;),&quot;https://vt.tiktok.com/ZSAxe1gRa/&quot;)"/>
    <hyperlink ref="C143" r:id="rId142" display="=IFERROR(@__xludf.DUMMYFUNCTION(&quot;&quot;&quot;COMPUTED_VALUE&quot;&quot;&quot;),&quot;https://www.tiktok.com/shop/ph/pdp/1731318511574353212&quot;)"/>
    <hyperlink ref="C144" r:id="rId143" display="=IFERROR(@__xludf.DUMMYFUNCTION(&quot;&quot;&quot;COMPUTED_VALUE&quot;&quot;&quot;),&quot;https://www.tiktok.com/shop/ph/pdp/1731166718889134253&quot;)"/>
    <hyperlink ref="C145" r:id="rId144" display="=IFERROR(@__xludf.DUMMYFUNCTION(&quot;&quot;&quot;COMPUTED_VALUE&quot;&quot;&quot;),&quot;https://www.tiktok.com/shop/ph/pdp/1730276440397155128&quot;)"/>
    <hyperlink ref="C146" r:id="rId145" display="=IFERROR(@__xludf.DUMMYFUNCTION(&quot;&quot;&quot;COMPUTED_VALUE&quot;&quot;&quot;),&quot;https://vt.tiktok.com/ZSHGWYHMtGQMJ-6foUP/&quot;)"/>
    <hyperlink ref="C147" r:id="rId146" display="=IFERROR(@__xludf.DUMMYFUNCTION(&quot;&quot;&quot;COMPUTED_VALUE&quot;&quot;&quot;),&quot;https://vt.tiktok.com/ZSHGW2hP56ydj-rUWAX/&quot;)"/>
    <hyperlink ref="C148" r:id="rId147" display="=IFERROR(@__xludf.DUMMYFUNCTION(&quot;&quot;&quot;COMPUTED_VALUE&quot;&quot;&quot;),&quot;https://vt.tiktok.com/ZSHGW2Wa98GJU-6Wyys/&quot;)"/>
    <hyperlink ref="C149" r:id="rId148" display="=IFERROR(@__xludf.DUMMYFUNCTION(&quot;&quot;&quot;COMPUTED_VALUE&quot;&quot;&quot;),&quot;https://vt.tiktok.com/ZSHGW61RoNNp7-MMl1C/&quot;)"/>
    <hyperlink ref="C150" r:id="rId149" display="=IFERROR(@__xludf.DUMMYFUNCTION(&quot;&quot;&quot;COMPUTED_VALUE&quot;&quot;&quot;),&quot;https://vt.tiktok.com/ZSHGW6H645StT-FmoVM/&quot;)"/>
    <hyperlink ref="C151" r:id="rId150" display="=IFERROR(@__xludf.DUMMYFUNCTION(&quot;&quot;&quot;COMPUTED_VALUE&quot;&quot;&quot;),&quot;https://vt.tiktok.com/ZSHGWMWfnC3go-ob158/&quot;)"/>
    <hyperlink ref="C152" r:id="rId151" display="=IFERROR(@__xludf.DUMMYFUNCTION(&quot;&quot;&quot;COMPUTED_VALUE&quot;&quot;&quot;),&quot;https://www.tiktok.com/shop/ph/pdp/1729995600407595447&quot;)"/>
    <hyperlink ref="C153" r:id="rId152" display="=IFERROR(@__xludf.DUMMYFUNCTION(&quot;&quot;&quot;COMPUTED_VALUE&quot;&quot;&quot;),&quot;https://vt.tiktok.com/ZSHGWTaphapAo-H4Eiu/&quot;)"/>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Đồ lót</vt:lpstr>
      <vt:lpstr>Tổng hợp</vt:lpstr>
      <vt:lpstr>công nghệ</vt:lpstr>
      <vt:lpstr>Gia dụng</vt:lpstr>
      <vt:lpstr>Mỹ phẩm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sgi</cp:lastModifiedBy>
  <dcterms:created xsi:type="dcterms:W3CDTF">2026-01-12T09:45:24Z</dcterms:created>
  <dcterms:modified xsi:type="dcterms:W3CDTF">2026-01-12T09:45:34Z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C426E33A18B5497BB4501CF840758EB9_12</vt:lpwstr>
  </property>
  <property fmtid="{D5CDD505-2E9C-101B-9397-08002B2CF9AE}" pid="3" name="KSOProductBuildVer">
    <vt:lpwstr>1033-12.2.0.23196</vt:lpwstr>
  </property>
</Properties>
</file>